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ォームの回答 1" sheetId="1" r:id="rId5"/>
    <sheet state="visible" name="Applicant List" sheetId="2" r:id="rId6"/>
    <sheet state="visible" name="SC" sheetId="3" r:id="rId7"/>
    <sheet state="visible" name="Abstract Reviewer Allocation1" sheetId="4" r:id="rId8"/>
    <sheet state="visible" name="0001_0050_竹野内" sheetId="5" r:id="rId9"/>
    <sheet state="visible" name="0051_0100_黒沼" sheetId="6" r:id="rId10"/>
    <sheet state="visible" name="0101_0150_竹野内（世）" sheetId="7" r:id="rId11"/>
    <sheet state="visible" name="0151_0200_宮川" sheetId="8" r:id="rId12"/>
    <sheet state="visible" name="0201_0250_肥後" sheetId="9" r:id="rId13"/>
    <sheet state="visible" name="0251_0302_進藤" sheetId="10" r:id="rId14"/>
    <sheet state="visible" name="Abstract Reviewer Allocation1 ：" sheetId="11" r:id="rId15"/>
  </sheets>
  <definedNames>
    <definedName hidden="1" localSheetId="0" name="_xlnm._FilterDatabase">'フォームの回答 1'!$A$1:$O$305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6">
      <text>
        <t xml:space="preserve">返信システムがこの値を更新しました。</t>
      </text>
    </comment>
    <comment authorId="0" ref="K102">
      <text>
        <t xml:space="preserve">返信システムがこの値を更新しました。</t>
      </text>
    </comment>
    <comment authorId="0" ref="E222">
      <text>
        <t xml:space="preserve">返信システムがこの値を更新しました。</t>
      </text>
    </comment>
    <comment authorId="0" ref="L94">
      <text>
        <t xml:space="preserve">返信システムがこの値を更新しました。</t>
      </text>
    </comment>
    <comment authorId="0" ref="F278">
      <text>
        <t xml:space="preserve">返信システムがこの値を更新しました。</t>
      </text>
    </comment>
    <comment authorId="0" ref="F276">
      <text>
        <t xml:space="preserve">返信システムがこの値を更新しました。</t>
      </text>
    </comment>
    <comment authorId="0" ref="F272">
      <text>
        <t xml:space="preserve">返信システムがこの値を更新しました。</t>
      </text>
    </comment>
    <comment authorId="0" ref="F47">
      <text>
        <t xml:space="preserve">返信システムがこの値を更新しました。</t>
      </text>
    </comment>
    <comment authorId="0" ref="G272">
      <text>
        <t xml:space="preserve">返信システムがこの値を更新しました。</t>
      </text>
    </comment>
    <comment authorId="0" ref="G266">
      <text>
        <t xml:space="preserve">返信システムがこの値を更新しました。</t>
      </text>
    </comment>
    <comment authorId="0" ref="G126">
      <text>
        <t xml:space="preserve">返信システムがこの値を更新しました。</t>
      </text>
    </comment>
    <comment authorId="0" ref="H126">
      <text>
        <t xml:space="preserve">返信システムがこの値を更新しました。</t>
      </text>
    </comment>
    <comment authorId="0" ref="O229">
      <text>
        <t xml:space="preserve">返信システムがこの値を更新しました。</t>
      </text>
    </comment>
    <comment authorId="0" ref="F252">
      <text>
        <t xml:space="preserve">返信システムがこの値を更新しました。</t>
      </text>
    </comment>
    <comment authorId="0" ref="G252">
      <text>
        <t xml:space="preserve">返信システムがこの値を更新しました。</t>
      </text>
    </comment>
    <comment authorId="0" ref="L128">
      <text>
        <t xml:space="preserve">返信システムがこの値を更新しました。</t>
      </text>
    </comment>
    <comment authorId="0" ref="G151">
      <text>
        <t xml:space="preserve">返信システムがこの値を更新しました。</t>
      </text>
    </comment>
    <comment authorId="0" ref="E116">
      <text>
        <t xml:space="preserve">返信システムがこの値を更新しました。</t>
      </text>
    </comment>
    <comment authorId="0" ref="E244">
      <text>
        <t xml:space="preserve">返信システムがこの値を更新しました。</t>
      </text>
    </comment>
    <comment authorId="0" ref="M27">
      <text>
        <t xml:space="preserve">返信システムがこの値を更新しました。</t>
      </text>
    </comment>
    <comment authorId="0" ref="F116">
      <text>
        <t xml:space="preserve">返信システムがこの値を更新しました。</t>
      </text>
    </comment>
    <comment authorId="0" ref="I116">
      <text>
        <t xml:space="preserve">返信システムがこの値を更新しました。</t>
      </text>
    </comment>
    <comment authorId="0" ref="F143">
      <text>
        <t xml:space="preserve">返信システムがこの値を更新しました。</t>
      </text>
    </comment>
    <comment authorId="0" ref="G176">
      <text>
        <t xml:space="preserve">返信システムがこの値を更新しました。</t>
      </text>
    </comment>
    <comment authorId="0" ref="C75">
      <text>
        <t xml:space="preserve">返信システムがこの値を更新しました。</t>
      </text>
    </comment>
    <comment authorId="0" ref="G79">
      <text>
        <t xml:space="preserve">返信システムがこの値を更新しました。</t>
      </text>
    </comment>
    <comment authorId="0" ref="G75">
      <text>
        <t xml:space="preserve">返信システムがこの値を更新しました。</t>
      </text>
    </comment>
    <comment authorId="0" ref="K79">
      <text>
        <t xml:space="preserve">返信システムがこの値を更新しました。</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4">
      <text>
        <t xml:space="preserve">返信システムがこの値を更新しました。</t>
      </text>
    </comment>
    <comment authorId="0" ref="L100">
      <text>
        <t xml:space="preserve">返信システムがこの値を更新しました。</t>
      </text>
    </comment>
    <comment authorId="0" ref="F220">
      <text>
        <t xml:space="preserve">返信システムがこの値を更新しました。</t>
      </text>
    </comment>
    <comment authorId="0" ref="M92">
      <text>
        <t xml:space="preserve">返信システムがこの値を更新しました。</t>
      </text>
    </comment>
    <comment authorId="0" ref="G276">
      <text>
        <t xml:space="preserve">返信システムがこの値を更新しました。</t>
      </text>
    </comment>
    <comment authorId="0" ref="G274">
      <text>
        <t xml:space="preserve">返信システムがこの値を更新しました。</t>
      </text>
    </comment>
    <comment authorId="0" ref="G270">
      <text>
        <t xml:space="preserve">返信システムがこの値を更新しました。</t>
      </text>
    </comment>
    <comment authorId="0" ref="G45">
      <text>
        <t xml:space="preserve">返信システムがこの値を更新しました。</t>
      </text>
    </comment>
    <comment authorId="0" ref="H270">
      <text>
        <t xml:space="preserve">返信システムがこの値を更新しました。</t>
      </text>
    </comment>
    <comment authorId="0" ref="H264">
      <text>
        <t xml:space="preserve">返信システムがこの値を更新しました。</t>
      </text>
    </comment>
    <comment authorId="0" ref="H124">
      <text>
        <t xml:space="preserve">返信システムがこの値を更新しました。</t>
      </text>
    </comment>
    <comment authorId="0" ref="I124">
      <text>
        <t xml:space="preserve">返信システムがこの値を更新しました。</t>
      </text>
    </comment>
    <comment authorId="0" ref="P227">
      <text>
        <t xml:space="preserve">返信システムがこの値を更新しました。</t>
      </text>
    </comment>
    <comment authorId="0" ref="G250">
      <text>
        <t xml:space="preserve">返信システムがこの値を更新しました。</t>
      </text>
    </comment>
    <comment authorId="0" ref="H250">
      <text>
        <t xml:space="preserve">返信システムがこの値を更新しました。</t>
      </text>
    </comment>
    <comment authorId="0" ref="M126">
      <text>
        <t xml:space="preserve">返信システムがこの値を更新しました。</t>
      </text>
    </comment>
    <comment authorId="0" ref="H149">
      <text>
        <t xml:space="preserve">返信システムがこの値を更新しました。</t>
      </text>
    </comment>
    <comment authorId="0" ref="F114">
      <text>
        <t xml:space="preserve">返信システムがこの値を更新しました。</t>
      </text>
    </comment>
    <comment authorId="0" ref="F242">
      <text>
        <t xml:space="preserve">返信システムがこの値を更新しました。</t>
      </text>
    </comment>
    <comment authorId="0" ref="N25">
      <text>
        <t xml:space="preserve">返信システムがこの値を更新しました。</t>
      </text>
    </comment>
    <comment authorId="0" ref="G114">
      <text>
        <t xml:space="preserve">返信システムがこの値を更新しました。</t>
      </text>
    </comment>
    <comment authorId="0" ref="J114">
      <text>
        <t xml:space="preserve">返信システムがこの値を更新しました。</t>
      </text>
    </comment>
    <comment authorId="0" ref="G141">
      <text>
        <t xml:space="preserve">返信システムがこの値を更新しました。</t>
      </text>
    </comment>
    <comment authorId="0" ref="H174">
      <text>
        <t xml:space="preserve">返信システムがこの値を更新しました。</t>
      </text>
    </comment>
    <comment authorId="0" ref="D73">
      <text>
        <t xml:space="preserve">返信システムがこの値を更新しました。</t>
      </text>
    </comment>
    <comment authorId="0" ref="H77">
      <text>
        <t xml:space="preserve">返信システムがこの値を更新しました。</t>
      </text>
    </comment>
    <comment authorId="0" ref="H73">
      <text>
        <t xml:space="preserve">返信システムがこの値を更新しました。</t>
      </text>
    </comment>
    <comment authorId="0" ref="L77">
      <text>
        <t xml:space="preserve">返信システムがこの値を更新しました。</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tc={31dda848-2fa3-4b2d-9777-f9ab7adb4692}</author>
  </authors>
  <commentList>
    <comment authorId="0" xr:uid="{31dda848-2fa3-4b2d-9777-f9ab7adb4692}" ref="B48">
      <text>
        <t xml:space="preserve">[Threaded comment]
 Your version of Excel allows you to read this threaded comment; however, any edits to it will get removed if the file is opened in a newer version of Excel. Learn more: https://go.microsoft.com/fwlink/?linkid=870924
Comment:
	Dr.ではなくMr.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tc={062af187-9fb1-4ce2-993a-3af875c8808c}</author>
  </authors>
  <commentList>
    <comment authorId="0" xr:uid="{062af187-9fb1-4ce2-993a-3af875c8808c}" ref="GX38">
      <text>
        <t xml:space="preserve">[Threaded comment]
 Your version of Excel allows you to read this threaded comment; however, any edits to it will get removed if the file is opened in a newer version of Excel. Learn more: https://go.microsoft.com/fwlink/?linkid=870924
Comment:
	竹野内（世）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5">
      <text>
        <t xml:space="preserve">返信システムがこの値を更新しました。</t>
      </text>
    </comment>
    <comment authorId="0" ref="G34">
      <text>
        <t xml:space="preserve">返信システムがこの値を更新しました。</t>
      </text>
    </comment>
    <comment authorId="0" ref="G45">
      <text>
        <t xml:space="preserve">返信システムがこの値を更新しました。</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tc={00788823-ec53-4d8c-8e00-862e0d828e82}</author>
  </authors>
  <commentList>
    <comment authorId="0" ref="H23">
      <text>
        <t xml:space="preserve">返信システムがこの値を更新しました。</t>
      </text>
    </comment>
    <comment authorId="0" ref="L27">
      <text>
        <t xml:space="preserve">返信システムがこの値を更新しました。</t>
      </text>
    </comment>
    <comment authorId="0" ref="M42">
      <text>
        <t xml:space="preserve">返信システムがこの値を更新しました。</t>
      </text>
    </comment>
    <comment authorId="0" ref="L50">
      <text>
        <t xml:space="preserve">返信システムがこの値を更新しました。</t>
      </text>
    </comment>
    <comment authorId="0" ref="D23">
      <text>
        <t xml:space="preserve">返信システムがこの値を更新しました。</t>
      </text>
    </comment>
    <comment authorId="0" ref="H27">
      <text>
        <t xml:space="preserve">返信システムがこの値を更新しました。</t>
      </text>
    </comment>
    <comment authorId="1" xr:uid="{00788823-ec53-4d8c-8e00-862e0d828e82}" ref="Q4">
      <text>
        <t xml:space="preserve">[Threaded comment]
 Your version of Excel allows you to read this threaded comment; however, any edits to it will get removed if the file is opened in a newer version of Excel. Learn more: https://go.microsoft.com/fwlink/?linkid=870924
Comment:
	後で変えるかも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4">
      <text>
        <t xml:space="preserve">返信システムがこの値を更新しました。</t>
      </text>
    </comment>
    <comment authorId="0" ref="I24">
      <text>
        <t xml:space="preserve">返信システムがこの値を更新しました。</t>
      </text>
    </comment>
    <comment authorId="0" ref="M26">
      <text>
        <t xml:space="preserve">返信システムがこの値を更新しました。</t>
      </text>
    </comment>
    <comment authorId="0" ref="H49">
      <text>
        <t xml:space="preserve">返信システムがこの値を更新しました。</t>
      </text>
    </comment>
    <comment authorId="0" ref="F14">
      <text>
        <t xml:space="preserve">返信システムがこの値を更新しました。</t>
      </text>
    </comment>
    <comment authorId="0" ref="G14">
      <text>
        <t xml:space="preserve">返信システムがこの値を更新しました。</t>
      </text>
    </comment>
    <comment authorId="0" ref="J14">
      <text>
        <t xml:space="preserve">返信システムがこの値を更新しました。</t>
      </text>
    </comment>
    <comment authorId="0" ref="G41">
      <text>
        <t xml:space="preserve">返信システムがこの値を更新しました。</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tc={2d408ebb-c1b1-4bed-a97e-6cc6b6c99825}</author>
  </authors>
  <commentList>
    <comment authorId="0" ref="K24">
      <text>
        <t xml:space="preserve">返信システムがこの値を更新しました。</t>
      </text>
    </comment>
    <comment authorId="1" xr:uid="{2d408ebb-c1b1-4bed-a97e-6cc6b6c99825}" ref="J42">
      <text>
        <t xml:space="preserve">[Threaded comment]
 Your version of Excel allows you to read this threaded comment; however, any edits to it will get removed if the file is opened in a newer version of Excel. Learn more: https://go.microsoft.com/fwlink/?linkid=870924
Comment:
	こちらを取る 190は削除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0">
      <text>
        <t xml:space="preserve">返信システムがこの値を更新しました。</t>
      </text>
    </comment>
    <comment authorId="0" ref="P27">
      <text>
        <t xml:space="preserve">返信システムがこの値を更新しました。</t>
      </text>
    </comment>
    <comment authorId="0" ref="G50">
      <text>
        <t xml:space="preserve">返信システムがこの値を更新しました。</t>
      </text>
    </comment>
    <comment authorId="0" ref="H50">
      <text>
        <t xml:space="preserve">返信システムがこの値を更新しました。</t>
      </text>
    </comment>
    <comment authorId="0" ref="F42">
      <text>
        <t xml:space="preserve">返信システムがこの値を更新しました。</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0">
      <text>
        <t xml:space="preserve">返信システムがこの値を更新しました。</t>
      </text>
    </comment>
    <comment authorId="0" ref="H20">
      <text>
        <t xml:space="preserve">返信システムがこの値を更新しました。</t>
      </text>
    </comment>
    <comment authorId="0" ref="H14">
      <text>
        <t xml:space="preserve">返信システムがこの値を更新しました。</t>
      </text>
    </comment>
    <comment authorId="0" ref="G26">
      <text>
        <t xml:space="preserve">返信システムがこの値を更新しました。</t>
      </text>
    </comment>
    <comment authorId="0" ref="G24">
      <text>
        <t xml:space="preserve">返信システムがこの値を更新しました。</t>
      </text>
    </comment>
  </commentList>
</comments>
</file>

<file path=xl/sharedStrings.xml><?xml version="1.0" encoding="utf-8"?>
<sst xmlns="http://schemas.openxmlformats.org/spreadsheetml/2006/main" count="15174" uniqueCount="2938">
  <si>
    <t>タイムスタンプ</t>
  </si>
  <si>
    <t>メールアドレス</t>
  </si>
  <si>
    <t>Name</t>
  </si>
  <si>
    <t>E-Mail (Confirmation)</t>
  </si>
  <si>
    <t>Type of Presentaiton</t>
  </si>
  <si>
    <t>Abstract Title (max. 30 words)</t>
  </si>
  <si>
    <t>Abstract (max. 300 words)
Note: All abstracts will be reviewed blind. The list of submissions will be provided to the reviewers containing only the title, abstract, and an identification number for each submission.
The main reviewing criteria include:
a) Quality of the overall abstract, content, and aim
b) Methodology
c) The ability of the topic to garner overall interest (new or ongoing research)
(see also CRE Peer Review Procedure)
It is also desirable that the abstract clearly and concisely indicates the main conclusions of the research to be presented.</t>
  </si>
  <si>
    <t>Keyword 1</t>
  </si>
  <si>
    <t>Keyword 2</t>
  </si>
  <si>
    <t>Keyword 3</t>
  </si>
  <si>
    <t>Need for Financial Support
Please briefly explain your need for financial support, if applicable.
Please note that financial support is limited, and not all requests can be accommodated.</t>
  </si>
  <si>
    <t>Affiliation</t>
  </si>
  <si>
    <t>Status</t>
  </si>
  <si>
    <t>Country of Residence</t>
  </si>
  <si>
    <t>Nationality (we need this info for your visa)</t>
  </si>
  <si>
    <t>th0105.mm@gmail.com</t>
  </si>
  <si>
    <t>Demo</t>
  </si>
  <si>
    <t>Long Presentation (20 minutes)</t>
  </si>
  <si>
    <t xml:space="preserve"> Flood Impact and Prevention Measures for the Tomb of Irukaptah at the Saqqara Archaeological Site: Launching an Egyptian-Japanese Joint Research Project</t>
  </si>
  <si>
    <t xml:space="preserve">The tomb of Irukaptah, located next to the causeway of the Pyramid of Unas at Saqqara archaeological site and dating to the 5th Dynasty, is renowned for its finely carved reliefs and distinctive rock-cut statues of its owner. Due to its rarity and artistic significance, the tomb is widely known as the “Butcher's Tomb” among Egyptologists, attracting many visitors. However, its location on low-lying bedrock made the tomb vulnerable to flooding. In March 2020, heavy rains caused substantial water infiltration, reaching a height of approximately 80 cm in the chapel. As a result, the lower wall inscriptions and statues suffered severe damage, requiring urgent restoration. Thanks to the dedicated efforts of conservators at Saqqara site, restoration was completed in March 2021. However, environmental evaluations and progress reports were delayed due to the prioritization of restoration work and other sites experiencing similar damage, and no comprehensive flood prevention strategies were implemented. Given the increasing risk of extreme weather events due to climate change, it is critical to assess the impact of flooding on the tomb's wall paintings and to implement preventive measures for its future protection. Moreover, other tombs and monuments within Saqqara also face the risk of flooding, highlighting the need for broader solutions.
In response to these challenges, the authors are preparing to launch an Egyptian-Japanese joint research project with the Supreme Council of Antiquities (SCA) and the University of Tsukuba to preserve and manage the tomb. This presentation outlines the preliminary environmental surveys and discusses potential flood prevention strategies.
</t>
  </si>
  <si>
    <t>Saqqara</t>
  </si>
  <si>
    <t>Old Kingdom</t>
  </si>
  <si>
    <t>Conservation</t>
  </si>
  <si>
    <t>Maybe</t>
  </si>
  <si>
    <t>University of Tsukuba</t>
  </si>
  <si>
    <t>Assistant Professor</t>
  </si>
  <si>
    <t>Japan</t>
  </si>
  <si>
    <t>runa.uei@gmail.com</t>
  </si>
  <si>
    <t>So</t>
  </si>
  <si>
    <t>test</t>
  </si>
  <si>
    <t>Yes</t>
  </si>
  <si>
    <t>Undergraduate Student</t>
  </si>
  <si>
    <t>emareecasey@gmail.com</t>
  </si>
  <si>
    <t>Erin Casey</t>
  </si>
  <si>
    <t>Everyday people and everyday objects at Tell el-Amarna: (con)textualising the urban landscape.</t>
  </si>
  <si>
    <t xml:space="preserve">The short-lived city of Amarna has captivated the interest of academics and the public alike since the rediscovery in the 18th century. The site itself has been excavated by various expeditions since the late 19th century, amassing a vast assemblage of objects. This paper is primarily interested with the excavations of the Egypt Exploration Society (EES) between 1921–1936, which excavated a wide span of the city, including urban households as well as the outskirt Workmen’s Village and palaces. 
From the object assemblage excavated by the EES, this paper is interested with a subset of artefacts – household objects with text upon them, and the question of how these objects were produced and by whom. Through analysing three object groups: jewellery, ritual objects and household goods, this study highlights the diversity of methods in the production of text as a form of engagement with written culture. This paper uses the framework of additive text (text that is applied to the surface), subtractive text (text that is applied through removal of material, i.e. carving) and transformative text (text that is integrated into the object at the same time the objects is being formed, e.g. mould-made) to identify possible avenues of engagement by the one producing the text and raises questions in terms of the accessibility of written culture and consequently the use of the object. The objects excavated by the EES provide an avenue to ascertain how people in the urban landscape engaged with objects with writing in everyday life, and particularly in the home. 
</t>
  </si>
  <si>
    <t>Egyptology</t>
  </si>
  <si>
    <t>Materiality</t>
  </si>
  <si>
    <t>Amarna</t>
  </si>
  <si>
    <t>Independent Researcher</t>
  </si>
  <si>
    <t>Australia</t>
  </si>
  <si>
    <t>Australian</t>
  </si>
  <si>
    <t>fathia.gaber@alexu.edu.eg</t>
  </si>
  <si>
    <t>Fathia Gaber Ebrahim</t>
  </si>
  <si>
    <t>Egyptomania in Roman Wall Paintings: A Study of Artistic Syncretism</t>
  </si>
  <si>
    <t>It is well known that the Romans when ruled Egypt after Actium battle in 30 BCE., they called all people in Egypt, Even Greeks and other ethnicities, Egyptian. Many emperors had fascination by Egyptian civilization, such as emperor Hadrian, who built in his villa at Tivoli a reconstruction of Egyptian temple, also many temples especially for the Goddess Isis were built at Rome itself. so this paper explores the phenomenon of Egyptomania defined as the fascination and appropriation of Egyptian culture by foreign societies, as reflected in Roman wall paintings, focusing on its role in shaping artistic syncretism during the Imperial period. This study investigates how Egyptian motifs—such as lotus flowers, sphinxes, and deities—were integrated into Roman decorative schemes, transforming domestic spaces into visual narratives of cultural and Artistic Syncretism.
The research adopts a comparative and Iconographic methodology, analyzing frescoes from sites such as Pompeii and Herculaneum. By examining stylistic adaptations and symbolic reinterpretations, the paper demonstrates that these motifs were not mere ornamental borrowings but deliberate choices reflecting Rome’s political dominance and its elite’s desire for exotic luxury. Furthermore, the study situates these artistic practices within broader sociocultural dynamics, including religious syncretism and the construction of identity in a cosmopolitan empire.
Findings reveal that Roman wall paintings featuring Egyptian elements served as markers of status and intellectual sophistication, while also crossing cultural boundaries. This artistic interaction highlights the complexity of cultural exchange in antiquity, where art served as a tool for both admiration and appropriation. "The paper shows that Egyptomania in Roman art represents a complex blend of styles, questioning simple ideas of influence and emphasizing cultural dialogue in Mediterranean art.</t>
  </si>
  <si>
    <t>Egyptomania</t>
  </si>
  <si>
    <t>Roman wall painting</t>
  </si>
  <si>
    <t>Pompeii, Isis</t>
  </si>
  <si>
    <t>Department of Greek and Roman Archaeology, Faculty of Arts, Alexandria University</t>
  </si>
  <si>
    <t>Associate Professor, Others</t>
  </si>
  <si>
    <t>Egypt</t>
  </si>
  <si>
    <t>Egyptian</t>
  </si>
  <si>
    <t>hossamhelal60@gmail.com</t>
  </si>
  <si>
    <t>Hossam Hegazi</t>
  </si>
  <si>
    <t>An Unpublished Group of Shabti Figurines from the Leiden Museum: An Artistic and Religious Analysis</t>
  </si>
  <si>
    <t xml:space="preserve">	Shabtis were to become one of the most important categories of the tomb`s furnishings during the Middle kingdom period as it replaced the servant statuettes. The shabtis were mummification in shape, acting as a personal substitute for its master. The shabti had many uses, placed in tombs to provide an additional home for the ka, and to receive nourishment in the afterlife. The current study tackles four unpublished shabtis statuettes preserved in the storage of the Leiden Museum in the Netherlands. The paper also discusses, investigates and analyses the techniques of the four shabtis manufacture. Moreover, the paper conducts a comparison with other known-dated examples from other museums collections in order to determine their provenance and approximate date.
</t>
  </si>
  <si>
    <t>Shabtis</t>
  </si>
  <si>
    <t>New Kingdom</t>
  </si>
  <si>
    <t xml:space="preserve"> mummification</t>
  </si>
  <si>
    <t>ministry of Tourism, Egypt</t>
  </si>
  <si>
    <t>Post-Doc Researcher</t>
  </si>
  <si>
    <t>ahmedinsp86@gmail.com</t>
  </si>
  <si>
    <t xml:space="preserve">Ahmed Hassan Ismaiel </t>
  </si>
  <si>
    <t>Short Presentation (10 minutes)</t>
  </si>
  <si>
    <t>Residential Architecture from the Late Roman Period at Luxor Town Mount (LTM), beneath the former Tawfiq Pasha Andraos House, near Luxor Temple (7th Century AD)</t>
  </si>
  <si>
    <t xml:space="preserve">Our recent fieldwork at Luxor Town Mount (LTM)—the archaeological zone located beneath the former Tawfiq Pasha Andraos House and directly adjacent to Luxor Temple—has uncovered a remarkably well-preserved section of a late Roman residential quarter dating to around the 7th century AD. This unique location, positioned at the interface between monumental temple architecture and domestic occupation, offers an unprecedented opportunity to understand daily life in late antique Thebes.
Excavations revealed mudbrick houses, some strengthened with red-brick reinforcements, arranged around compact courtyards that formed a dense and interconnected neighborhood. These structures contained living spaces, storage rooms, and small but efficiently designed kitchens. We identified bread ovens, as well as a wide assemblage of pottery used for cooking, storage, and cooling—most notably perforated storage jars that reveal sophisticated domestic technologies.
The settlement shows clear evidence of a major fire event, including layers of burnt wheat grains, charred roof beams, and scattered iron nails. After this destruction, residents reoccupied the area, constructing new walls directly on top of the earlier debris—highlighting a resilient cycle of abandonment and renewal.
A particularly significant discovery was the presence of two pigeon towers: one small and another much larger, built with massive mudbrick walls. These towers likely served multiple purposes—food supply, fertilizer production, and possibly messenger pigeons—reflecting complex aspects of urban resource management rarely preserved so close to a major cult temple.
Complementary finds, including Roman coins, fine ceramics, and a basalt ram-head figurine, underscore the vitality and continuity of settlement at LTM during the late Roman period. Together, these discoveries enrich our understanding of how ordinary residents lived and adapted in a dynamic urban landscape at the edge of Luxor Temple.
</t>
  </si>
  <si>
    <t xml:space="preserve">Architecture </t>
  </si>
  <si>
    <t xml:space="preserve">Roman period in ancient Egypt </t>
  </si>
  <si>
    <t xml:space="preserve">Apart of small settlement </t>
  </si>
  <si>
    <t xml:space="preserve">The Ministry of Tourism and Antiques </t>
  </si>
  <si>
    <t>Master's Student</t>
  </si>
  <si>
    <t xml:space="preserve">Egypt </t>
  </si>
  <si>
    <t xml:space="preserve">Egyptian </t>
  </si>
  <si>
    <t>mostafaarchaeology@gmail.com</t>
  </si>
  <si>
    <t>Mostafa Mohamed Noureldin</t>
  </si>
  <si>
    <t>Surveying Wadi Khamileh Southwest Sinai, (preliminary Report)t</t>
  </si>
  <si>
    <t xml:space="preserve">In August 2025, I carried out extensive archaeological surveys in Wadi Khamileh, the valley located approximately 35 km east of the Gulf of Suez and the city of Abu Rudeis, and about 7 km southeast of the Temple of Hathor at Serabit el-Khadim, , this survey led to several new discoveries;
A rock panel approximately three meters long and one meter wide were discovered on the western side of Wadi Khamileh. The panel is in poor condition. Study of the panel revealed a depiction of King “Ka,” one of the rulers of Dynasty 0 (the first half of the 32nd century BC), also known as Sekhen. He ruled after King Iry-Hor. King Ka was typically depicted as a standing figure with his arms extended in the shape of the ka-sign, a pose that appears on the Wadi Khamileh panel. 
Near the Predynastic panel, Petroglyphs were also found showing scenes of hunting ibex, ostriches, and wild animals, belonging to the same period or perhaps even earlier. The presence of these inscriptions and drawings is attributed to ancient mining activity in the area, evidenced by heaps of burnt soil and copper slag scattered across the rocky elevations.
Other sites in Wadi Khamileh yielded dozens of Nabataean inscriptions and Petroglyphs dating to the 2nd and 3rd centuries AD, along with several early Islamic inscriptions, dating to the 1st and 2nd centuries AH (7th–8th centuries AD).
This new discovery opens an important new window for a deeper understanding of its history. Sheds light on the strong and concentrated Egyptian presence in Sinai during this early era, when Egypt’s rulers worked to subdue rebels and assert state control over the borders.  
</t>
  </si>
  <si>
    <t>archaeological surveys</t>
  </si>
  <si>
    <t>Wadi Khamileh</t>
  </si>
  <si>
    <t>Sinai</t>
  </si>
  <si>
    <t>Ministry of Tourism and Antiquities</t>
  </si>
  <si>
    <t>ama63@fayoum.edu.eg</t>
  </si>
  <si>
    <t>Abdelmoniem Mohammed Abdelmoniem Mohammed Gomaa</t>
  </si>
  <si>
    <t xml:space="preserve">A Multidisciplinary Approach for the Documentation and Analysis of a unique Wooden Headrests </t>
  </si>
  <si>
    <t xml:space="preserve">Studies on headrests and their construction are rare. Therefore, it is important to draw attention to the importance of headrests in daily life and in funerary furniture among the ancient Egyptians. Because the headrest lacks a comprehensive study of the importance of this type of artifact, its manufacturing methods, and its components. The paper aims to document and analyze a unique wooden headrest. This headrest was very important in ancient Egypt, as it was used in funerary equipment and daily life. Visual observation, 2D and 3D documentation were used for documentation, the Optical Microscopy (OM) was used for wood identification, and the scanning was carried out using an electron microscope coupled with an Energy Dispersive X-ray (SEM-EDX). The results showed that the 2D illustrations helped highlight the deterioration aspects of the wooden headrest, and Manufacturing technique and 3D helped to document the headrest fully. The textile layer and the rope were linen, while the wood species was Acacia nilotica </t>
  </si>
  <si>
    <t>Wood</t>
  </si>
  <si>
    <t>headrest</t>
  </si>
  <si>
    <t>Agisoft Metashape</t>
  </si>
  <si>
    <t>Conservation Department, Faculty of Archaeology, Fayoum University, Egypt</t>
  </si>
  <si>
    <t xml:space="preserve"> Comparative Efficacy of Green versus Synthetic Gels as Cleaning Systems for Previous Conservation Treatments from Wooden Artefacts</t>
  </si>
  <si>
    <t>This paper aims to evaluate the efficacy of green (gellan gum) and synthetic (acrylamide) nanogels for removing the previous conservation (paraffin wax) from the wooden artefacts. The experimental sycamore wooden samples were covered with a ground layer and pigment: Calcium carbonate CaCo3 with gypsum CaSo42H2O for the ground layer and white colour, goethite α-FeOOH for the yellow pigment, hematite(α-Fe2O3) for the red pigment, and animal glue as a bending medium. The experimental samples were aged, and paraffin wax was applied to the pigment. Eight nanogel formulations, combining gellan gum or acrylamide with surfactants (SDS or Texapon), were used in water or toluene solvent. The efficacy of cleaning was assessed using optical microscopy (OM), scanning electron microscope (SEM), colorimetric measurements, and Fourier transform infrared spectroscopy (FTIR). Results revealed that the best type of gel for cleaning coloured wood samples was gellan gum+ texapon in toluene. The paraffin wax was removed entirely (∆E reduction from 64.16 to 13.11 for white pigment), and no gel residue was found. This system provides a sustainable and effective solution for reversing prior conservation treatments of paraffin wax on coloured wooden surfaces.</t>
  </si>
  <si>
    <t>Nanogel</t>
  </si>
  <si>
    <t>Previous conservation</t>
  </si>
  <si>
    <t>wood</t>
  </si>
  <si>
    <t>Preserving the Past: Analyzing the Deterioration and Conservation of Black Resin in Ancient Egyptian Funerary Artifacts</t>
  </si>
  <si>
    <t>This paper aims to study the factors and manifestations of the deterioration of black Resin that was applied to funerary furniture in ancient Egypt. The black resin was used to fulfill funerary purposes, such as expressing grief in ancient Egypt or simulating ebony wood, black Resin was applied to funerary furniture, like shabti statues, boxes, stelae. It was also applied to wooden coffins, food preservation vessels, and canopic vessels, as well as statues of Amenhotep II and Tutankhamun and Yuya and Tuya, and other kings of the New Kingdom statues to later eras, However, wooden artifacts covered with black Resin significantly deteriorated from production date until now. The study utilized, Visuals assessment was used to identify the condition of the black Resin on the wooden artefacts, Fji software and DStretch software were used to document the original texts written on the wooden artefacts covered with black resin. Fourier transform infrared spectroscopy (FTIR), and gas chromatography-mass spectrometry (GC-MS) attached with Thermal Separation Probe (TSP) unit were used to analyze the black resin sample. The results showed that Bitumen, beeswax, colophony, mastic, and other natural resins are used to make black resin, along with unidentified substances. A collection of natural resins and other compounds with antifungal and antibacterial qualities are present in the black resin layer's complexes. It also possesses insect repelling characteristics. in the past there are damage during application and damage caused by the burial environment, and deliberate deformation in removing the black goo layer from the coffins, statues, broken legs, and hands, removing the face of statues, or applying a black Resin layer to coffins for reuse in the past. And in the present due to improper display and storage, incorrect conservation practices, like using inappropriate materials in restoration or removing the black Resin layer from the coffins due to inadequate knowledge.</t>
  </si>
  <si>
    <t>Black Resin</t>
  </si>
  <si>
    <t>Funerary Furniture</t>
  </si>
  <si>
    <t>Wooden Objects</t>
  </si>
  <si>
    <t>Effect of different solvents on antimicrobial properties of nanomaterials for archaeological wood conservation in the national police museum, Egypt</t>
  </si>
  <si>
    <t xml:space="preserve">This investigation aims to identify and isolate the wood's microbial infestation to determine the treatment options for these problems in the cavern beneath the National Police Museum. It could be achieved by evaluating the effect of different solvents (Distilled water, Ethanol, Propanol, Butanol) on the antimicrobial properties of Silver Nanoparticles (Ag NP), Silica Nanoparticles (SiO2 NP), and titanium dioxide Nanoparticles (TiO2 NP. The fungi were cultivated on cellulose agar, while bacteria were cultivated on nutrient agar. The bacteria were Micrococcus lutus, Streptomyces vinaceus, and Microbacterium imperial, while the fungi were Aspergillus niger, Humicola fuscoatra, Alternaria alternata, Penicillium oxalicum, and Kacurin turfanensis. The results showed that nano-chitosan showed the highest fungal inhibition (30mm) for all isolated microbial organisms, followed by Ag NP in ethanol and Ag NP in propanol, whose effect was for all microbial organisms. Additionally, there was a negative result for Penicillium oxalicum and Humicola fuscorta. The moisture content of the standard sample was 5.8%, while that of the treated samples was between 9.45% and 13.3%.
The FTIR analysis of wood showed the degradation of fungi. Nanomaterials were applied using a brush and spray. After applying nano-chitosan and nano-silver to the treated samples, it was demonstrated that the samples treated with nano-silver darkened and turned black. The results of the mechanical properties test indicated that the standard sample measured 2623.83N, the sample with the highest mechanical properties of the treated sample was nano-chitosan applied by spray measured 6800.23N.
</t>
  </si>
  <si>
    <t>Nanomaterials</t>
  </si>
  <si>
    <t>Microcides</t>
  </si>
  <si>
    <t>yasmin.mohamed8809@gmail.com</t>
  </si>
  <si>
    <t>The Decorative Language of Roman Houses</t>
  </si>
  <si>
    <t xml:space="preserve">Ancient buildings, especially Roman ones, took on a distinctive character in terms of construction methods, based on specific architectural engineering standards and artistic decorations that made them uniquely recognizable even to this day.  
Among the most notable of these structures are Roman houses, which shared a general form and concept across the provinces of the Roman Empire. However, the countries of the Mediterranean Basin were marked by common features that gave Roman art a lasting and authentic imprint in these cities, such as the local effect and influence that remains visible today in places like Tunisia, Algeria, Morocco, and Egypt.
Therefore, this research paper aims to explore the most significant artistic elements and decorative techniques found on Roman domestic architecture, tracing their development from the Hellenistic period. It also examines the similarities observed among cities of the Mediterranean Basin, extending even to parts of Europe—such as towns in the south of France—where these shared artistic and architectural features left a lasting impact.
</t>
  </si>
  <si>
    <t>Atrium</t>
  </si>
  <si>
    <t>Local effect</t>
  </si>
  <si>
    <t>Mosaic scenes</t>
  </si>
  <si>
    <t>Grand Egyptain Museum</t>
  </si>
  <si>
    <t>Pre-Doc Researcher</t>
  </si>
  <si>
    <t>mdody5027@gmail.com</t>
  </si>
  <si>
    <t>Dalia Mohamed Goda</t>
  </si>
  <si>
    <t>A Newly Attested Variant of the Shabti Spell from Tell El-Deir Cemetery, New Damietta</t>
  </si>
  <si>
    <t>Tell El-Deir, located in the northern Delta, New Damietta is a major multi-period cemetery that saw continuous use from the Twenty-Sixth Dynasty through the Graeco-Roman era. Recent investigations at the site have uncovered a notable assemblage of shabtis that preserve an unexpected textual feature. The inscriptions contain a previously unattested addition to the well-known shabti spell derived from Chapter 6 of the Book of the Dead. This textual deviation, absent from contemporary Saite-period examples, suggests the existence of a localized variant of the formula.
The present study aims to document, analyze, and contextualize this new version of the spell. The methodology integrates a philological examination of the inscriptions with a comparative analysis of parallel shabti corpora from other Delta and Upper Egyptian sites. This approach allows for a systematic evaluation of the distinctive features observed in the Tell El-Deir examples and for assessing their relationship to broader textual traditions.
The findings indicate that the added clause represents more than a scribal anomaly: it reflects a purposeful adaptation that may shed light on regional mortuary practices and the transmission of funerary texts during the Late Period. This newly attested variant contributes valuable evidence for understanding textual diversity and localized religious expression in the Delta.</t>
  </si>
  <si>
    <t>Tell El Deir</t>
  </si>
  <si>
    <t>Shabti Spell</t>
  </si>
  <si>
    <t>Saite Period</t>
  </si>
  <si>
    <t>Doctoral Student</t>
  </si>
  <si>
    <t>sherihesh@gmail.com</t>
  </si>
  <si>
    <t>Shereen Kamal</t>
  </si>
  <si>
    <t>Behind the Brush and Lens: The painters and Photographers Graeco-Roman Museum</t>
  </si>
  <si>
    <t>Throughout the history of Alexandria, many have dedicated themselves to preserving its rich heritage and documenting it through artistic works, ensuring the city’s memory is passed down to future generations. Over more than sixty years, a number of painters—diverse in nationality and artistic perspective—excelled in depicting the archaeological discoveries of Alexandria. These artifacts, later housed in the Graeco-Roman Museum, form the majority of today’s permanent exhibition and have inspired generations of artists.
Historical sketches and catalogues capture detailed scenes of ancient artifacts, inscriptions, and reliefs displayed in the museum’s halls, offering visitors a glimpse into the beauty and artistry of the civilizations that flourished in Alexandria. Alongside painters, photographers played a crucial role in documenting these discoveries. They ranged from well-known, prestigious studios in early twentieth-century Alexandria to passionate amateurs who photographed artifacts immediately after excavation and before their placement in the museum.
More than a century later, these photographs and drawings have been reused in banners and exhibitions following the museum’s renovation and reopening, becoming an integral part of its visual identity. The work of these painters and photographers transcends time; it is a lasting legacy. Through their lenses and brushes, the history of Alexandria comes alive on the walls of the grand Graeco-Roman Museum, telling the story of a remarkable civilization and its priceless discoveries.
This artistic and photographic documentation does more than preserve artifacts—it preserves the spirit of Alexandria and the memory of its civilization. It allows visitors from all eras and places to witness the grandeur of the past, guided by the meticulous and inspiring work of artists from diverse backgrounds who dedicated themselves to capturing the essence of this extraordinary city.</t>
  </si>
  <si>
    <t>Archaeological discoveries  - Painters , Photographers , Museum , Catalogues , Mission , Alexandria History</t>
  </si>
  <si>
    <t>Museums , Historical Documentation , Inscription , Ancient Artifact , Reliefs</t>
  </si>
  <si>
    <t>Alexandria preservation , Culture  , Museology</t>
  </si>
  <si>
    <t xml:space="preserve">Faculty of Arts - Alexandria University </t>
  </si>
  <si>
    <t>Post-Doc Researcher, Independent Researcher</t>
  </si>
  <si>
    <t>monaelhadidy40@gmail.com</t>
  </si>
  <si>
    <t>Mona</t>
  </si>
  <si>
    <t>Poster</t>
  </si>
  <si>
    <t>"The Canopic Branch of the Nile: A Key Trade Route Linking Egypt and the Mediterranean until the End of the Late Period</t>
  </si>
  <si>
    <t>Abstract:The Canopic Branch of the Nile served as a crucial commercial and navigational passage for nearly 4,500 years, remaining active from the Early Dynastic Period until the Late Roman Period in the fifth century AD. As the largest and oldest of the former Nile branches in the western Delta, it played a significant role in Egypt’s economic and political history. It was the primary trade route in the Delta, hosting some of the earliest commercial stations and river ports that facilitated trade between Egypt and the Mediterranean world.During the Late Period (664–332 BC), commercial activity along the Canopic Branch flourished. Naucratis emerged as a major trade hub, linking Egypt to Mediterranean markets through ports like Heracleion and Canopus. Archaeological findings, including sunken ships and cargo remains, highlight the scale of this maritime trade. Greek merchants imported goods such as olive oil and wine, while Egypt exported wheat, textiles, and other commodities.Beyond commerce, the Canopic Branch held strategic importance in political and military affairs, particularly during the fifth and fourth centuries BC. As the main gateway into Egypt from the Mediterranean, it provided the fastest access to the heart of the Nile Delta, making it a focal point in various historical events.This study adopts both analytical and historical approaches, utilizing archaeological evidence such as port remains, shipwrecks, and trade-related artifacts, alongside textual references from papyri and classical sources. The findings reaffirm the Canopic Branch’s role as a major commercial artery, emphasizing its importance in connecting Egypt with the wider Mediterranean economy.</t>
  </si>
  <si>
    <t xml:space="preserve">Mediterranean sea </t>
  </si>
  <si>
    <t xml:space="preserve">Canopic Branch </t>
  </si>
  <si>
    <t xml:space="preserve">Maritime trade </t>
  </si>
  <si>
    <t xml:space="preserve">Maritime archaeologist at the Ministry of Tourism and Antiquities... phD from the University of Alexandria, Egypt </t>
  </si>
  <si>
    <t>asmaa_alieldin2711@yahoo.com</t>
  </si>
  <si>
    <t>ASMAA ALIELDIN ALI ABDELFATTAH</t>
  </si>
  <si>
    <t>A New Discovery of the Earliest Sources of the Underworld Books in the Valley of the Kings</t>
  </si>
  <si>
    <t>The Books of the Underworld began to appear at the start of the New Kingdom era. Serving as a guide for the deceased king in the realm of death, they connected him with the daily rebirth of the sun god. Through this connection, the deceased king hoped to be regenerated cyclically and resurrected with the sun God from the eastern horizon of the sky.
Further excavation work was carried out in the tomb (KV 38) of King Thutmose I in season 2023-2024, under the supervision of a German and Egyptian mission. Exciting new insights into the earliest known versions of the royal books of the afterlife of the New Kingdom could be provided by the various finds and unexpected royal artifacts discovered during the excavation work in the burial chamber. 
These recent discoveries included plaster fragments from the Book of Amduat, other funerary equipment, and a remarkable limestone slab inscribed with a section from the second hour of this funerary book. Thus, the burial chamber featured an exceptional, unique decorative program combining an innovative funerary context with a distinctive decorative concept. It was adorned with two specimens of the Amduat: one made of limestone and the other of stucco. These specimens are considered the earliest sources of royal funerary literature in the New Kingdom and the oldest religious texts of the books of the Netherworld.
This research demonstrates the epigraphic and iconographic characteristics of the scenes and inscriptions depicted in these new funerary findings, highlighting their distinguishing features and extraordinary artistic design. Furthermore, by comparing the newly discovered versions of the Amduat from tomb KV 38 with the Amduat version from the tomb of King Thutmose III (KV 34) for the first time, significant artistic differences and evolutions between the reigns of Thutmose I and his grandson can be identified.</t>
  </si>
  <si>
    <t>Valley of the Kings</t>
  </si>
  <si>
    <t>Tomb of king Thutmose I (KV38)</t>
  </si>
  <si>
    <t>Book of the Amduat</t>
  </si>
  <si>
    <t>Egyptian Museum in Cairo</t>
  </si>
  <si>
    <t>mohamed.2178423@studenti.uniroma1.it</t>
  </si>
  <si>
    <t xml:space="preserve">Shaymaa Mohamed </t>
  </si>
  <si>
    <t>Nile as the Heart of the Egyptian Civilization</t>
  </si>
  <si>
    <t>The study of ancient Egyptian is unlimited and timeless. During the past few years, there was an idea that the study of Egyptology started with Napoleon; however, the medieval Arabs had their own interpretation of ancient Egyptian culture and monuments. They described Egypt during the 7th and 8th centuries. They highlighted the Nile as a lifeline with an introduction of the integral role of the Nile in Egyptian civilization, and consequently, a long-lived cultural paradigm that features this major river at its heart from ancient times until modern-day Egypt. This presentation will identify how two historiographical traditions—Western (19th-20th century) and Arabic-Islamic medieval—interpreted the concept of the Nile for Egypt. 
While centered on the actual event in the Ancient Egyptian New Year ritual (وفاء النيل - Wafaa’ El-Nile), a continuing tradition that reflects changing cultural and religious moral attitudes in Egypt in relation to the river.
Adopting a comparative historical approach to examine the classical Arabic corpus with reference to the more accessible Western Egyptian material, pointing out differences of worldview, chronology, and interpretation. The founding act establishes the controversy, on the one hand, a way of looking at it modelled on the mediaeval Arab that treated Egypt’s history as a moral and religious whole, while the other was a Western reinterpretation vested in chronological time and scientific (interpretation based upon archaeological data made with diligent personal effort to understand an object or monument).
Besides, along with redefining the symbolic development of the Nile, this work would also pave the way for further research into Arab medieval perceptions of ancient Egypt in the wider context of cultural heritage studies and cross-cultural historiography.</t>
  </si>
  <si>
    <t>How have medieval Arab historians and exegetes perceived ancient Egypt through the prism of the Nile and divine providence?</t>
  </si>
  <si>
    <t>How has the significance of the Nile been recast in modern history by Western Egyptologists?</t>
  </si>
  <si>
    <t>In the changing relationship Egypt has with the river and its history, how did this show up in the Wafaa El-Nile ceremony?</t>
  </si>
  <si>
    <t>Sapienza University</t>
  </si>
  <si>
    <t xml:space="preserve">Rome, Italy </t>
  </si>
  <si>
    <t>becky.clifton@unimelb.edu.au</t>
  </si>
  <si>
    <t>Becky Clifton</t>
  </si>
  <si>
    <t>Sarapias: fragments of the story of a woman who lived in Roman Egypt</t>
  </si>
  <si>
    <t>Roman Period funerary masks can be found in fragmentary condition in collections around the world, often with incomplete or unreliable provenance. In 2021, Asja Müller published a major study, collating Roman Period masks in international collections and using stylistic features to situate them within seven local workshop groups. To this corpus, an unpublished Roman Period funerary mask donated to a university art collection in 2009 can be added. The current paper utilises the above study to suggest a more reliable provenance and date range for the mask, which can be attributed to Müller’s Tuna el-Gebel / Antinoöpolis Workshop Group 1 or 2 and given a likely date in the second half of the 2nd century CE. To support the use of this mask in university teaching, an imaginative reconstruction of the complete object was produced, utilising features commonly attested in 2nd century masks attributed to these groups. In addition, demographic information, material culture, and written evidence from Hermopolis (associated with the Tuna el-Gebel necropolis) and nearby Antinoöpolis were used to restore a sense of the life that might have been lived by the owner of this mask, whom we have taken the liberty of calling ‘Sarapias’. This is a popular theophoric name, attested in the late 2nd century census records from Antinoöpolis, which further reflects the complex cultural context of Graeco-Roman Egypt. The hope is that by reconstructing Sarapias’s funerary mask, students and researchers will gain an appreciation of her identity and humanity, as well as the changing world in which she lived.</t>
  </si>
  <si>
    <t>Roman Egypt</t>
  </si>
  <si>
    <t>funerary mask</t>
  </si>
  <si>
    <t>burial equipment</t>
  </si>
  <si>
    <t>No</t>
  </si>
  <si>
    <t>The University of Melbourne</t>
  </si>
  <si>
    <t>Lecturer</t>
  </si>
  <si>
    <t>rahotep.nefert@gmail.com</t>
  </si>
  <si>
    <t>Marwa Abdel Razek</t>
  </si>
  <si>
    <t>Optimizing Museum Collection Management and Documentation for Sustainable Institutional Growth</t>
  </si>
  <si>
    <t>Optimizing collection management and documentation systems is fundamental to strengthening museums as resilient cultural institutions capable of achieving sustainable growth. This research examines strategic approaches to enhancing institutional performance through improved registration processes, accurate documentation, and effective management of museum collections. By analyzing international best practices and evaluating their adaptability across different museum contexts, the study focuses on establishing comprehensive documentation frameworks, streamlining collection workflows, and integrating innovative digital technologies.
Key themes include the role of digital platforms in enhancing preservation, accessibility, and internal efficiency; the significance of precise documentation in supporting research, exhibitions, and public engagement; and the contribution of well-structured collection management practices to long-term institutional planning. The study also highlights the importance of capacity-building, cross-departmental coordination, and the development of sustainable policies that reinforce the museum’s mission and operational stability.
The expected outcomes include practical recommendations for aligning collection management activities with institutional goals, improving resource utilization, and strengthening organizational resilience. This approach underscores the pivotal role of effective collection management and documentation in ensuring the sustainable growth of museum institutions.</t>
  </si>
  <si>
    <t>Collection</t>
  </si>
  <si>
    <t>Museum</t>
  </si>
  <si>
    <t>Documentation</t>
  </si>
  <si>
    <t>Lecturer, Others</t>
  </si>
  <si>
    <t>Egypt , Cairo</t>
  </si>
  <si>
    <t>yike.xu@studio.unibo.it</t>
  </si>
  <si>
    <t>Yike Xu</t>
  </si>
  <si>
    <t>Erasing the god: A Study of Amun’s Damnatio Memoriae in the Amarna Period</t>
  </si>
  <si>
    <t>The ancient Egyptians believed that the preservation of one’s name and image was essential for maintaining existence in the afterlife. Conversely, their deliberate erasure could condemn an individual to eternal annihilation — a practice commonly described by the modern term damnatio memoriae. Throughout Egyptian history, this mechanism served as a powerful tool of memory control and ideological sanction.
A particularly striking episode occurred under Akhenaten, whose radical religious reform replaced the traditional pantheon with the exclusive worship of the Aten. This shift was accompanied by a wide-reaching iconoclastic programme directed primarily against Amun/Amun-Ra, though other deities — including Mut, Hathor, Isis, Osiris, and the collective term nṯrw (“gods”) — were occasionally targeted. Inscriptions and images of Amun were erased from temples, statues, and tombs across both royal and private contexts, from the Delta to Nubia.
This paper examines 165 documented cases of these interventions through a combined epigraphic and iconographic methodology, classifying them into textual, iconographic, and combined categories. The analysis demonstrates that Atenist iconoclasm was predominantly systematic and state-driven, with the majority of cases occurring in royal contexts rather than private ones. Despite its extensive scope, the campaign ultimately proved inconsistent and short-lived, revealing internal tensions within Akhenaten’s reform and illuminating the complex, often ambiguous nature of Atenist religious policy.</t>
  </si>
  <si>
    <t>Amarna Period</t>
  </si>
  <si>
    <t xml:space="preserve">Religion </t>
  </si>
  <si>
    <t xml:space="preserve">University of Pisa </t>
  </si>
  <si>
    <t>Italy</t>
  </si>
  <si>
    <t>Chinese</t>
  </si>
  <si>
    <t>mohgaellaimony@gmail.com</t>
  </si>
  <si>
    <t>Mohga Ramadan Abd El-Kader Abd El-Kawy</t>
  </si>
  <si>
    <t>Between Potter’s Wheel and Anvil: Tracing Early Pottery-Making Techniques at Kom Ombo during the Old Kingdom</t>
  </si>
  <si>
    <t xml:space="preserve">The discovery of an Old Kingdom pottery workshop during the groundwater-lowering project at Kom Ombo Temple (2017–2019) provides a unique opportunity to explore pottery production in Upper Egypt from the Third to early Fifth Dynasties. The workshop is situated north of the modern temple enclosure, between the Crocodile Museum and the Nile. It comprises three distinct occupational phases that reflect a long-lasting chaîne opératoire and a changing technological landscape.
Archaeological evidence demonstrates that this workshop represents an exceptional case within Old Kingdom material culture. Its significance lies not only in the discovery of what appears to be the only known limestone potter’s wheel disk from Ancient Egypt found so far, which challenges existing assumptions regarding the chronology and spread of wheel technology, but also in the fact that it is the only workshop where clear archaeological evidence of pottery shaping through an anvil-and-ground technique has been documented. The workshop floors contain deliberately cut rounded, and oval impressions filled with clay, functioning as molds and working surfaces associated with hammerstones, indicating a hybrid forming strategy and a complex technological repertoire.
This paper presents a technological analysis of the pottery production techniques identified at the workshop, integrating chaîne opératoire methodology with micro-contextual spatial observations. Additionally, the study utilises ethnoarchaeological data from contemporary workshops in Egypt that continue to employ comparable forming techniques, providing a valuable framework for interpreting continuity, innovation, and localised craft identities across deep time.
By situating this discovery within wider debates on technological transmission, regional production systems, and the organisation of craft in the Old Kingdom, the paper aims to contribute to ongoing discussions surrounding the development of early pottery-making technologies in Ancient Egypt.
</t>
  </si>
  <si>
    <t>kom Ombo</t>
  </si>
  <si>
    <t>pottery workshop</t>
  </si>
  <si>
    <t>craft technology</t>
  </si>
  <si>
    <t>Egyptian Ministry of Tourism and Antiquities</t>
  </si>
  <si>
    <t>elena.hertel@uni-hamburg.de</t>
  </si>
  <si>
    <t>Elena Luise Hertel</t>
  </si>
  <si>
    <t>Stone Carved Manuscripts. Hieratic Stelae in the Third Intermediate Period</t>
  </si>
  <si>
    <t>This paper will present some preliminary results of the research project, 'Stone Carved Manuscripts: The Use of Cursive Script on Stelae as a Phenomenon of Cultural Change in Egypt's Third Intermediate Period'. The project examines the practice of inscribing hieratic onto stone stelae during this time, offering detailed case studies that analyse the materials and carving techniques employed for some examples. These studies are complemented by a cultural analysis addressing the broader questions of the motivations and significance behind the decision to use hieratic rather than hieroglyphic scripts for inscriptions carved on stelae.
The close material analysis of the case studies revealed significant variation in layout, carving techniques, and palaeography. This lack of uniformity may indicate a wider range of creators, reflecting a more fragmented and locally focused society. The choice of script has sometimes been interpreted as evidence of a decline in the abilities of scribes and craftspeople, due to the script’s association with mundane writing and the numerous grammatical and orthographic peculiarities found on the stelae. An alternative scenario is suggested here: the cursive script, originally developed for writing with ink and a reed brush on portable writing materials such as papyrus, was intentionally used to create a conceptual link to the manuscript sphere and associated with administrative and judicial documents, thereby adding to the legal authority of the stone. The diversity in execution, however, speaks against a unified trend or a method employed by specific workshops, with the phenomenon likely representing local responses to the changes in manuscript culture happening in the entire country.</t>
  </si>
  <si>
    <t>Third Intermediate Period</t>
  </si>
  <si>
    <t>hieratic</t>
  </si>
  <si>
    <t>stelae</t>
  </si>
  <si>
    <t>Hamburg University, Centre for the Study of Manuscript Cultures</t>
  </si>
  <si>
    <t>Post-Doc Researcher, Research Fellow</t>
  </si>
  <si>
    <t>Germany</t>
  </si>
  <si>
    <t>German</t>
  </si>
  <si>
    <t>heba118abdelaziz@gmail.com</t>
  </si>
  <si>
    <t xml:space="preserve">heba Sayed abdelaziz mohammed momen </t>
  </si>
  <si>
    <t>Museums as Spaces for Slow Thinking: An Educational Model for Enhancing Reflection and Decision-Making Skills among Visitors</t>
  </si>
  <si>
    <t xml:space="preserve">Museums as Spaces for Slow Thinking: An Educational Model for Enhancing Reflection and Decision-Making Skills among Visitors
Abstract
This study examines the capacity of museums to function as environments that cultivate slow thinking, a cognitive mode characterized by reflection, intentional attention, and deliberate decision-making. Grounded in cognitive psychology, the research challenges the typical fast-paced patterns of museum visiting and argues for the integration of structured reflective practices within gallery experiences. By reviewing international models that embed reflection into cultural learning, the study builds a theoretical foundation for a contextually adapted educational framework suitable for Egyptian museums.
The research develops and implements an educational model based on Bloom’s Taxonomy, aligning each cognitive level with a specific reflective task designed to deepen engagement with museum objects. The applied component was carried out in multiple Egyptian museums, with a detailed case study conducted at the Greco-Roman Museum in Alexandria. The model included guided reflection prompts, decision-making stations, multimodal engagement tools, and structured pauses intended to enhance attention and interpretive depth. Participants comprised general visitors as well as individuals with learning difficulties, intellectual disabilities, and visual impairments.
Data were collected through observational protocols, structured questionnaires, and think-aloud recordings to capture reflective behavior and decision-making processes. Results indicate a marked improvement in visitors’ ability to sustain attention, articulate deeper interpretations, and make informed choices while navigating exhibitions. The model proved especially beneficial for visitors with cognitive and sensory challenges, supporting increased focus, comprehension, and confidence.
The findings highlight the value of slow thinking pedagogies within museum practice and demonstrate their potential for enhancing inclusive education and experiential learning. The study concludes that adopting structured reflective models can significantly enrich visitor engagement and strengthen cognitive skills, offering a scalable framework that cultural institutions can adapt to diverse educational objectives.
</t>
  </si>
  <si>
    <t xml:space="preserve">Slow Thinking </t>
  </si>
  <si>
    <t xml:space="preserve">Reflective Learning </t>
  </si>
  <si>
    <t xml:space="preserve"> Museum Education</t>
  </si>
  <si>
    <t>Supervisor of the Museum Education Program for People with Special Needs, Museums Sector, Ministry of Tourism and Antiquities</t>
  </si>
  <si>
    <t xml:space="preserve">Cairo / Egypt </t>
  </si>
  <si>
    <t>injiadham7784@gmail.com</t>
  </si>
  <si>
    <t>Inji Adham Mohamed Selim</t>
  </si>
  <si>
    <t>Undesired Food Types in the Coffin Texts</t>
  </si>
  <si>
    <t>Food consumption is a habitual practice, related to all living creatures. It significantly impacts the survival and wellbeing of a person. So, the Ancient Egyptians have given a great interest to food production and the satisfaction of people’s needs. This concept was shifted to the Afterlife, where the deceased is provided with a great variety of food stuff. However, he rejects some types of nutrition in a great array of Coffin Texts’ spells. This behaviour is occasionally linked to the nature of the offered food, its undesired effect or a religious obligation. Some of these types are mysterious or not consumed in actual life and are interwoven in many Coffin Texts motifs. Yet, the reason for this reluctance is not always justified, and the consequences are quite enigmatic. So, this paper examines related expressions, featured circumstances and consults parallel texts to fill a gap in the Afterlife beliefs. Indeed, the undesired types of food are preceded by a negative form with  tm,   n wnm “not to eat” or  bwt “detestation,” denoting the rejection. Consuming decomposed food, causes weakness or destruction, faeces and urine are opposite to the required purity as well as causing death, what Geb lifts causes putrefaction or thirst and what is spew is related to the malicious god Seth. Encountering these undesired types is obviously equivalent to food shortage and eventual starvation. Some characters like Seqedy and Khnum are actively involved in bringing this food, to engender harm. Moreover, the deceased could be stopped by the personified faeces and urine during his journey. So, these types could be related to malicious characters, obstruction, prohibition and impurity, leading to inexistence or improper life.</t>
  </si>
  <si>
    <t>Afterlife</t>
  </si>
  <si>
    <t xml:space="preserve">hunger   </t>
  </si>
  <si>
    <t>nutrition</t>
  </si>
  <si>
    <t>Faculty of Arts, AinShams university, Tourist Guidance Department</t>
  </si>
  <si>
    <t>Cairo</t>
  </si>
  <si>
    <t>New Perspectives on the Evolved Iconographic Features of the Funerary Papyri of the Third Intermediate Period</t>
  </si>
  <si>
    <t>The funerary papyri of the Third Intermediate Period represent one of the most important religious sources, characterized by a wealth of various funerary scenes that reflect the religious beliefs of ancient Egyptians during this period. These papyri exhibit various types of groups decorated with abundant further developed religious illustrations, showing a new theological creation and providing an innovative perspective for the conception of the realm of the dead and of the nightly journey of the sun god.
This investigation will present my doctoral research, which aims to clarify and demonstrate the artistic features of abbreviated funerary scenes in Third Intermediate Period papyri. The research will also analyze their evolved iconographic representations, despite the absence of some explanatory elements that would fully explain the depiction due to the limited available surface area on these papyri. Therefore, my study will focus not only on papyri featuring the evolution of the funerary iconography from the various Books of the Afterlife, but also on other examples representing new artistic and religious elements not belonging to any of books of the Netherworld. These elements have been compiled into a single, composite illustration to create a new artistic, ideological and creative meaning.
Furthermore, this research also examines the content of these papyri in order to identify the deceased's theological perspectives and religious concept of the journey to the Underworld. The deceased wishes to accompany the sun god on this journey, in the hope of uniting with and being reborn alongside him. Therefore, the textual and iconographic representations on the papyri served as magical protection and guidance for him in the underworld.
The main objectives of this research are carried out through the study of unpublished and extraordinary main collections housed in the storage of different international museums (e.g. Egyptian Museum in Cairo, the British Museum, etc.).</t>
  </si>
  <si>
    <t xml:space="preserve">Funerary Papyri </t>
  </si>
  <si>
    <t>Books of the Netherworld</t>
  </si>
  <si>
    <t>maryam.alaa25@gmail.com</t>
  </si>
  <si>
    <t>MARIAM ALADDIN</t>
  </si>
  <si>
    <t>From Tomb Raiding to Museum Robbery: Historical and Modern Frameworks of Looting, Repatriation, and the Protection of Egyptian Antiquities</t>
  </si>
  <si>
    <t>Looting and the contested ownership of Egyptian antiquities are issues deeply rooted in both ancient practices and modern global heritage debates. While Egyptology often focuses on colonial-era collecting and recent trafficking networks, the phenomenon of tomb raiding is not exclusively modern; it was a recurring challenge in ancient Egypt itself. This research traces the continuity of looting from pharaonic-period tomb robberies—documented through judicial papyri, archaeological evidence, and administrative responses—to contemporary museum thefts and illicit art-market circulation.
Through an interdisciplinary approach incorporating archaeology, cultural heritage law, criminology, and museum studies, this paper examines how ancient tomb raiding operated as a social, economic, and political phenomenon, and how these patterns inform modern vulnerabilities. Case studies include recent high-profile museum robberies, trafficking pathways uncovered in international investigations, and the role of digital platforms in obscuring provenance.
The research further evaluates current repatriation policies and international conventions, while critically assessing the effectiveness of existing protective frameworks within Egyptian museums and global institutions. Special emphasis is placed on exploring new strategies for safeguarding artifacts, including digital registries, AI-supported provenance tracing, community engagement models, enhanced museum security systems, and collaborative international monitoring initiatives.
By linking ancient precedents with modern challenges, this study argues that the protection of Egyptian antiquities must be understood as a dynamic, evolving process that requires both historical awareness and innovative approaches. The paper ultimately proposes an integrated model of heritage stewardship that prioritizes transparency, shared responsibility, and sustainable protection against looting in all its forms.</t>
  </si>
  <si>
    <t>MUSEOLOGY</t>
  </si>
  <si>
    <t>TOMB RAIDING</t>
  </si>
  <si>
    <t>MUSEUM ROBBERY</t>
  </si>
  <si>
    <t xml:space="preserve">THE EGYPTIAN MINISTRY OF TOURISM AND ANTIQUITIES </t>
  </si>
  <si>
    <t>EGYPT</t>
  </si>
  <si>
    <t>EGYPTIAN</t>
  </si>
  <si>
    <t>shahy.radwan@gmail.com</t>
  </si>
  <si>
    <t>Shahy Radwan</t>
  </si>
  <si>
    <t>Re-contextualising Egypt’s History: Assessing Western Scholarly Constructs and Reaffirming Egyptian Perspectives on Egyptian–Hyksos Interactions</t>
  </si>
  <si>
    <t xml:space="preserve">Since the formation of Egyptology as a discipline, research agendas and interpretive frameworks have been profoundly shaped by Western colonial structures and Eurocentric epistemologies. These influences remain particularly visible in scholarship concerning the Hyksos and their presence in Egypt during the Second Intermediate Period (SIP). Although recent archaeological discoveries have prompted extensive re-evaluation of this period, prevailing geopolitical conditions and entrenched disciplinary biases continue to affect the interpretation of both textual and material evidence. Such dynamics have, at times, produced selective engagement with archaeological data or the construction of models designed to reinforce long-standing assumptions.
Contemporary Western conceptions of multiculturalism—typically characterized by narratives of social integration, intermarriage, and mutual coexistence—have increasingly informed interpretations of Egyptian–Hyksos cultural connections. Concurrently, ancient Egyptian historiographic traditions, ethical frameworks, and textual records are frequently dismissed as unreliable or ideologically compromised. This dismissal is often accompanied by rhetoric that minimizes Egyptian historical agency while advancing claims concerning the “incalculable debt the Egyptians owe to the Hyksos.” These discursive tendencies, shaped by modern political and intellectual contexts, have contributed to a reframing of SIP cross-cultural interactions that obscures the specificity of Egyptian perceptions of foreign groups.
This study foregrounds Egyptian perspectives—both ancient and contemporary—in order to reassess Egyptian–Hyksos encounters and critically examine the Eurocentric assumptions embedded within dominant Egyptological narratives. The project employs a three-phase methodological design. First, a Critical Discourse Analysis (CDA) is applied to recent Western scholarship to evaluate shifts in interpretive paradigms concerning the SIP. Second, two surveys—one targeting Egyptian archaeologists and one directed toward the broader Egyptian public—collect contemporary perceptions and cultural memory relating to the Hyksos. Third, three case studies drawn from Egyptian state media are analyzed to investigate modern representations of the Hyksos episode. The results demonstrate substantial divergences between archaeological evidence, ancient Egyptian textual traditions, and the prevailing Eurocentric reconstructions of this period.
</t>
  </si>
  <si>
    <t>Cross-Cultural Interactions</t>
  </si>
  <si>
    <t xml:space="preserve">Egyptian Local Perspectives   </t>
  </si>
  <si>
    <t>Decolonizing Egyptology</t>
  </si>
  <si>
    <t>Flinders University -Australia</t>
  </si>
  <si>
    <t xml:space="preserve">Egyptian / Australian </t>
  </si>
  <si>
    <t>marianadel1000@yahoo.com</t>
  </si>
  <si>
    <t>Marian Adel Ataalla</t>
  </si>
  <si>
    <t>Ritual Falcon Forms in Ancient Egypt: A Reassessment of Šnbty, GmHsw, and Axm from Their Origins to the Graeco-Roman Period</t>
  </si>
  <si>
    <t xml:space="preserve">This paper offers a new assessment of the ritual falcon forms Šnbty, GmHsw, and Axm, three distinctive yet interrelated manifestations of Horus that have received limited scholarly attention. Rather than treating these forms as isolated iconographic variants, this study argues that they functioned collectively as an integrated ritual system central to the expression of divine power, protection, and cosmic renewal in ancient Egyptian religious practice.
Methodologically, the research applies a combined textual, iconographic, and contextual analysis. It examines occurrences of the three forms across temple inscriptions, ritual manuals, funerary compositions, and artistic representations from the earliest attestations through the Graeco-Roman period. Particular emphasis is placed on evidence from major cult centers such as Edfu, Dendera, and Nekhen, where these forms appear in well-defined ritual contexts. This integrated approach allows for the reconstruction of their functional roles within ceremonies of divine rejuvenation, daily temple liturgy, and royal festivals—including the coronation of the living falcon and the Sed-festival.
The findings demonstrate that Šnbty, GmHsw, and Axm articulated complementary aspects of Horus’s ritual agency. Their characteristic appearance—a crouching or linen-wrapped falcon—underscored themes of sacred embodiment, rebirth, and the cyclical restoration of order. By tracing their development and ritual deployment, the study highlights their contribution to the theological synthesis that united Horus, Ra, and Osiris and mediated the relationship between kingship, divinity, and the afterlife.
The paper concludes that these forms represent a coherent ritual triad whose functions extend beyond iconography to embody key religious concepts of power, protection, and cosmic balance. This reassessment not only clarifies their individual meanings but also provides new insight into the broader dynamics of ritual symbolism within ancient Egyptian religion.
</t>
  </si>
  <si>
    <t>Horus</t>
  </si>
  <si>
    <t>Ritual Practices</t>
  </si>
  <si>
    <t>Ancient Egyptian Religion</t>
  </si>
  <si>
    <t>National Museum of Egyptian Civilization</t>
  </si>
  <si>
    <t>lucie.vendelovajiraskova@ff.cuni.cz</t>
  </si>
  <si>
    <t>Lucie Jirásková</t>
  </si>
  <si>
    <t>The Opening of the Mouth ritual in the Old Kingdom</t>
  </si>
  <si>
    <t>The beginnings of the ancient Egyptian ritual of the Opening of the Mouth are still not clear. The outstanding interpretation of the meaning of the ritual by Ann Macy Roth is widely accepted, but what do we know about the steps of this process in the Old Kingdom?
The main source of information are the Pyramid Texts, where there is a of description of the ritual connected with the divine rebirth of the king. Physically, in the material culture, the ritual is represented by the Opening of the Mouth ritual sets that are usually found inside burial chambers of the Old Kingdom officials.
When do these sets start to appear? Are they standardised? What are their positions within the burial chamber and the distribution of the burial equipment? Can they be traced also outside the burial chambers? What is their role in the underground compartments and elsewhere? Were they ever used or are they just a symbolic piece of equipment?
The presentation will discuss all these questions to shed more light on the nature of the Opening of the Mouth ritual in the Old Kingdom.</t>
  </si>
  <si>
    <t>ritual</t>
  </si>
  <si>
    <t>Czech Institute of Egyptology</t>
  </si>
  <si>
    <t>Czech Republic</t>
  </si>
  <si>
    <t>Czech</t>
  </si>
  <si>
    <t>gsuaymo@gmail.com</t>
  </si>
  <si>
    <t>Guillermo Suay Montagud</t>
  </si>
  <si>
    <t>The hieroglyphic signs Aa2/Aa3 as buboes: a palaeographic-clinical hypothesis</t>
  </si>
  <si>
    <t>This paper re-examines the hieroglyphic signs Aa2/Aa3 of the Gardiner sign list, traditionally glossed as “pustule/gland”. Using a diachronic, image-controlled corpus (Early Dynastic to early Middle Kingdom), I document a substitutional shift in determinatives connected with morbid phenomena: terms that earlier admit mud/clay signs (e.g. N32) increasingly show ovoid Aa2/Aa3 forms during the late Old Kingdom-First Intermediate Period, with conspicuous concentration in the embalming epithet imy-wt. Representative, datable attestations (e.g., Satinteti, MFA 24.593a; Neferiu, MET 12.183.8; Mesheikh false doors; Henhenet, MET 07.230.1d; Cairo CG 28003; Brooklyn 52.127a) are scored conservatively for morphology (ovoid vs pointed/packet-like), presence/absence of a short lateral stroke, and colour conventions.
On formal grounds, the most frequent ovoid silhouettes, and occasional short lateral strokes, closely match the visual grammar of large, tense, sometimes draining swellings. I therefore advance a working hypothesis: canonical Aa2/Aa3 functioned as clinical icons of buboes, and their prominence reflects how writers and artisans in this horizon conceptualised and marked such swellings.
While the argument is strictly palaeographic and epigraphic, it is contextualised by a Bronze Age biomedical frame: the emergence of flea-borne Yersinia pestis, notably acquisition of ymt on pFra, falls within a window compatible with the period in which Aa2/Aa3 become standardised. This alignment is not treated as proof but as a historically plausible context.
Authored by a practising physician and Egyptologist, the study concludes with a proposal of a testable agenda: complete palaeographic analysis of the signs during all the periods, distributional analysis of imy-wt and related lexica, and targeted interdisciplinary collaborations where feasible.</t>
  </si>
  <si>
    <t>Gardiner's signs Aa2/Aa3</t>
  </si>
  <si>
    <t>Palaeography</t>
  </si>
  <si>
    <t>Yersinia pestis</t>
  </si>
  <si>
    <t>Autonomous University of Barcelona; University and Polytechnic La Fe Hospital of Valencia</t>
  </si>
  <si>
    <t>Spain</t>
  </si>
  <si>
    <t>Spanish</t>
  </si>
  <si>
    <t>irias31@gmail.com</t>
  </si>
  <si>
    <t>Iria Souto Castro</t>
  </si>
  <si>
    <t>Protecting the Vulnerable within the House at Deir el-Medina: A Case Study on Domestic Religion</t>
  </si>
  <si>
    <t xml:space="preserve">Archaeological, textual, and iconographic evidence from a variety of ancient Egyptian settlements points to the existence of domestic contexts specifically associated with ritual activity. These domestic spaces, equipped with objects (anthropoid busts, offering trays, ‘female scenes’, Ax-iqr-n-Ra stelae, amulets) and installations (altars, false doors or vertical niches) suitable for performing intimate acts of communication with selected deities and with deceased family members, collectively define what may be termed a domestic religion. Within the framework of this contribution, which focuses on the New Kingdom settlement of Deir el-Medina, I undertake an integrated analysis of artefacts and architectural features found in areas of the house that appear to have played a central role in the performance of protective rituals.
The study argues that the intimate relationships fostered through these ritual practices were conceived as effective means of securing divine and ancestral protection. Particular attention is paid to the ways in which these practices responded to the heightened states of vulnerability experienced by women and infants, especially during pregnancy, childbirth, and early childcare. Domestic rituality in Deir el-Medina emerges, therefore, not as a peripheral set of actions but as a crucial component of everyday strategies for safeguarding household members at moments of physical and emotional risk.
In addition to examining material correlates of ritual behaviour, the contribution incorporates case studies of individuals whose lives illustrate the social realities behind these practices. Eldery women and widows –both well attested in the documentary record of the village—offer valuable insights into the forms of protection, dependency, and agency negotiated within the household sphere. They exemplify and provide a lens through which to understand the broader dynamics of domestic life as a lived phenomenon, shaped by gender, age, kinship, and the need for security within the close-knit community of Deir el-Medina.
</t>
  </si>
  <si>
    <t>Domestic religion</t>
  </si>
  <si>
    <t>Deir el-Medina</t>
  </si>
  <si>
    <t>Vulnerability</t>
  </si>
  <si>
    <t>University of Vigo (my affiliation may change since January 2026 to University of Alcala)</t>
  </si>
  <si>
    <t>Archaeological, textual, and iconographic evidence from a variety of ancient Egyptian settlements points to the existence of domestic contexts specifically associated with ritual activity. These domestic spaces, equipped with objects (anthropoid busts, offering trays, ‘female scenes’, Ax-iqr-n-Ra stelae, amulets) and installations (altars, false doors or vertical niches) suitable for performing intimate acts of communication with selected deities and with deceased family members, collectively define what may be termed a domestic religion. Within the framework of this contribution, which focuses on the New Kingdom settlement of Deir el-Medina, I undertake an integrated analysis of artefacts and architectural features found in areas of the house that appear to have played a central role in the performance of protective rituals.
The study argues that the intimate relationships fostered through these ritual practices were conceived as effective means of securing divine and ancestral protection. Particular attention is paid to the ways in which these practices responded to the heightened states of vulnerability experienced by women and infants, especially during pregnancy, childbirth, and early childcare. Domestic rituality in Deir el-Medina emerges, therefore, not as a peripheral set of actions but as a crucial component of everyday strategies for safeguarding household members at moments of physical and emotional risk.
In addition to examining material correlates of ritual behaviour, the contribution incorporates case studies of individuals whose lives illustrate the social realities behind these practices. Elderly women and widows —both well attested in the documentary record of the village—offer valuable insights into the forms of protection, dependency, and agency negotiated within the household sphere. They exemplify and provide a lens through which to understand the broader dynamics of domestic life as a phenomenon, shaped by gender, age, kinship, and the need for security within the close-knit community of Deir el-Medina.
Keywords</t>
  </si>
  <si>
    <t>University of Vigo (it can change since January onwards to University of Alcala)</t>
  </si>
  <si>
    <t>jehanarafat21@gmail.com</t>
  </si>
  <si>
    <t>Gehan Ahmed el Said Arafat</t>
  </si>
  <si>
    <t>comparing study between the begining of creation  and the after life judgment in ancient Egypt and the Islamic religion</t>
  </si>
  <si>
    <t xml:space="preserve">there is clear similarity between what was mentioned in the ancient Egyptian religion concerning ( the beginning of creation and the after life judgment) and what was mentioned in ( the Islamic religion). I shall study the text which mention all these believes from book of the dead , the pyramids and coffins texts, the funerary papyrus, and  the scenes represented on the tombs wall, to know how did the ancient Egyptians think about the god who created the universe and shall judge the deeds in the after life.   </t>
  </si>
  <si>
    <t>after life judgment</t>
  </si>
  <si>
    <t>creation of the world</t>
  </si>
  <si>
    <t>weighting the heart</t>
  </si>
  <si>
    <t>ministry of Tourism and Archaeology</t>
  </si>
  <si>
    <t>christinamonir1@gmail.com</t>
  </si>
  <si>
    <t xml:space="preserve">Christina Monir Ibrahim </t>
  </si>
  <si>
    <t xml:space="preserve">     Among the seven tombs discovered at the Raqouda site, Tomb IV stands out as the most distinctive. It is the only tomb carved into the rock and features a gabled roof. An irregularly shaped limestone block was used to seal it. A meal was found beside the deceased, preserved in a pottery dish, along with funerary stelae (figures of fruit) and an unguentarium, demonstrating the deceased's family's desire to offer their loved one a last supper of fruit and wine.</t>
  </si>
  <si>
    <t xml:space="preserve">"The Last Supper: The meal served to the deceased owner of the fourth tomb in the Raqouda burials"
Dr. Christina Monir Ibrahim
Christinamonir1@gmail.com
Ministry of Tourism and Antiquities 
Egypt
Raqouda site is located in the eastern necropolis, near the Chatby necropolis, Ancient Alexandria of Egypt, which dates back to the first half of the third century BC. More recent additions were made to the Chatby necropolis, dating from periods later than the original necropolis.
     Among the seven tombs discovered at the Raqouda site, Tomb IV stands out as the most distinctive. It is the only tomb carved into the rock and features a gabled roof. An irregularly shaped limestone block was used to seal it. A meal was found beside the deceased, preserved in a pottery dish, along with funerary stelae (figures of fruit) and an unguentarium, demonstrating the deceased's family's desire to offer their loved one a last supper of fruit and wine.
This research paper addresses the following questions:
- Is the Raqouda site part of the Chatby necropolis? If so, predates or follows it?
- What is the significance and symbolism of the pottery fruit figurines used as funerary stelae buried with the deceased? What is their religious origin—Egyptian or Greek?
- What are the most famous examples of similar meals served in the cemeteries of Egypt and Greece?
-To what extent were these fruits widely consumed in Egyptian and Greek societies?
</t>
  </si>
  <si>
    <t>Raqouda necropolis</t>
  </si>
  <si>
    <t>funerary practices</t>
  </si>
  <si>
    <t>Pottery fruit figurines</t>
  </si>
  <si>
    <t xml:space="preserve">Ministry of Tourism and Antiquities- Egypt </t>
  </si>
  <si>
    <t>Post-Doc Researcher, Lecturer</t>
  </si>
  <si>
    <t>afifirohim1@gmail.com</t>
  </si>
  <si>
    <t>Afifi Ghonim</t>
  </si>
  <si>
    <t>Hydraulic Engineering and Urban Resilience at Dazzling Aten (the golden city)</t>
  </si>
  <si>
    <t xml:space="preserve">Hydraulic Engineering and Urban Resilience at Dazzling Aten
The recent discovery and ongoing excavation of the ancient Egyptian city known as Dazzling Aten (or the "Golden City," as dubbed by Zahi Hawass) offers critical insights into the non-elite urban life and infrastructure planning during the prosperous reign of King Amenhotep III (c. 1390–1353 BC)
The Golden City, or Dazzling Aten, provides compelling archaeological evidence of advanced hydraulic engineering and sustainable urban planning during the reign of Amenhotep III (c. 1390–1353 BCE). As a residential center for royal artisans and workers, the city’s continued operation and stability were paramount, making the safe and efficient management of water resources a critical design challenge.
The site of Dazzling Aten was strategically chosen to align with the regional water system, taking advantage of the natural hydrology of the Nile Valley while mitigating flood risks. The city was situated at a safe elevation and a safe distance from the Qurna Mountains to avoid the direct and destructive impact of flash floods.
The city’s meticulous design, which harmonized with and accommodated the natural flow of floodwaters, was fundamental to its resilience. Rather than opposing the environment, the urban plan integrated it, likely incorporating comprehensive planning to provide water sources for the population and manage floodwater runoff to prevent the destruction of the city’s buildings. Analysis of the urban remains reveals the likelihood of infrastructure—such as wells, cisterns, or managed access points to the Nile River system—designed not only for domestic consumption but also for craft activities requiring a constant water supply. This paper will detail the architectural and topographical evidence for the city's water supply points and drainage systems, demonstrating how environmental factors were integrated into the foundation of this vital urban center dating back to the New Kingdom period.
</t>
  </si>
  <si>
    <t xml:space="preserve">Dazzling Aten (or Golden City)  Amenhotep III      </t>
  </si>
  <si>
    <t>Water Management</t>
  </si>
  <si>
    <t xml:space="preserve">Urban Planning  Hydro-Engineering  </t>
  </si>
  <si>
    <t>Director General of the Central Department for Archaeological Documentation at the Egyptian Ministry of Antiquities</t>
  </si>
  <si>
    <t>ُEgypt</t>
  </si>
  <si>
    <t>wag.wear@gmail.com</t>
  </si>
  <si>
    <t>Hesham Ahmed Mohamed Abdel kader</t>
  </si>
  <si>
    <t>A Late Roman Terracotta Figurine from Middle Egypt: Context, Iconography, and Provenance</t>
  </si>
  <si>
    <t>Abstract:
This paper presents the first comprehensive study and publication of a Late Roman terracotta figurine (4th–6th century CE) from Middle Egypt, currently preserved in the Al-Ashmunein magazine (inv. no. 468). Confiscated in Mallawi in 1999 as part of an illicit antiquities case, the figurine provides a rare opportunity to examine religious thought and devotional practices during a formative period of early Christianity in Egypt, while also addressing the modern challenges of provenance reconstruction and cultural heritage protection.
The figurine hollow, partially painted, and decorated with vegetal motifs embodies a highly syncretic iconography that reflects the coexistence and interaction of Greco-Roman artistic traditions with emerging Christian devotional expressions. Its formal features closely parallel examples in the British Museum, the Petrie Museum, Museo Egizio, and the Louvre, suggesting its production within a wider network of Late Antique terracotta workshops active across Egypt. The study aims to refine the original workshop attribution by comparing typological, technical, and iconographic criteria with securely provenanced parallels, thereby contributing to a more precise contextualization of its archaeological origin.
Three research axes structure this paper: (1) the identification of syncretic religious imagery and its role in domestic or votive devotion during the early Christian centuries; (2) detailed material and stylistic analysis, focusing on construction techniques, firing methods, perforations, pigment residues, and symbolic vegetal motifs; and (3) the reconstruction of the figurine’s modern biography from illicit excavation and trafficking to state custody highlighting the ethical and methodological significance of provenance studies.
By integrating devotional interpretation and material examination, this study advances our understanding of religious life in Late Antique Middle Egypt and underscores the scholarly value of publishing objects whose contexts have been disrupted by illegal antiquities trafficking.</t>
  </si>
  <si>
    <t>Late Roman Egypt</t>
  </si>
  <si>
    <t>Terracotta Figurines</t>
  </si>
  <si>
    <t>Provenance</t>
  </si>
  <si>
    <t xml:space="preserve"> Egyptian Ministry of Tourism and Antiquities</t>
  </si>
  <si>
    <t>asmaebrahim1990@gmail.com</t>
  </si>
  <si>
    <t>Asmaa Ibrahim</t>
  </si>
  <si>
    <t xml:space="preserve">spinning pottery vessels discovered in the Golden City of Amenhotep III </t>
  </si>
  <si>
    <t xml:space="preserve">This paper presents an analysis of a distinct assemblage of specialized pottery bowls recovered from the excavations of the Lost Golden City ("The Rise of Aten") on the West Bank of Luxor, dated to the New Kingdom period. The research aims to establish the function of these vessels as implements for the spinning craft and to evaluate their role within the settlement's overall industrial activities. These discoveries offer crucial material evidence for reconstructing our understanding of the techniques and mechanisms involved in textile production in ancient Egypt.
This study adopted a detailed descriptive and functional methodology, including a comprehensive examination of the discovered spinning bowls and tools. The analysis focused on their forms, dimensions, and patterns of formation. The concentration of these bowls in weaving workshops indicates that spinning was a central craft activity within the city.
The functional analysis confirms that the associated tools, and the diverse shapes and sizes of the vessels, were used to spin different types of fibers (flax, wool, etc.) or to produce yarns of varying qualities and diameters. The widespread availability of these spinning tools suggests that yarn production was a primary and widespread economic activity in the Golden City, enhancing our understanding of the structure of the craft economy in the large New Kingdom settlements.
The collection of ceramic vessels and spinning tools offers a unique and valuable insight into the artistic organization of crafts in the lost Golden City. This study contributes to the dating of specialized tools and the identification of their functions, opening avenues for future research in the field of textile production during the New Kingdom period.
</t>
  </si>
  <si>
    <t>Spinning Bowls</t>
  </si>
  <si>
    <t>Golden City</t>
  </si>
  <si>
    <t xml:space="preserve">Egyptian Museum in Cairo </t>
  </si>
  <si>
    <t>flavie.deglin@gmail.com</t>
  </si>
  <si>
    <t>DEGLIN Flavie</t>
  </si>
  <si>
    <t>More Than a Splash of Red. Reassessing ṯr.w as a Functional and Symbolic Substance in Ancient Egypt</t>
  </si>
  <si>
    <t>ṯr.w is traditionally classified as a type of red ochre, yet its distribution across Egyptian sources suggests a substance operating far beyond the domain of ordinary pigments. Appearing in temple inventories, tribute lists, medical recipes, administrative notes, funerary corpora, and even cosmological compositions, ṯr.w occupies an unusually broad textual landscape. Its consistent distinction from other red materials such as ztj, tmḥ.y, mnš.t, or prš, raises questions about its specific identity, value, and function.
This paper offers a preliminary reassessment of ṯr.w through a contextual re-examination of all known attestations from the Old Kingdom to the Ptolemaic period. Emphasis is placed not on proposing a definitive identification, but on mapping patterns: ṯr.w is grouped with metals and valuable minerals in administrative documents, appears in medical prescriptions dealing with the eyes and skin, and plays a role in solar and regenerative imagery in ritual texts such as the Book of Nut and the Quban Stela of Ramesses II. These associations suggest a substance that was materially red yet carried a symbolic charge connected to vitality, protection, and emergence.
Rather than collapsing these occurrences into a single explanatory category, this study highlights the coexistence of multiple spheres:technical, medical, administrative, and cosmological in which ṯr.w is mobilised. By re-evaluating this neglected term through philological, contextual, and material perspectives, the paper aims to open a discussion on how Egyptians conceptualised substances whose significance lay not only in their physical properties but also in their ritual potency and semantic depth.
As this is part of an ongoing project, the CRE will provide a valuable opportunity to refine interpretations, integrate further textual evidence, and test working hypotheses within a broader scholarly dialogue.</t>
  </si>
  <si>
    <t>pigments</t>
  </si>
  <si>
    <t>ritual practice</t>
  </si>
  <si>
    <t>materiality</t>
  </si>
  <si>
    <t>None</t>
  </si>
  <si>
    <t>French</t>
  </si>
  <si>
    <t>hala.mostafa@arch.asu.edu.eg</t>
  </si>
  <si>
    <t>Hala Mostafa</t>
  </si>
  <si>
    <t>The Stela of Padipare JE 65444 at the Egyptian Museum in Cairo</t>
  </si>
  <si>
    <t>This research tackles the distinguished round-topped limestone sunken relief stela of Padipare, which is on display at the Egyptian Museum in Cairo (JE 65444). It is divided into two parts: the upper part is the lunette along with the main scene of Padipare’s family presenting offerings to Osiris and Isis, and the lower part contains the text in four horizontal lines.
Based on its artistic features, such as the cult of Osiris, Isis, and Ptah under his moringa tree, etc., Memphis is the provenance of the stela. The paleographical, orthographic features, and the artistic features refer to the date of the 26th Dynasty.
This stela is significant because it documents the first and only mention of the name Padipare, the name may be a variation of Padire (pA-di-Ra), which appeared since the New Kingdom. It is suggested that it is in Hebrew “Potiphar - Potiphera”, which is the name of al-ʻAzīz. This hypothesis cannot be accepted, since this stela was made much later, and Padipare was a minor official according to his title “storehouseman of Ptah under his moringa tree”.
The stela also attests the first and only mention of the epithet of Osiris “spirit of his moringa tree”, the rare position “fAi ixt” of presenting offerings, as the individuals are carrying vessels above their shoulders, and the offerings of moringa seeds/fig fruits, which are depicted above a cup as small round dots. The importance of the stela has been acknowledged by scholars; however, no one has provided complete study</t>
  </si>
  <si>
    <t>JE 65444</t>
  </si>
  <si>
    <t>Padipare</t>
  </si>
  <si>
    <t>26th Dynasty</t>
  </si>
  <si>
    <t>Egyptology Department - Faculty of Archaeology - Ain Shams University</t>
  </si>
  <si>
    <t>doaafarag616@gmail.com</t>
  </si>
  <si>
    <t xml:space="preserve">Doaa Mohamed Farag </t>
  </si>
  <si>
    <t>The Journeys of the Royal Mummies: From Deir el-Bahari to the Egyptian Museum in Tahrir</t>
  </si>
  <si>
    <t>The world witnessed in 2021 the spectacular Royal Mummies Parade, when Egypt transferred the royal mummies from the Egyptian Museum in Tahrir to the National Museum of Egyptian Civilization. However, this historic procession was not the first of its kind. The story of the royal mummies’ journey began nearly 140 years earlier, in 1881, with the discovery of the Deir el-Bahari cache in Luxor. This remarkable find included over forty royal mummies, carefully hidden by ancient priests to protect them from tomb robbers.
The first modern transfer of the mummies took place soon after their discovery, when they were transported along the Nile to Cairo aboard a boat — marking the earliest known “royal procession” in modern times. Upon arrival, they were housed in the Bulaq Museum, Egypt’s first national museum of antiquities. Yet, a severe Nile flood struck the museum in the same year, prompting their relocation to Ismail Pasha’s palace in Giza, in what became their second modern journey.
In 1902, with the opening of the Egyptian Museum in Tahrir Square, the royal mummies found a new, more secure home, where they remained for over a century. Interestingly, they were not displayed to the public until 1952.
One of the most curious incidents during their first transfer occurred at Cairo’s customs office: since the term “mummy” did not exist in official records at the time, the mummies were registered under the category “salted fish.”
This paper revisits the multiple relocations of Egypt’s royal mummies from 1881 to 2021, exploring their significance in the evolution of museological practices, heritage management, and public engagement with ancient Egyptian history.</t>
  </si>
  <si>
    <t>Royal Mummies</t>
  </si>
  <si>
    <t>Heritage Management</t>
  </si>
  <si>
    <t>Museology</t>
  </si>
  <si>
    <t xml:space="preserve">I Work as a Senior Curator in the Egyptian Museum </t>
  </si>
  <si>
    <t xml:space="preserve">I'm Egyptian </t>
  </si>
  <si>
    <t>The Dancing Ostracon from Deir el-Medina: Artistic Expression and Cultural Continuity</t>
  </si>
  <si>
    <t>This limestone ostracon, discovered in the workmen’s village of Deir el-Medina, dates to the 19th or 20th Dynasty of the New Kingdom. Measuring approximately 17 cm in width, 11.5 cm in height, and 4 cm in depth, the piece depicts a female dancer in an acrobatic posture, offering a vivid glimpse into artistic expression and cultural practices in ancient Egypt. Currently, the ostracon is displayed at the Museo Egizio in Turin, Italy.
The depiction provides more than artistic beauty—it embodies the Egyptians’ profound appreciation for rhythm, movement, and performance. Dance in ancient Egypt was an essential part of religious, royal, funerary, and social contexts, symbolizing harmony, fertility, and divine order. Female dancers often performed during festivals dedicated to gods such as Hathor and Bes, deities associated with music, joy, and protection.
This ostracon also serves as an important example of how daily life and sacred expression intertwined in artistic representations produced by the artisans of Deir el-Medina. Its spontaneous, almost playful sketch captures the human aspect of art production in the Theban necropolis, where artists immortalized scenes from their world on limestone flakes.
Interestingly, echoes of this ancient dance style persisted well into the 19th century, evolving into what became known as Ghawazi dance—a traditional Egyptian form of performance later developed by iconic figures such as Nabawiyya Mustafa and Badia Masabni, who introduced modern stylistic influences.
This paper explores the artistic, social, and anthropological dimensions of the “Dancing Ostracon,” tracing the continuity of Egyptian performance traditions from the New Kingdom to modern times, and highlighting how artistic expression reflects enduring aspects of cultural identity.</t>
  </si>
  <si>
    <t>Dancing Ostracon</t>
  </si>
  <si>
    <t xml:space="preserve"> Ancient Egyptian Art</t>
  </si>
  <si>
    <t>Cultural Continuity</t>
  </si>
  <si>
    <t xml:space="preserve">Egyptian Museum </t>
  </si>
  <si>
    <t>Trade Routes Between Egypt and Nubia: A Gateway to Civilizational Influence in Ancient Times</t>
  </si>
  <si>
    <t>This paper explores the role of trade routes between Egypt and Nubia in shaping cultural interactions between the two civilizations in ancient times. Nubia's strategic location between the northern Nile Valley and the heart of Africa positioned it as a vital trading partner for Egypt.
Trade relations between the two civilizations extended beyond economic exchange, fostering significant cultural and civilizational influences.
The study highlights the importance of geography in shaping trade routes. The Nile River was the primary transportation and trade artery, complemented by land routes across the desert.
However, traders faced geographical challenges, such as navigating waterfalls and traversing barren deserts. Despite these difficulties, the routes facilitated the exchange of goods and strengthened bilateral relations.
The paper examines the goods exchanged, which solidified trade ties. Egypt imported gold, ebony, ivory, ostrich feathers, and livestock from Nubia, while exporting grains, textiles, and handicrafts, showcasing its industrial advancement. This exchange satisfied mutual needs and enhanced economic cooperation.
The study also delves into the cultural and civilizational dimensions of the relationship. Nubia influenced Egypt in areas like fashion, arts, and architecture, while adopting Egyptian hieroglyphs, religion, and administrative systems. Trade acted as a conduit for these exchanges, fostering a shared cultural identity.
Additionally, the paper discusses the role of political alliances in directing trade. Egypt used military power to secure trade routes and ensure economic stability, while diplomatic agreements promoted long-term trade. The Middle and New Kingdom periods exemplify mutual influence, with revenues from trade financing monumental projects like Abu Simbel Temple.
The study concludes that the Egypt-Nubia trade routes were more than economic channels; they were bridges for cultural exchange, significantly contributing to the development of both civilizations and shaping ancient international relations. Nubia, as a vital partner, played a key role in building Egyptian civilization, beyond being merely a source of wealth.</t>
  </si>
  <si>
    <t>Egypt-Nubia Trade</t>
  </si>
  <si>
    <t>Cultural Exchange</t>
  </si>
  <si>
    <t>Ancient Civilizations</t>
  </si>
  <si>
    <t>dr.heba.hassen.amer@gmail.com</t>
  </si>
  <si>
    <t>Heba Hassan Ahmed Amer</t>
  </si>
  <si>
    <t>Pharaonic Imagery and Cultural Identity in Roman Alexandrian Coinage: Imperial Appropriation and Local Reception</t>
  </si>
  <si>
    <t xml:space="preserve">This study examines how Pharaonic imagery was appropriated and reinterpreted in Roman Alexandrian coinage, arguing that these coins served as a key medium for negotiating cultural identity under imperial rule. Although Alexandrian coinage circulated only within Egypt, its production followed strict imperial directives, allowing Roman authorities to incorporate distinctly Egyptian symbols—such as Isis, Anubis, Nilus, and the sphinx—into a controlled visual programme.
Using an iconographic and contextual methodology, the research analyses coin types, inscriptions, and their historical setting to understand how Pharaonic motifs were selected, adapted, and paired with imperial portraiture. The paper highlights the reign of Hadrian as an illustrative example, since several issues minted after his visit to Egypt in AD 130 combine his portrait with deeply rooted Egyptian symbols. This provides an important model for understanding how imperial Egyptomania functioned in antiquity—not merely as admiration for Egypt’s past, but as a deliberate political strategy that reshaped local heritage within a Roman ideological framework.
The significance of this study lies in its novel contribution, demonstrating that Roman Egyptomania was an active, state-driven process visible in the material record.
The main conclusion is that Alexandrian coinage did not simply preserve Egyptian traditions but actively reinvented them, producing a hybrid visual language that shaped identity formation in a cosmopolitan provincial capital. This shows that cultural negotiation in Roman Egypt occurred not only in monumental art and literature, but also in the everyday objects of economic life.
</t>
  </si>
  <si>
    <t>Pharaonic Imagery</t>
  </si>
  <si>
    <t>Roman Alexandria</t>
  </si>
  <si>
    <t>Alexandria National Museum (MoTA), and Visiting Lecturer at Matrouh University</t>
  </si>
  <si>
    <t>nodymahmod34@gmail.com</t>
  </si>
  <si>
    <t>Hend Mahmod</t>
  </si>
  <si>
    <t>"The Deification of Kings in the Late Period: A Scientific Publication of the Stone Sarcophagus Lid of Priest Hounu from the Mortuary Temple of Ramesses II at Abydos</t>
  </si>
  <si>
    <t xml:space="preserve">Ok i know </t>
  </si>
  <si>
    <t>King Ramsess //</t>
  </si>
  <si>
    <t>Priest Hounu</t>
  </si>
  <si>
    <t xml:space="preserve">Egyptian religious practice </t>
  </si>
  <si>
    <t>Director of precious stone and jewellery store at National museum of Egyptian civilization NMEC</t>
  </si>
  <si>
    <t>Egypt -cairo</t>
  </si>
  <si>
    <t xml:space="preserve">Hend Mahmoud Ali Gaber </t>
  </si>
  <si>
    <t>"The Deification of Kings in the Late Period: A Scientific Publication of the Stone Sarcophagus Lid of Priest Hounu from the Mortuary Temple of Ramesses II at Abydos"</t>
  </si>
  <si>
    <t>The deification of pharaohs was a significant aspect of Egyptian religious and political life, extending beyond their reigns. This practice, which began in the Old Kingdom, continued through the Middle and New Kingdoms, with rulers and even queens being venerated posthumously. Notable examples include Queen Ahmose-Nefertari, Amenhotep I, and Amenhotep III, alongside the famous posthumous veneration of Ramesses II during the Late Period, where his memory and divine status were perpetuated through royal cults.
This study focuses on the sarcophagus lid of Priest Hounu, from the mortuary temple of Ramesses II at Abydos. The lid was previously published linguistically in the catalog "Selection of Ptolemaic Anthropoid Sarcophagi in Cairo", which dealt primarily with hieroglyphic inscriptions and their translations. However, this research explores the archaeological and historical aspects of the lid, examining its iconography, inscriptions, and material composition. The study investigates the religious and cultural significance of the lid, particularly in relation to Ramesses II’s posthumous veneration.
Furthermore, this research has been approved by the Egyptian Permanent Committee for Antiquities, with approval granted for scientific publication. It will explore how Priest Hounu and the priesthood played a key role in maintaining and promoting the royal cult of Ramesses II. Through a detailed analysis of the iconography, the research will provide insights into the rituals and religious practices that reinforced the divine status of deceased pharaohs in the Late Period
*This research can be presented as a short presentation or as a poster at conferences or academic events.</t>
  </si>
  <si>
    <t>king ramsess II</t>
  </si>
  <si>
    <t xml:space="preserve">priest Hunou </t>
  </si>
  <si>
    <t>"Kingship Deification"</t>
  </si>
  <si>
    <t xml:space="preserve">Director of precious stone and jewllery store at National mesuem of Egyptian civlization NMEC </t>
  </si>
  <si>
    <t xml:space="preserve">Egypt -cairo </t>
  </si>
  <si>
    <t xml:space="preserve">Hend Mahmoud Ali </t>
  </si>
  <si>
    <t xml:space="preserve">Scientific puplish to stone anthropoid lid coffin priest Hounu the priest of king Ramsess mortuary temple in Abydos in late period </t>
  </si>
  <si>
    <t xml:space="preserve">Sarcophagus </t>
  </si>
  <si>
    <t>Coffin</t>
  </si>
  <si>
    <t>Priest</t>
  </si>
  <si>
    <t>Curator in National museum of Egyptain civilization NMEC,  Manager of the Precious Stones and Jewelry Store</t>
  </si>
  <si>
    <t>fatmaaziz005@gmail.com</t>
  </si>
  <si>
    <t>Fatma</t>
  </si>
  <si>
    <t>Hours of Solar Rising: A Reinterpretation and Redefinition of the Final Four Hours of the Imy-DwAt Through 21st-Dynasty Papyri</t>
  </si>
  <si>
    <t>This papers present a new reinterpretation of the final four hours of the Imy-DwAt, based on a comparative analysis of a number of 21st-Dynasty funerary papyri. For the first time, the study proposes the designation “Hours of Solar Rising” for a group of hours—specifically Hours 9 to 12—emphasizing that solar emergence begins at Hour 9 rather than Hour 12. This represents the first scholarly attempt to assign a collective name to a set of hours within the Imy-DwAt, in contrast to previous studies that treated each hour individually by name only.
The study demonstrates that these hours do not merely mark the conclusion of the sun god’s nocturnal journey but constitute a critical transformative interval leading to cosmic rebirth at dawn. Through a comparative analysis of a group of papyri, the research reveals a coherent theological and visual structure, reflecting the progressive presence of luminous elements, the emergence of protective divine powers, and a clear transformation in the solar bark’s movement, signaling its approach to the moment of sunrise. It also identifies semantic and symbolic correspondences between the versions, indicating that the ancient Egyptians conceived these hours as an integrated structure addressing cosmic renewal, rather than as a simple narrative ending to the nocturnal journey.
The study aims to redefine the temporal and symbolic function of these hours within the Imy-DwAt and clarify their role in understanding the relationship between the sun god’s journey and the deceased’s path toward rebirth. The findings contribute to:
Developing a new interpretative framework for Hours 9–12, reassessing them as a rising phase rather than a conclusion.
Re-evaluating post-New Kingdom papyri in a perspective that highlights the continuity of funerary thought.
Deepening understanding of cyclical time and the philosophy of light in ancient Egyptian religion.
In doing so, this research provides a comprehensive vision of the final four hours of the Imy-DwAt, redefining them within the framework of cosmic renewal and the connection between the journeys of the sun god and the deceased.</t>
  </si>
  <si>
    <t>Imy-DwAt –</t>
  </si>
  <si>
    <t>Hours of Solar Rising</t>
  </si>
  <si>
    <t>21st-Dynasty Papyri</t>
  </si>
  <si>
    <t xml:space="preserve">Egyptian Museum, Ministry of Tourism and Antiquities </t>
  </si>
  <si>
    <t>allie.mccoskey@gmail.com</t>
  </si>
  <si>
    <t>Allison McCoskey</t>
  </si>
  <si>
    <t>On the (Self-)Representation of Elders in Pharaonic Egypt</t>
  </si>
  <si>
    <t xml:space="preserve">An oft-repeated aphorism is “age is just a number”. The idea behind this sentiment is that a person’s chronological age is less important than their social relationships, physiological capabilities, and position in the community. This presentation examines artistic and textual representations of the elderly from the pharaonic period to interrogate the social position of elders and what messages were conveyed through their (self-)representation. The results of this study are interpreted through the sociological lens of the Third (prior to dependance on others) and Fourth Age (post-dependence).
Through a combination of artistic depictions and textual evidence, it is possible to reconstruct the perceived attributes of the elderly. In statuary, the sculptor could utilize a combination of four facial features to indicate an idealized image of an ‘elder’: an under-eye depression, an emphasized nasolabial fold, a receding hair line, and modelling at the corners of the mouth. However, the body was usually left strong and youthful. In literature, advanced age is used as a plot device, often emphasizing the feeble nature of the elderly, such as in The Maxims of Ptahhotep or the Tale of Sinuhe. Others, such as Papyrus Westcar, use old age to instantly indicate wisdom and experience. By contrast, wisdom texts emphasize the importance of elders and treating them with respect.
Despite many scholars believing the life expectancy in ancient Egypt was quite short, the artistic and textual evidence indicates the robust engagement of elders in social life. The resulting image is one of where those classified as “old” were actively engaged in their communities and, in many instances, were proud of their advanced age. The social position of elders is more nuanced. Advanced age appears to be venerated in the Third Age and derided in the Fourth.
</t>
  </si>
  <si>
    <t>age</t>
  </si>
  <si>
    <t>art</t>
  </si>
  <si>
    <t>literature</t>
  </si>
  <si>
    <t>University of California, Los Angeles</t>
  </si>
  <si>
    <t>United States</t>
  </si>
  <si>
    <t>American</t>
  </si>
  <si>
    <t>maruono.sota@gmail.com</t>
  </si>
  <si>
    <t>Sota Maruono</t>
  </si>
  <si>
    <t>Egyptian Archive and Cultural Contact in the Neo-Assyrian Empire</t>
  </si>
  <si>
    <t>This paper reconsiders cultural contact between Assyria and Egypt through “Egyptian archive” preserved in Neo-Assyrian cuneiform documentation. While earlier scholarship has emphasized diplomacy, military campaigns, and royal ideology, recent studies—particularly by Mattias Karlsson on Neo-Assyrian documentary practices and by Melanie Wasmuth on Egyptians in cross-cultural contexts—have drawn attention to mobility, diversity, and everyday interaction within imperial societies. Building on this scholarship, the present study shifts focus from macro-political narratives to the lived experiences of Egyptian individuals and families active within the Neo-Assyrian Empire.
The central research question examines how Neo-Assyrian legal and economic texts that record Egyptian actors can be understood as “Egyptian archive,” and what they reveal about everyday cultural contact between Assyria and Egypt. More specifically, the paper examines how Egyptian individuals and kinship networks participated in Assyrian legal and economic systems, how family ties functioned as mechanisms of trust and economic stability, and how intermarriage, guarantorship, and service in temples or administrative contexts contributed to processes of social integration.
The analysis focuses on marriage contracts, property transactions, credit agreements, and records of witness and guarantor activity. By reconstructing clusters of documents connected to particular persons and families, these materials are conceptualized as informal archives that illuminate patterns of social participation and cultural negotiation across ethnic and cultural boundaries. The study demonstrates that Egyptians were not merely passive subjects of imperial rule but active agents who navigated imperial institutions while maintaining distinct social identities.
From an Egyptological perspective, this paper contributes to debates on Egyptian agency beyond the Nile Valley, while methodologically highlighting the value of a micro-historical, archive-based approach. It ultimately argues that cultural exchange between Assyria and Egypt was continuously produced through everyday legal and economic practices rather than confined to elite or diplomatic spheres.</t>
  </si>
  <si>
    <t>Cultural Contact</t>
  </si>
  <si>
    <t>Egyptian Archive</t>
  </si>
  <si>
    <t>Neo-Assyrian Empire</t>
  </si>
  <si>
    <t>Tokiwa University High School</t>
  </si>
  <si>
    <t>Independent Researcher, Others</t>
  </si>
  <si>
    <t>jcarbalp@ull.edu.es</t>
  </si>
  <si>
    <t>Jared Carballo-Pérez</t>
  </si>
  <si>
    <t>Body techniques for carrying weight at the Egyptian-Nubian frontier: bioarchaeological evidence from Tombos in a broader perspective</t>
  </si>
  <si>
    <t>This paper examines how gendered load-carrying practices were embodied in the skeletons of individuals living in and around the Egyptian colonial town of Tombos. Building on the idea that socially learned bodily techniques become materially expressed through repetitive action, we employ biomechanical markers to reconstruct everyday labour across a long-term Egypto-Nubian contact zone.
The study includes 275 individuals from the New Kingdom and Early Napatan cemeteries at Tombos (West, North, East), alongside Kerma-associated comparative samples from Abu Fatima and the Northern Dongola sites O16 and P37. We analyse humeral entheseal changes, Schmorl’s nodes and vertebral body spondyloarthritis, and unintentional cranial modifications, assessing their relationship to sex, age, chronology, site and tomb type.
Humeral EC shows clear differences by sex and age, with higher values in males and in middle, mature and old adults, while chronological and inter-site variation remains limited—suggesting persistent gendered divisions of upper-limb labour throughout political transitions. Vertebral indicators show the strongest contrasts: individuals from Kerma contexts at Northern Dongola exhibit high frequencies and severity of Schmorl’s nodes, whereas New Kingdom burials at Tombos show markedly lower values, consistent with a reconfiguration of axial stress in the colonial setting and possibly more administrative roles among those interred in Egyptian-style tombs. Cranial load-carrying increases markedly from the New Kingdom onwards, reaching its highest values in Early Napatan individuals. This pattern is strongly structured by mortuary context: tumulus and chamber tombs at Tombos show the highest cranial loading, whereas pit burials—particularly the Kerma-associated pits at Abu Fatima—display consistently low values. Together, these results point to an intensification of head-supported transport from the New Kingdom onwards, linked to community-specific practices and socially differentiated roles rather than to a simple cultural dichotomy.
Overall, the data reveal differentiated and changing labour regimes across gender, chronology and mortuary traditions, challenging interpretations of Tombos as a uniformly low-labour, administratively protected Egypto-Nubian community.</t>
  </si>
  <si>
    <t>New Kingdom Nubia</t>
  </si>
  <si>
    <t>Egyptian colonial administration</t>
  </si>
  <si>
    <t>Mortuary identities</t>
  </si>
  <si>
    <t>¹ Laboratory for Human Osteoarchaeology, Faculty of Archaeology, Leiden University, Einsteinweg 2, 2333 CC Leiden, Netherlands ² Departamento de Geografía e Historia, Universidad de La Laguna, San Cristóbal de La Laguna, Spain</t>
  </si>
  <si>
    <t>sarahhassan322@gmail.com</t>
  </si>
  <si>
    <t>Sarah Hassan Anwar Mohamed Elhandwy</t>
  </si>
  <si>
    <t>From Storage to Storytelling: A Museological Reimagining of the Bab El-Gasus Coffins</t>
  </si>
  <si>
    <t>The Bab el-Gasus cache was an ancient Egyptian cache found at El Deir el Bahari in 1891. Its entrance was located in front of the mortuary temple of Queen Hatshepsut. Also known as the Second Cache and the Priestly Cache, it contained 254 richly decorated yellow coffins (101 double sets). The coffins were made exclusively of painted wood. 
This collection is housed in different international museums, but the group stored at the Egyptian Museum in Cairo is unique because of its decorations. Most studies merely document and publish these coffins without delving into how they are displayed in museums. 
Therefore, my research examines the redisplay of the Bab el-Gasus coffin collection at the Egyptian Museum in Cairo by investigating the application of new and suitable technical methods intended to improve the presentation, preservation, and interpretation of the collection. The main idea of the new display is to present new objects clearly and coherently within the exhibition narrative. A new mounting system ensures their conservation and clear presentation, allowing visitors to see their amazing decorations from all sides and improving the overall visitor experience. Moreover, to ensure the long-term preservation of the wood, specialized supplies will be used inside the showcases to continuously maintain appropriate humidity and temperature conditions, reducing environmental fluctuations that could otherwise lead to decomposition over time. In addition, the scope of work extends to modernizing the lighting within the showcases while also revising and upgrading the panels, labels, and technological tools employed for display and interpretive purposes.
In conclusion, this new display will help us avoid the disadvantages of the current exhibition, such as unsuitable showcases and limited visibility. This development in display is also necessary for our museum to keep up with other new museums that have recently opened in Egypt.</t>
  </si>
  <si>
    <t>Bab el-Gasus cache</t>
  </si>
  <si>
    <t>Redisplay of the Bab el-Gasus coffins</t>
  </si>
  <si>
    <t>louisa.benhamida11@gmail.com</t>
  </si>
  <si>
    <t>Louisa Ben Hamida</t>
  </si>
  <si>
    <t>Who Served Amenhotep I? Social Networks and Ritual Landscape of a Royal Cult from Karnak to the Theban West Bank</t>
  </si>
  <si>
    <t xml:space="preserve">Although the posthumous cult of Amenhotep I is one of the most well-documented cases of royal worship in ancient Thebes, its social foundations and spatial dynamics remain poorly understood. This paper presents preliminary results from an ongoing research project that adopts a social approach to investigate the individuals who served the memory of Amenhotep I across Thebes, from Karnak to the Theban West Bank, and explores how it shaped the ritual landscape of the king’s veneration.
The study integrates newly collected data with sources from the workmen’s community of Deir el-Medina, as well as from tombs in Dra Abu el-Naga and Sheikh Abd el-Gurna. Epigraphic and material evidence attests to the existence of a significant number of individuals holding priestly offices devoted to Amenhotep I. Preliminary prosopographic analysis reveals dense social networks in which priestly roles were frequently concentrated within specific households or social groups.
Confronting these results with archaeological and architectural remains enables us to propose a reconstruction of Amenhotep I’s cultic landscape between Karnak (particularly through current epigraphic studies of chapels and niches associated with Amenhotep I in the 6th pylon courtyard), the Meniset temple near Dra Abu el-Naga, and the village of Deir el-Medina.
Initial observations suggest that the king’s worship operated through two interconnected spheres: an official, temple-based cult sustained by specialised personnel, and a community-based devotion practised by artisans who also held priestly offices.
Through the combined use of prosopography, spatial analysis, and textual re-evaluation, these preliminary results encourage a reassessment of the role of social actors in shaping royal cults, and offer new insights into the organisation, ritualisation, and ritual landscape of Amenhotep I’s posthumous worship across Thebes.
</t>
  </si>
  <si>
    <t>Amenhotep I</t>
  </si>
  <si>
    <t>Priests</t>
  </si>
  <si>
    <t>Ritual landscape</t>
  </si>
  <si>
    <t>UMR 5140 Archéologie des Sociétés Méditerranéennes (University Paul-Valéry Montpellier 3) &amp; CFEETK (CNRS UAR 3172)</t>
  </si>
  <si>
    <t>Research Fellow</t>
  </si>
  <si>
    <t>France</t>
  </si>
  <si>
    <t>jcolloff@g.harvard.edu</t>
  </si>
  <si>
    <t>Jake Colloff</t>
  </si>
  <si>
    <t>Emics and Etics in Egyptological Theory</t>
  </si>
  <si>
    <t xml:space="preserve">The concepts of emic and etic entered Egyptological scholarship with the 1987 doctoral dissertation of the late Professor Robert Ritner. For approximately three decades thereafter, their usage remained sporadic. Over the past ten years, however, these terms have appeared with increasing frequency, coinciding with a broader openness within Egyptology to theoretical frameworks and methodologies derived from adjacent disciplines. Despite their growing prevalence, there has been little sustained discussion of what emic and etic signify within an Egyptological context. Instead, individual scholars have adopted varying definitions, imported from differing linguistic and ethnographic traditions that engage with fundamentally different types of evidence and epistemic assumptions than those available to Egyptology.
This talk traces the intellectual history of the emic/etic distinction from its original formulation to its subsequent adoption in Egyptological discourse, examining how these terms have been defined and operationalized by different authors. It argues that the inconsistent and undertheorized use of emic and etic is not merely a terminological issue, but reflects deeper, unresolved problems in the epistemological foundations of the discipline itself. In particular, the uncritical borrowing of concepts without sufficient theoretical adaptation risks obscuring the limits of what can be known about past Egyptian perspectives and practices.
The aim of this talk is not to discourage interdisciplinary engagement (on the contrary, such exchanges are essential to the continued development of the field), but to emphasize the need for greater theoretical rigor when importing such ideas and terminologies. The paper concludes by briefly addressing the epistemological conditions of Egyptological knowledge production, problematizing the emic/etic distinction as it has appeared in Egyptology, and proposing a new approach for generating a type of knowledge that is similar to that which is currently labelled “emic”.
</t>
  </si>
  <si>
    <t>Emic</t>
  </si>
  <si>
    <t>Etic</t>
  </si>
  <si>
    <t>Theory</t>
  </si>
  <si>
    <t>Harvard University</t>
  </si>
  <si>
    <t>USA</t>
  </si>
  <si>
    <t>New Zealand</t>
  </si>
  <si>
    <t>ashrafyoussefowais@gmail.com</t>
  </si>
  <si>
    <t>Ashraf Owais</t>
  </si>
  <si>
    <t>ashrafowais@yahoo.com</t>
  </si>
  <si>
    <t>The Olive Green Pigment at Mmi's Decorated Burial Chamber, Geser Almoudir Site. Saqqara. Egypt</t>
  </si>
  <si>
    <t xml:space="preserve">The burial chamber of Mmi was discovered in 2009. There is no evidence that tells exactly the time when Mmi lived. However, from the decoration in the burial chamber, it is likely that the burial chamber dated back to the end of the fifth dynasty or the sixth dynasty .the burial chamber is cut in the bedrock and can be reached through a slope. The mural paintings, in the burial chamber, applied directly on the bedrock which is marl limestone. Ten colors were used in the burial chamber. The olive green color is a unique one; it was used to color one of the cows and some vessels that were in the offering scenes. Green olive color can be obtained by mixing brown with green. At the time of the fifth and sixth dynasty, Hematite was used as Brown pigment, sometimes Manganese was added to Hematite to get the same color. Green pigment was usually Malachite or Egyptian green. Analysis by using EDX shows that Cuprorivaite is the blue pigment that used at Mmi's burial chamber, the green pigment is the Egyptian green, the yellow pigment is yellow ochre (Goethite ). The EDX analysis showed that there was no copper in the green olive pigment. More EDX analysis was done to samples of clay layers taken from Saqqara plateau. The results showed nearly the same elements as the green olive pigment. Therefore, it is thought that the green olive pigment at Mmi burial chamber was green earth. Although it is thought that green earth wasn’t used in ancient Egypt until the Roman time.  Now it is likely that green earth was used in the old kingdom in Saqqara at the end of the fifth dynasty or the beginning of the sixth dynasty, </t>
  </si>
  <si>
    <t>Olive green</t>
  </si>
  <si>
    <t>Mmi burial chamber</t>
  </si>
  <si>
    <t>General Director of Saqqara restoration</t>
  </si>
  <si>
    <t>Others</t>
  </si>
  <si>
    <t>lorenzo.guardiano@unimi.it</t>
  </si>
  <si>
    <t>Lorenzo Guardiano</t>
  </si>
  <si>
    <t>The Busca Egyptian Collection in Lombardy: First Scientific Edition of an Unpublished Funerary Assemblage through Interdisciplinary Research</t>
  </si>
  <si>
    <t>The Egyptian collection assembled by the Milanese nobleman Carlo Ignazio Busca (1791–1850) during his travels in Egypt in 1826 constitutes a unique but largely unpublished funerary assemblage preserved today across several institutions in Lombardy. The collection includes a funerary papyrus containing the Book of the Dead of Ptahmoses (19th Dynasty), fragments of two coffins from different periods, a mummy dated to the Graeco-Roman era, and two New Kingdom funerary stelae. Despite its historical relevance and early interest from pioneers of Egyptology such as Karl Richard Lepsius, the collection has never been studied as a coherent whole, and most of its objects remain unpublished or inadequately edited.
This paper presents the aims, methodology, and first results of an ongoing two-year research project (2025–2027) funded by the Fondazione Cariplo Young Researchers programme, led by the author as Principal Investigator and carried out by a multidisciplinary research team. The project seeks to produce the first complete scientific edition of the entire Busca collection through the coordinated contribution of specialists in different fields.
The inscribed objects are studied through a philological approach combined with digital epigraphy, enabling accurate, non-invasive documentation and analysis of texts and images. The modern history of the collection and its nineteenth-century intellectual context are reconstructed by historians through archival research. Forensic anthropologists investigate the mummy using advanced imaging and diagnostic techniques, while chemists perform non-invasive archaeometric analyses of pigments and materials through multispectral imaging, Raman spectroscopy, and X-ray fluorescence.
The project contributes new primary data to the study of Egyptian funerary material and to the history of Egyptian collections in nineteenth-century Europe.</t>
  </si>
  <si>
    <t>Funerary Literature</t>
  </si>
  <si>
    <t>Digital Epigraphy</t>
  </si>
  <si>
    <t>History of Egyptology</t>
  </si>
  <si>
    <t>University of Milan</t>
  </si>
  <si>
    <t>1100539@student.uwtsd.ac.uk</t>
  </si>
  <si>
    <t>Christian Lindesay</t>
  </si>
  <si>
    <t>Hyperbolic domination via syncretism? Thutmose III as the Cretan-Cypriot bull in the Poetical Stele, and the Egyptian comprehension of the values of the islands</t>
  </si>
  <si>
    <t xml:space="preserve">"jj.n.j dj.j tjtj.k tA jmntj kftiw jsy hr SfSft.k dj.j mA.sn Hm.k m kA rnpt mn-jb spd ʿbwj nj hA.n.tw.f" (Urk IV 615, 17; 616, 1-4)
"I came so I could enable you to trample the western land; Keftiu (Crete) and Isy (Cyprus) are in awe of you. I enabled them to see your majesty as a young bull; firm of heart, sharp of horns, one who cannot cease (invincible)" 
In this passage Thutmose III made a deliberate, brazen, and perhaps culturally informed choice; transforming into a formidable, domineering bull. While the bull’s strength and virility were important ideological components to the image of kingship in ancient Egypt, the bull was also highly symbolic, and cultural significant to the peoples of Late Bronze Age Cyprus and Crete (and by extension, the Mainland of Greece). This raises several interesting questions. How well informed were the Egyptian upper echelons of the cultural values of Crete and Cyprus? Can we identify further Cretan and or Cypriot cultural values - bovine or other – in the Egyptian archaeological and textual records? And what more can we say about the relationship between Crete and Cyprus, from the Egyptian perspective, in the 15th century BCE? We endeavor to address these questions from the Egyptian archaeological and textual records while also providing an interdisciplinary review of Cypriot and Aegean scholarship, concerning their commercial reach and shared cultural milieu in the Late Bronze Age.
</t>
  </si>
  <si>
    <t>Interdisciplinary Methods</t>
  </si>
  <si>
    <t>Archaeology</t>
  </si>
  <si>
    <t>University of Wales, Trinity Saint David (Carmarthen)</t>
  </si>
  <si>
    <t>Wales, United Kingdom</t>
  </si>
  <si>
    <t>Welsh-British</t>
  </si>
  <si>
    <t>ahmadm.bassioni@hotmail.com</t>
  </si>
  <si>
    <t>Ahmed Bassioni</t>
  </si>
  <si>
    <t>The Precinct of Amun-Ra at Hermopolis Magna: An Architectural Study and Reconstruction of the Temple Enclosure</t>
  </si>
  <si>
    <t>The Precinct of Amun-Ra in Hermopolis Magna (modern-day El-Ashmunein) is a reflection of the New Kingdom's religious architectural programs and the use of Amarna spoila in Middle Egypt. Despite previous excavation attempts within the temple’s precinct, in addition to proposed temple planning, much of the temple and the precinct’s layout remains questionable within existing literature. This study presents a new architectural analysis of the enclosure by revisiting data from the Châban, Roeder, and Spencer missions, as well as photogrammetric techniques, geospatial methods, satellite imagery, and digital reconstructions.
The methodology involves, first, creating a detailed, collective plan, highlighting all excavation trenches included in previous site plans. Second, a study that establishes a detailed layout of the enclosure by highlighting in-situ archaeological ruins and ruins visible via satellite imagery, in addition to addressing earlier interpretations of the temple. Third, geospatial analysis, which contributes to the understanding of the layout of the main temple and its ceremonial palace; the latter shows notable resemblance to Ramesses III's palace at Medinet Habu, reflecting the standardised architectural tradition associated with Ramesside-built complexes in Middle Egypt. Finally, the use of archival and collected data for the production of a complete, detailed 2D plan of the temple and the surrounding enclosure, and an architecturally-accurate 3D plan.
Moreover, this research investigates and discusses the temple's hybrid materiality as an indicator of unstable resources and funds over a long period of construction. The sudden shift from reused talatat limestone blocks to new sandstone blocks within the South Pylon, along with the distinctive composite drums of the hypostyle hall columns, serves as evidence of a change in resource management. Therefore, the study presents such architectural analysis, reconstruction, and anomalies through archival data, digital modelling, and photogrammetry, in addition to GIS technologies to identify the layout of the temple and its enclosure.</t>
  </si>
  <si>
    <t>New Kingdom architecture</t>
  </si>
  <si>
    <t>Hermopolis Magna</t>
  </si>
  <si>
    <t>Reconstruction</t>
  </si>
  <si>
    <t>Department of Archaeology and Graeco-Roman Studies, Faculty of Arts, Alexandria University</t>
  </si>
  <si>
    <t>The Precinct of Amun-Ra at Hermopolis Magna: An Architectural Study and Reconstruction of the Temple and its Enclosure</t>
  </si>
  <si>
    <t>Dina.Mohsen@arch.asu.edu.eg</t>
  </si>
  <si>
    <t>Dina Mohsen Hassan</t>
  </si>
  <si>
    <t>The blank text strips on the Third Intermediate Period Theban coffins. Applied on an unpublished cartonnage at the Egyptian Museum in Cairo  (TR. 5.11.16.4)</t>
  </si>
  <si>
    <t xml:space="preserve">This paper discusses and analyzes the potential reasons for the presence of blank text strips as a feature of some Third Intermediate Period Theban coffins, applied on an unpublished cartonnage stored in the Egyptian Museum's basement (TR. 5.11.16.4), characterized by blank text strips running along its entire length. This cartonnage can be dated to the 22nd Dynasty according to the typology and criteria of the decorations. 
Furthermore, the paper conducts a comparative analysis of twenty-one coffins that feature the same artistic element, dating from the Second Intermediate Period to the Greco-Roman Period.
The study aims to provide a classification of these coffins and suggests various coffin cases that are available for sale in the workshops. It also offers several explanations for leaving text strips blank and what they indicate.
These reasons can be summarized in the hypothesis that workshops were producing ready-made coffins intended for the open market. These coffins were sold and used for burials as they were; some had minimal inscription text strips, mostly on the footboard, while others had blank text strips throughout the coffin. This may have been done to cut costs or for decorative, religious, or practical reasons.
Heavy demand for ready-made coffins arises from their importance and the ongoing necessity for this funerary product to facilitate the journey to the afterlife for all social classes, with the features and price of the coffin adjusted to suit each of these classes.
</t>
  </si>
  <si>
    <t>Blank text strips</t>
  </si>
  <si>
    <t>Cartonnage</t>
  </si>
  <si>
    <t>Egyptology Dept., Faculty of Archaeology, Ain Shams Univ., Cairo, Egypt</t>
  </si>
  <si>
    <t>Cairo, Egypt</t>
  </si>
  <si>
    <t>Kholoud.shawky404@gmail.com</t>
  </si>
  <si>
    <t>Kholoud</t>
  </si>
  <si>
    <t>Playing with Sand and Fire: The Revival of an Egyptian Heritage Craft</t>
  </si>
  <si>
    <t xml:space="preserve">As early as Badarian culture in predynastic Egypt (c. 4400-3800 B.C.) steatite beaded objects were decorated by glazing. This technique lasted to decorate the wall tiles of the funerary apartment in the Step Pyramid in the Old Kingdom, (c.2667–2648 BC.) and other objects, faience amulets, in the Middle Kingdom (c. 2025-1700 B.C.) and onwards. 
By the New Kingdom (c. 1570- 1069 B.C.) glass beads were decorated the cuff bracelets. Gold jewelry and wooden furniture were inlayed with glass. New glassmaking techniques were used to create complete colorful cosmetic containers and other objects.
Glassmaking, a craft born from the fusion of sand and fire, developed from early experimentation into a highly refined art that came to embody Egyptian identity and creative spirit. Despite its long history from that early time through the Islamic periods and the modern era, the practice faces marginalization today due to industrial production, lack of documentation, and the decline of traditional workshops. 
This research addresses the problem of heritage erosion by investigating how traditional Egyptian glassmaking techniques can be understood, documented, and revived within both historical and contemporary contexts. 
The study contributes to heritage preservation by proposing a future framework for safeguarding this tradition, including its potential recognition as an element of Egypt’s intangible cultural heritage within UNESCO. Ultimately, it underscores glassmaking as a living heritage that links past and present while strengthening cultural belonging and identity.
</t>
  </si>
  <si>
    <t xml:space="preserve">glassmaking techniques </t>
  </si>
  <si>
    <t xml:space="preserve">heritage </t>
  </si>
  <si>
    <t>ancient Egypt</t>
  </si>
  <si>
    <t>Ph.D. student, Archaeologist at Ministry of Antiquities</t>
  </si>
  <si>
    <t>mahmoud_elsaid.2012@yahoo.com</t>
  </si>
  <si>
    <t>Dr : Mahmoud El Said</t>
  </si>
  <si>
    <t>Trade in Ancient Egyptian Antiquities in the World  (Reasons , Issues , Suggestions To solve This Problem)</t>
  </si>
  <si>
    <t xml:space="preserve">Trade in Ancient Egyptian Antiquities in the World 
(Reasons , Issues , Suggestions To solve This Problem)
Dr : Mahmoud El Said
PhD in History from Suez Canal University – Egypt
Mahmoud_elsaid.2012@yahoo.com
Abstract
This research paper sheds light on the size of the trade in ancient Egyptian antiquities in the world, talks about the reasons that  some people in the world To work in this trade,  The goal is to achieve large financial . This study talks about important problems related to ancient Egyptian antiquities, such as searching for antiquities in an incorrect and illegal way within some Egyptian sites. This study talks about The efforts of the Egyptian state and international institutions in the field of trade in ancient Egyptian antiquities
This study talks about setting laws related to the trade in ancient Egyptian antiquities, which punish those who trade in ancient Egyptian antiquities.
This study puts some proposals to solve this problem, whether inside Egypt or outside Egypt. for example of these solutions is: (Placing numbers for all ancient Egyptian antiquities in the files of Egyptian museums that are brought from archaeological sites, communicating with international museums to find out how these pieces arrived in these museums, Control in Egyptian airports and ports, using modern technologies. and many other things).
Study plan: 
 Introduction: The trade in ancient Egyptian antiquities in Egypt before laws were established. 
 First: The reasons for the trade in Egyptian antiquities in the world. 
 Second: Problems facing the Egyptian government Related to the trade in ancient Egyptian antiquities
 Third: The efforts of the Egyptian state and international institutions in the field of trade in ancient Egyptian antiquities. 
 Fourth: Proposals to solve the problem of the trade in ancient Egyptian antiquities.
Keywords  : Trade, Ancient Egyptian Antiquities, Issues, Reasons, Suggestions, Egypt .
</t>
  </si>
  <si>
    <t>Trade</t>
  </si>
  <si>
    <t>Ancient Egyptian Antiquities</t>
  </si>
  <si>
    <t>Issues</t>
  </si>
  <si>
    <t>PhD in History from Suez Canal University - Egypt</t>
  </si>
  <si>
    <t>Cairo - Egypt</t>
  </si>
  <si>
    <t>bardies_elbakly2008@yahoo.com</t>
  </si>
  <si>
    <t>Bardis Samir</t>
  </si>
  <si>
    <t>Tutankhamun’s Fly-Whisks: Assumptions and Probabilities</t>
  </si>
  <si>
    <t xml:space="preserve">The fly-whisks of King Tutankhamun are among the unique findings of his tomb KV62. The four objects (Carter No. 148 a,b,c and 168) were found under the wheels of his chariot (Carter No. 133 and 134) and currently stored at the magazines of the Grand Egyptian Museum (GEM No. 1881 a,b and 874 and 855). In his diaries, Carter’s description referred to a wooden cylindrical handle, carved in the shape of lion's head and neck, and covered with thin gesso and gold leaf. The handle was attached to a bundle of reeds covered or bound round with leather and ends with small tufts of black horsehair. This research aims to discuss the assumptions around the fly-whisks of Tutankhamun, being horsehair, and introduces the probability of using giraffe hair in fly-whisks making.
The giraffe widely coexisted in ancient Egypt; in particular during the Prehistoric periods due to the environmental and climatic conditions, and savanna-like vegetation at those times. It was not only an animal observed by people in nature, but it also related to many symbols, religious rituals and even deities. Numerous rock art in Egypt and Nubia during the Predynastic and Protodynastic periods depicted the giraffe, not to mention other objects such as palettes, knife handles, and pottery vessels. Following the climate change, the number of giraffes in Egypt has been reduced. With the passage of time, giraffes became valuable and precious gifts from Africa to Egypt. However, scenes of giraffes continued during the dynastic periods over the walls of temples or inside the tombs of high officials.
This paper discusses a new interpretation for the fly-whisks of King Tutankhamun, as part of a larger research which looks at the significance of the giraffe and its iconography in ancient Egypt and Africa.
</t>
  </si>
  <si>
    <t>Tutankhamun</t>
  </si>
  <si>
    <t xml:space="preserve">Giraffe Tail </t>
  </si>
  <si>
    <t>KV62 and TT40</t>
  </si>
  <si>
    <t>Grand Egyptian Museum</t>
  </si>
  <si>
    <t>meroalaa901@gmail.com</t>
  </si>
  <si>
    <t>Amira Alaa El Din Ali</t>
  </si>
  <si>
    <t xml:space="preserve">meroalaa901@gmail.com </t>
  </si>
  <si>
    <t xml:space="preserve">Topographical features of ancient Alexandria: Discoveries at Fouad Site 2020: A case study </t>
  </si>
  <si>
    <t xml:space="preserve">  Topographical features of ancient Alexandria: Discoveries at Fouad Site 2020: A case study .
The site is situated on El-Horeyya Street, also known as Fouad Street, in the middle district of Alexandria, beneath the hill of Kom El Dikka. The ministry of antiquities conducted salvage excavation in 2020. the location in the heart of the ancient city close to Canopic Way.
 Following the removal of the building built in the 1940s, deposits of the first layer in place were reached at a depth of 1.50 m of debris, then remains of Roman walls at 2 m, then crushed limestone at 4 m, which represents evidence of the partial destruction of previous levels, and a long phase of bedrock at 5 m. 
The result of excavation work at the Fouad site was discovering some features of the water distribution system of ancient Alexandria dating to the Hellenistic and Roman periods. includes parts of hydraulic structures consisting of rock-cut wells and water cisterns.
 In the western part of the site, about three rounded wells curved on the rock were discovered. In the eastern part, another rectangular well supported by masonry to prevent it from collapsing, connected with subterranean tunnels (hyponomes), was discovered. Deep restricted groundwater and sedimentary sand layers are made possible by the Alexandrian subsoil. Infiltration first provided these aquifers with natural water, while the Alexandria Canal later provided artificial water. Discovered a late Roman water storage cistern on the northwest side that was connected to a ladder. 
In the northeastern section of the site, discovered rectangular limestone slabs were utilized to level the sidewalk along Canopic Way L1, according to the Mahmoud Bey El-Falaki map of ancient Alexandria. Ultimately, this discovery provides critical new data that will necessitate a re-evaluation of the current understanding of the topography of ancient Alexandria and its hydraulic system in the heart  of the city.</t>
  </si>
  <si>
    <t xml:space="preserve"> New Discoveries at Fouad site 2020</t>
  </si>
  <si>
    <t>New topographical features of ancient Alexandria</t>
  </si>
  <si>
    <t xml:space="preserve">Ancient Alexandria </t>
  </si>
  <si>
    <t>Ministry of tourism and antiquities, Egypt</t>
  </si>
  <si>
    <t xml:space="preserve">Alexandria </t>
  </si>
  <si>
    <t>mohamed_ahmed@arch.asu.edu.eg</t>
  </si>
  <si>
    <t>Mohamed Ahmed Mohamed Mohamed Abd el-Salam</t>
  </si>
  <si>
    <t>Museum Collections Management at the Nubia Museum and Its Role in preservation Nubian Heritage: An Analytical Study Based on Contemporary Museological Practices</t>
  </si>
  <si>
    <t xml:space="preserve">Museum collections management is defined as the comprehensive term encompassing all aspects of the physical care and documentation of collections. Due to its broad conceptual scope, it effectively includes a wide range of activities that may appear diverse in nature; however, they share a common objective: protecting collections and their associated information from deterioration, theft, and destruction, while enabling both physical and intellectual access to museum objects.
The significance of this research lies in highlighting the importance of museum collection management and its practices—including documentation, registration, archiving, and conservation—for preserving and access Nubian heritage. The research methodology based on analytical of unpublished museum archival documents concerning the transfer of objects from Egyptian museums to the Nubian Museum in Aswan. It also employs a comparative approach to collection management systems in national and international museums that display Nubian artifacts. The research problem lies in the attempt to develop a sophisticated and innovative museum documentation and registration system that meets the recommendations of the International Committee on Museum Documentation (CIDOC) of the International Council of Museums (ICOM).
Regarding the case study, the museum officially opened on 23 November 1997. The museum collections adopt a narrative exhibition approach that presents the development of Egyptian civilization in Nubia across different historical periods from geographical, social, and cultural perspectives. Covering a total area of 50,000 square meters, the museum comprises eight main exhibition halls. Its collections include statues, everyday tools, pottery, inscriptions, and funerary stelae, in addition to displays documenting Nubian life prior to displacement, thereby enabling visitors to understand Nubian heritage.
Accordingly, this research aims to propose an innovative and applicable vision for an integrated Collection Management System (CMS) tailored to the Nubia Museum’s holdings, contributing to the development of a sustainable museum model that bridges Nubian studies, Egyptology, and museological practice.
</t>
  </si>
  <si>
    <t>Museum Collections Management</t>
  </si>
  <si>
    <t>Nubian Heritage</t>
  </si>
  <si>
    <t>Museum Practices</t>
  </si>
  <si>
    <t>- Assistant Professor, Archaeology faculty, Ain Shams University. - Postdoctoral Research Associate at the American Research Center in Cairo (ARCE). - Postdoctoral Research Associate at the French Institute for Oriental Archaeology in Cairo (IFAO).</t>
  </si>
  <si>
    <t xml:space="preserve"> The Roman Bath Complex at Moharambek: Results of the 2014 Rescue Excavation in Alexandria .</t>
  </si>
  <si>
    <t xml:space="preserve">
​Abstract:
​This study details the findings of a 2014 rescue excavation conducted in the Moharambek district of Alexandria, which uncovered the remains of a significant Roman-period bath complex. The discovery includes a diverse array of hydraulic and thermal features, most notably a massive vaulted wall belonging to a thermal room and a semi-circular furnace situated on the northwestern periphery. The water management system is represented by a series of canals, basins, and a southwest-oriented cistern designed for water storage and distribution. Structural analysis revealed characteristic red-brick flooring throughout the complex, a hallmark of Roman balneal architecture. By examining the integration of heating furnaces with subterranean water canals, this paper identifies the site as a sophisticated example of Roman engineering. As a vital component of the Graeco-Roman urban fabric, this newly discovered complex provides essential data for understanding the distribution of public and private amenities in ancient Alexandria.</t>
  </si>
  <si>
    <t>Alexandrian roman bath</t>
  </si>
  <si>
    <t xml:space="preserve">New discovery of roman bath in Egypt </t>
  </si>
  <si>
    <t xml:space="preserve">Roman baths in western delta in Egypt </t>
  </si>
  <si>
    <t xml:space="preserve">Ministry of tourism and antiquities. </t>
  </si>
  <si>
    <t>lauren.dogaer@univ.ox.ac.uk</t>
  </si>
  <si>
    <t>Lauren Dogaer</t>
  </si>
  <si>
    <t>Tombs, Titles, and Trades:  Defining Occupational Groups in the Ptolemaic Theban Necropolis</t>
  </si>
  <si>
    <t xml:space="preserve">The rock-cut tombs of the Theban necropolis (modern-day Luxor) have a long history of continuous reuse. Social profiles based on occupational groups have been established for the New Kingdom (SLINGER) and for the Third Intermediate and Late Periods (KACZANOWICZ). For the New Kingdom, SLINGER distinguished between priests, various branches of administration (military, temple, royal, general, and local), and individuals of unknown status across different sectors of the necropolis. KACZANOWICZ, in turn, defined social and professional groups as members of the royal family, viziers, singers and chantresses, administrators, priests, non-clergy temple personnel, and scribes. A comprehensive social profile for the Ptolemaic Period, however, is still lacking.
The most informative evidence for this period comes from the Demotic–Greek papyrus archives of the Theban mortuary priests (choachytes). Responsible for maintaining the cult of the dead through weekly libations, these priests left detailed documentary records, including sale contracts naming tomb owners and neighbours with their titles, and mummy transfer lists recording the names and occupations of the deceased. Although these sources have been widely studied by PESTMAN, MARTIN, and CANNATA, aspects of the social composition of tomb owners and the spatial organization of burials in the necropolis have received less attention.
On the basis of this papyrological evidence, this paper defines the occupational groups attested in the Theban necropolis during the Ptolemaic Period and compares them with those identified for earlier periods. In addition, it examines the bilingual mummy lists—often translated from Demotic into Greek for legal purposes—as evidence for the multicultural and multilingual context of tomb reuse. Particular attention is paid to how Egyptian professional titles were rendered and displayed in Greek, and to what these choices reveal about contemporary perceptions of the trades practiced by those buried in the Theban necropolis.
</t>
  </si>
  <si>
    <t>Theban Necropolis</t>
  </si>
  <si>
    <t>Tomb Reuse</t>
  </si>
  <si>
    <t>Occupational Groups</t>
  </si>
  <si>
    <t>University College, Oxford</t>
  </si>
  <si>
    <t>United Kingdom</t>
  </si>
  <si>
    <t>Belgium</t>
  </si>
  <si>
    <t>maxime.brun48@gmail.com</t>
  </si>
  <si>
    <t>Maxime Brun</t>
  </si>
  <si>
    <t>A grammatological approach to the ka concept</t>
  </si>
  <si>
    <t>Occurrences of the *ka* are many in Egyptian texts. His sign was used from the very beginning of hieroglyphic writing, until the system was abandoned. Through the prism of grammatology - that showcases the messages conveyed by the script itself, without only considering the phonetic value of the sign - this presentation related with the subject of my Phd thesis ( *"Metamorphosis of the ka. A grammatological study of an Egyptian hieroglyphic sign"* ) aims at determining whether the graphical variations of the *ka* hieroglyph can be related to the nature of the *ka* concept. The initial hypothesis is that the features of the sign are linked with the status of its owner.
The interest of the grammatological aspect is that each sign must be observed individually, as could be an insect in a naturalistic way.
For this reason, this work must be done using primary sources, since publications have often transformed hieroglyphic signs through the use of computer fonts or handwriting. Grammatology requires the original forms of the signs to be questioned. Hence the need to use photographs and  epigraphic drawings, which is an essential aspect of this subject.
The treatment of this extensive corpus is done with the help of MCA ( multiple correspondence analysis ).  MCA allows construction of charts, built from the alignment of different chosen features. The purpose of displaying those charts, is the creation of typology, that enables to visualise norms, through time and space, and isolates exceptional forms of the hieroglyph.
By using this method commonly employed in bioarchaeology - and quite unexpected for linguistic studies - the aim is to conceptualise the hieroglyph as a taxon rather than a simple character of writing, resulting in a classification of the sign.</t>
  </si>
  <si>
    <t>grammatology</t>
  </si>
  <si>
    <t>Ka hieroglyph</t>
  </si>
  <si>
    <t>MCA</t>
  </si>
  <si>
    <t>Université Paul Valéry Montpellier</t>
  </si>
  <si>
    <t>lsjw1n23@soton.ac.uk</t>
  </si>
  <si>
    <t>Lawrence Webb</t>
  </si>
  <si>
    <t>Perceptions, Narratives and Assemblages; Ancient Egypt in the British Museum’s Enlightenment Gallery</t>
  </si>
  <si>
    <t>The British Museum’s ‘King’s Library’ was built to house the personal library of King George III, opening to the public in 1831. In 2003, it was redesigned as the Enlightenment Gallery to reflect the Enlightenment context in which the museum’s founding collections were amassed. The gallery includes objects from Natural History and Printed Books, whose departments have now left the museum to form the Natural History Museum and the British Library respectively. Importantly, the space is designed to be immersive, with painstaking efforts made to hide modern interventions and present a space which is faithful to the Enlightenment era. However, the gallery addresses the context of display (mainly through text panels), and what emerges is the Enlightenment itself being on display; it presents the Enlightenment era as something to be explored through its fascination with collecting objects of other cultures globally. As significant developments in western Egyptology took place at this time, Egyptian objects feature prominently in these galleries. In this paper I examine the ways in which these Egyptian objects are presented to visitors through different display techniques (including lighting, textual approaches, positioning and sub-narratives within the Enlightenment Gallery). I also question what kinds of meaning making might take place within the Enlightenment gallery by considering the immersive setting and architectural features, as well as the relations between objects from diverse cultures placed together to form museological assemblages. I will situate this within debates concerning the immersion of the Enlightenment Gallery and potential visitor misunderstandings of its purpose to show an era in microcosm as opposed to exhibiting objects uncritically in what would be considered a dated approach otherwise. While this approach is interesting and promotes new meaning-making, there is an inherent possibility that entrenched stereotypes of ancient Egypt may find further apparent confirmation in this context.</t>
  </si>
  <si>
    <t>Museums</t>
  </si>
  <si>
    <t>Heritage</t>
  </si>
  <si>
    <t>Decolonisation</t>
  </si>
  <si>
    <t>University of Southampton</t>
  </si>
  <si>
    <t>British</t>
  </si>
  <si>
    <t>nskhedr69@gmail.com</t>
  </si>
  <si>
    <t>Noha Shoukry Khedr</t>
  </si>
  <si>
    <t>Levantine pottery and its imitation in Egypt</t>
  </si>
  <si>
    <t xml:space="preserve">Levantine pottery and its imitation in Egypt
Noha Shoukry Khedr
Aim of the study:
The research aims to identify the Levantine vessels that influenced Egypt, which were replicated in Egyptian clay and evolved in shape during the New Kingdom, such as the Canaanite amphora, pilgrim flask and jug, as well as understanding the goods inside them and the function of each. These vessels used to transport and store goods represent a unique source of information about the circulation of goods from the Levant to Egypt during the New Kingdom, The Canaanite amphora has been depicted on several wall reliefs of the fifteenth and fourteenth centuries BC. One of these of reliefs came from the tomb of “Qn Amun” dating back to the 18th dynasty, which depicts unloading the cargo of ships docking in an Egyptian port, and some Canaanite sailors transporting pots on the Egyptian port. There is much archaeological evidence indicating such a relation between the amphorae as storage jars and the maritime trade. Amphorae were used for transporting a wide variety of commodities, Also, the pilgrim flask was used to transport goods, and the evidence of this is the presence of quantities of it on the Uluburun ship, in addition to the jugs that were imitated with Egyptian clay with the amphorae and the pilgrim flask.
All these reasons led to consider amphoras, pilgrim flasks and jugs of Levantine origin, which were imitated in Egypt due to their importance and use in trade and transporting goods, in addition to their use in preserving wine and oils.
</t>
  </si>
  <si>
    <t>Canaanite Amphorae</t>
  </si>
  <si>
    <t>Pilgrim Flask</t>
  </si>
  <si>
    <t>Jug</t>
  </si>
  <si>
    <t>International Sphinx Airport in the Ministry of Tourism and Antiquities</t>
  </si>
  <si>
    <t>jordan.miller@cornell.edu</t>
  </si>
  <si>
    <t>Jordan Miller</t>
  </si>
  <si>
    <t>Egyptian religion as anthropology</t>
  </si>
  <si>
    <t>Egyptian religion is celebrated for its pluralism and openness, with countless gods and innumerable local traditions. This paper considers what we can learn from learning about Egyptian religion. To do this, it explores parallels between Egyptian religion and analytical frameworks in contemporary social anthropology, particularly work on relations, comparisons, and ontology.
The starting point is to take deity names such as 'Amun-Re' as analogous to anthropological concepts, a way of grasping something elusive and holding it in the mind. Practices of divine syncretism and myth-making by ancient Egyptians are therefore analogous to ethnography. In light of how ethnographers and Egyptologists bring their own backgrounds to bear on the evidence they attempt to synthesize, through a 'double hermeneutic' that ideally reshapes their own conceptual worlds, this paper argues that ancient Egyptians scaled and translated between domains of their complex religious landscape in order to filter new frameworks through familiar terms.
This approach has benefits for Egyptology as a field of study. It positions and values Egyptology not only as a source for cross-cultural comparison, but also as an engine for theoretical innovation. It invests Egyptology more deeply in an transdisciplinary landscape, and gives ancient Egyptian actors greater agency in the inherently political work of anthropology.</t>
  </si>
  <si>
    <t>theory</t>
  </si>
  <si>
    <t>methodology</t>
  </si>
  <si>
    <t>theology</t>
  </si>
  <si>
    <t>Cornell University</t>
  </si>
  <si>
    <t>Singapore</t>
  </si>
  <si>
    <t>lukasz.byrski@student.uj.edu.pl</t>
  </si>
  <si>
    <t>Łukasz Byrski</t>
  </si>
  <si>
    <t>Haunted by the Past: Ancient Egyptian Ghost Stories in Modern Cinematic Imagination</t>
  </si>
  <si>
    <t>Ancient Egyptian literature contains several motifs that, according to contemporary classifications, would be considered fantastic. Two of these motifs are particularly significant, as they continue to be reflected in modern popular culture: tombs haunted by spirits and the quest for a magical book or scroll of knowledge. In contemporary interpretations, the former is frequently depicted as the result of an ancient curse, often involving vengeful mummies—entities that, notably, were not part of ancient Egyptian beliefs. The latter motif, by contrast, represents a universal theme that has largely retained its original message: a cautionary tale against greed and the misuse of power. The earliest recorded narrative in which the central plot involves an encounter with a ghost originates from the late New Kingdom or Ramesside Period (1186–1077 BCE) and is known as “Khonsemhab and the Ghost.” The motif of the magical book is also well attested in ancient Egyptian sources, where it serves a pivotal role in the narrative structure. This motif appears in texts such as the Papyrus Westcar and in the demotic stories of the Setne Khaemwaset cycle. In 1985, the story of Setne and Naneferkaptah was loosely adapted into the short animated film “The Riddle of the Sphinx,” produced by the Russian Soyuzmultfilm studio. In Western cinema, this theme has been explored in various iterations of “The Mummy” (1932, 1959, and 1999). A key distinction between ancient and modern interpretations is that Egyptian ghosts were originally portrayed not as malevolent beings, but as entities dissatisfied with their current state or intent on warning the living of potential consequences. Conversely, modern popular culture frequently depicts the dead as vengeful figures seeking retribution against those who disturb their tombs. This paper will examine the origins of these motifs and analyze their representation in film.</t>
  </si>
  <si>
    <t>ghosts in ancient literature</t>
  </si>
  <si>
    <t>movies</t>
  </si>
  <si>
    <t>Book of Thoth</t>
  </si>
  <si>
    <t>Jagiellonian University in Kraków, Faculty of Philology</t>
  </si>
  <si>
    <t>Poland</t>
  </si>
  <si>
    <t>Polish</t>
  </si>
  <si>
    <t>marwasolyman1980@gmail.com</t>
  </si>
  <si>
    <t xml:space="preserve">Marwa Soliman </t>
  </si>
  <si>
    <t xml:space="preserve">The Unpublished Wooden Coffin of Khennu from Saqqara (Imhotep Museum J.E. 39052): Description and Texts </t>
  </si>
  <si>
    <t xml:space="preserve">Khennu, “Scribe, Treasurer of the God of the Pyramid of Merykara, and Regulator of a Phyle of the Pyramid of Teti,” was a distinguished official whose intact tomb was discovered during the 1906–1907 excavations east of the Pyramid of Teti at Saqqara. His burial assemblage included a wooden rectangular coffin (Imhotep Museum, J.E. 39052), a model boat, and a statuette of his son. Despite its excellent state of preservation, the coffin remains unpublished. Made of wood and coated with a yellow ground, its interior surfaces bear extensive inscriptions from the Coffin Texts, written in black ink with traces of blue pigment still visible within several hieroglyphs. These texts, arranged in vertical and horizontal bands, were intended to safeguard the deceased and facilitate his transition into the afterlife.
The research presented here provides the first detailed description and analysis of Khennu’s coffin and its inscriptions, situating the piece within the textual and artistic traditions of the late Heracleopolitan to early Middle Kingdom transition (Dynasties XI–XII). Khennu’s intriguing association with both the Pyramid of Teti and the Pyramid of Merikare—rulers separated by several centuries—highlights the persistence and complexity of royal cults during this period. By examining the coffin alongside the broader burial assemblage, this study contributes new evidence for Middle Kingdom funerary customs and offers fresh insight into contemporary conceptions of death, rebirth, and the journey to the afterlife. 
</t>
  </si>
  <si>
    <t xml:space="preserve">wooden coffin </t>
  </si>
  <si>
    <t xml:space="preserve">1st intermediate period </t>
  </si>
  <si>
    <t>Khennu</t>
  </si>
  <si>
    <t xml:space="preserve"> Misr University for science and Technology </t>
  </si>
  <si>
    <t>amirnabil446@yahoo.com</t>
  </si>
  <si>
    <t xml:space="preserve">Amir </t>
  </si>
  <si>
    <t>"Wepemnofert and his impotant legal will".</t>
  </si>
  <si>
    <t>The mastaba of Wepemnofert at Giza contains one of the oldest and most complete surviving legal
wills from ancient Egypt. Inscribed on the eastern wall of Iby’s chapel, the will, supposedly written by
the father, granted his son Iby the ownership of this part of the tomb. In order to prohibit any other
brother, or wife or children from contesting the will, 15 men, of different professions are depicted facing Wepemnofert, all witnessing his will. The legality of this will needs further examination. 
The research raises other important issues related to marriage and the Egyptian society. Although only
one wife, named Mersyankh, is depicted in Wepemnofert’s tomb, the will refers to “any wife”, and also
mentions “any brother” of Iby, or “any children”. The inscriptions therefore suggest that Wepemnofert had other wife(s) and children, which may also be inferred from the fact that two sons were described as “eldest son” in the tomb, which may refer to the eldest by different wives. Mersyankh was designatedin the tomb as “King’s daughter”, which should nevertheless indicate royal background. Her kinship to a number of Queens bearing this name, such as Queen
Mersyankh III, needs to be investigated. The question remains: was the privilege given to Iby due to
being the eldest son, or being his father’s favorite, or indeed to his royal descent through his mother?
An analytical study of the problem is needed. 
The project therefore raises a number of research questions: To what extent did this will agree with the ancient Egyptian legal system and rules of inheritance?; Why was the need for such a large,
unprecedented number of witnesses from different classes and professions?; Why was the son Iby singled out as the beneficiary of the will? And why were the chapels of both Wepemnofert and his son
Iby left so unfinished?</t>
  </si>
  <si>
    <t>Chapel</t>
  </si>
  <si>
    <t>Mastaba</t>
  </si>
  <si>
    <t xml:space="preserve">Will </t>
  </si>
  <si>
    <t>The department of foreign missions affairs and permanent committees, Ministry of tourism and Antiquities.</t>
  </si>
  <si>
    <t xml:space="preserve">Dr Amir Nabil Mohamed </t>
  </si>
  <si>
    <t xml:space="preserve">"Wepemnofert and his important legal will". </t>
  </si>
  <si>
    <t>The mastaba of Wepemnofert at Giza contains one of the oldest and most complete surviving legal
wills from ancient Egypt. Inscribed on the eastern wall of Iby’s chapel, the will, supposedly written by
the father, granted his son Iby the ownership of this part of the tomb. In order to prohibit any other
brother, or wife or children from contesting the will, 15 men, of different professions are depicted facing Wepemnofert, all witnessing his will. The legality of this will needs further examination.
The research raises other important issues related to marriage and the Egyptian society. Although only
one wife, named Mersyankh, is depicted in Wepemnofert’s tomb, the will refers to “any wife”, and also
mentions “any brother” of Iby, or “any children”. The inscriptions therefore suggest that Wepemnofert had other wife(s) and children, which may also be inferred from the fact that two sons were described as “eldest son” in the tomb, which may refer to the eldest by different wives. Mersyankh was designated in the tomb as “King’s daughter”, which should nevertheless indicate royal background. Her kinship to a number of Queens bearing this name, such as Queen
Mersyankh III, needs to be investigated. The question remains: was the privilege given to Iby due to
being the eldest son, or being his father’s favorite, or indeed to his royal descent through his mother?
An analytical study of the problem is needed.
The project therefore raises a number of research questions: To what extent did this will agree with
the ancient Egyptian legal system and rules of inheritance?; Why was the need for such a large,
unprecedented number of witnesses from different classes and professions?; Why was the son Iby singled out as the beneficiary of the will? And why were the chapels of both Wepemnofert and his son
Iby left so unfinished?</t>
  </si>
  <si>
    <t xml:space="preserve">Chapel </t>
  </si>
  <si>
    <t xml:space="preserve">Mastaba </t>
  </si>
  <si>
    <t>The department of foreign missions affairs and permanent committees, the Ministry of tourism and antiquities.</t>
  </si>
  <si>
    <t>azza.ezzat@bibalex.org</t>
  </si>
  <si>
    <t>Azza Ezzat</t>
  </si>
  <si>
    <t>From Foreign Control to National Leadership:  Mahmoud Hamza and the Egyptianization of the Antiquities Service 1890-1976</t>
  </si>
  <si>
    <t xml:space="preserve">Mahmoud Hamza was a pioneering Egyptian archaeologist and the first Egyptian to serve as Chief Curator and later Director of the Egyptian Museum, appointed by royal decree on 14 April 1948. His leadership marked a decisive turning point in the Egyptianization of the Antiquities Service, ending decades of foreign dominance. Among his most significant contributions was his 1928 discovery at Qantir, the site of ancient Per-Ramesses, the capital of Egypt during the 19th Dynasty.
This study highlights Hamza’s career, achievements, and the strong influence of his mentor and father-in-law, Ahmed Pasha Kamal. As a member of the same family, and through access to original documents preserved by their descendants, I was able to examine unpublished material, including official records related to Hamza’s legal case against the Ministry of Public Education. The case claimed that the Director General of the Antiquities Service had taken away Hamza’s authority, stripped him of his powers, and turned the staff against him. A ruling was issued in favor of Hamza, with the judges commended for canceling the decision made by the Minister of Public Education on February 27, 1949. As a result, Hamza returned to his work at the museum, but he had only seven months left before his retirement.
This paper also aims to shed light on the long-standing marginalization of Egyptian professionals within the Antiquities Service, where Egyptians were systematically prevented from assuming leadership positions due to foreign dominance and institutional discrimination that persisted from the eighteenth century onward. Despite their expertise and dedication, Egyptian scholars were often excluded from decision-making roles, a reality that shaped the professional struggles faced by figures such as Mahmoud Hamza.
</t>
  </si>
  <si>
    <t>Mahmoud Hamza</t>
  </si>
  <si>
    <t>Ahmed Pasha Kamal</t>
  </si>
  <si>
    <t>Egyptian Museum</t>
  </si>
  <si>
    <t>Head of Research and Publications Section in the Writing and Scripts Center, Bibliotheca Alexandrina</t>
  </si>
  <si>
    <t>monaelsaid82@gmail.com</t>
  </si>
  <si>
    <t>Mona Mostafa Mohamed Elsaid</t>
  </si>
  <si>
    <t xml:space="preserve">monaelsaid82@gmail.com </t>
  </si>
  <si>
    <t>How to Attract People and discover the Four Shrines of Tutankhamun (JE:60664-8)</t>
  </si>
  <si>
    <t xml:space="preserve">The four shrines of Tutankhamun, discovered in his tomb in the Valley of the Kings, are among the most significant treasures of ancient Egypt. Beyond their artistic and ritual importance, they represent a fascinating object of transition: after the death of Akhenaten, elements of Aten art remained and merged with the restored traditions of Amun. The shrines preserve this stage between two schools of art and two religious ideologies.
This paper aims to highlight how the study of these shrines, especially their hieroglyphic inscriptions, first published by R. Piankoff can be used not only for academic research but also as a tool to attract wider audiences to ancient Egyptian heritage. Using paleographical as a method, the research reveals variations in hieroglyphic signs that suggest the involvement of multiple groups of artists. These findings offer both scholarly insights and opportunities for public storytelling: the shrines can be presented as living witnesses of artistic diversity, religious transformation and the craftsmanship of Tutankhamun’s time.
The paper explains by combining rigorous analysis with innovative strategies of presentation such as digital visualization, interactive exhibitions, and narrative interpretation. Grand museum as a cultural institution can make the shrines more engaging for modern audiences. In doing so, the study demonstrates how academic research can serve as a bridge between specialists and the public, ensuring that Tutankhamun’s shrines continue to inspire knowledge and cultural bridge. 
</t>
  </si>
  <si>
    <t>shrines</t>
  </si>
  <si>
    <t>exhibition</t>
  </si>
  <si>
    <t>inscriptions</t>
  </si>
  <si>
    <t>ministry of Tourism and antiquities</t>
  </si>
  <si>
    <t>oxk688@student.bham.ac.uk</t>
  </si>
  <si>
    <t>Olivia Kirk</t>
  </si>
  <si>
    <t>Reinterpreting Naqada: Petrie, Bias, and Bovine Iconography in Predynastic Egypt</t>
  </si>
  <si>
    <t xml:space="preserve">Flinders Petrie’s excavations at Naqada (1894–1895) are foundational to the study of Predynastic Egypt. They established a relative ceramic chronology that continues to structure the field. Yet we can also use these same excavations as a critical tool to examine how early methodological choices, taxonomic frameworks, and ideological theories have shaped the interpretation of Predynastic material culture. This paper re-examines Petrie’s Naqada assemblage through a focused case study of bovine-related artefacts now housed in the Ashmolean Museum, Oxford, reassessing how meaning was constructed, obscured, and reconfigured over more than a century of scholarship .
Drawing on a comparative analysis of Petrie’s original excavation reports, Elise J. Baumgartel’s twentieth-century reassessments, and Joan Crowfoot Payne’s museum catalogue, this paper traces shifts in typology, terminology, and interpretation across sixteen objects featuring bovine or horned imagery. Particular attention is paid to the role of nineteenth-century taxonomic thinking, Petrie’s engagement with eugenic theory, and the now-discredited ‘New Race’ hypothesis in shaping early readings of Naqada material. Attempting to address how objects dismissed as ‘inexplicable’ or stripped of their symbolic value are shown to be casualties of classificatory systems that privileged quantifiable types over iconographic nuance.
By utilising bovine imagery seen in combs, palettes, ornaments, and decorated ostrich eggs from Naqada and currently held at the Ashmolean Museum, this study demonstrates how evolving disciplinary frameworks have transformed the visibility and perceived significance of bovine symbolism in Predynastic Egypt. Ultimately, this paper advocates for a more reflexive approach to Predynastic material culture, one that acknowledges the sustained baggage of the intellectual legacy of early Egyptology and the interpretative potential embedded within its overlooked artefacts.
</t>
  </si>
  <si>
    <t xml:space="preserve">Bovine </t>
  </si>
  <si>
    <t xml:space="preserve">Petrie </t>
  </si>
  <si>
    <t xml:space="preserve">Predynastic </t>
  </si>
  <si>
    <t xml:space="preserve">University of Birmingham </t>
  </si>
  <si>
    <t xml:space="preserve">United Kingdom </t>
  </si>
  <si>
    <t xml:space="preserve">English </t>
  </si>
  <si>
    <t>macarena.del.jimenez@gmail.com</t>
  </si>
  <si>
    <t>Macarena</t>
  </si>
  <si>
    <t>The Art of Not Dying After Death: Embalming Workshops as Centres of Ritual Practice, Technological Innovation, and Economy in Ancient Egypt</t>
  </si>
  <si>
    <t>This paper offers a synthetic approach to the archaeology of mummification in ancient Egypt, focusing on embalming workshops as key spaces within the funerary system. Beyond their ritual role, these workshops developed into centres of technical innovation and commercial management, whose evolution reflects significant transformations in Egyptian mortuary practices. The study adopts an interdisciplinary framework integrating archaeological, textual, epigraphic, and documentary evidence in order to reconstruct mummification procedures and explore their sociocultural, economic, and symbolic implications.
The paper examines the development of embalming workshops from their earliest forms as temporary installations associated with individual tombs to their later consolidation into large-scale funerary complexes capable of operating systematically in response to growing demand. This evolution was accompanied by increasing technical specialisation and the standardisation of procedures, facilitating the expansion of funerary services beyond elite groups and contributing to the emergence of a structured funerary market.
Documentation from embalmers’ archives reveals the existence of family networks, mechanisms for transmitting professional knowledge, and strategies for controlling funerary space, particularly during the Late Period. These data suggest that embalmers occupied a complex position within the funerary system, combining ritual authority with technical expertise and organisational responsibilities, and becoming fully integrated into the funerary economy. At the same time, the gradual democratisation of embalming services and the diversification of funerary offerings reflect broader social and economic changes.
Within this framework, the paper analyses the geographical distribution of workshops, the technologies employed, and the influence of economic and cultural factors on funerary practice. Particular attention is devoted to the corpus of the so-called Embalming Rituals, whose combined study provides insight into ritual prescriptions and practices related to the preparation and wrapping of the body. The analysis of Papyrus Vindob. 3873, describing the embalming of the Apis bull, further demonstrates that animal mummification followed procedures closely comparable to those applied to humans, reinforcing both the technical standardisation of the process and the central role of the workshop as a ritual and operational space.
Overall, this study reassesses the role of embalming workshops within Egyptian society, moving beyond an exclusively religious interpretation of mummification and situating it within a broader cultural, social, and economic dynamic.</t>
  </si>
  <si>
    <t>Embalming workshops</t>
  </si>
  <si>
    <t xml:space="preserve"> Mummification</t>
  </si>
  <si>
    <t>Funerary economy</t>
  </si>
  <si>
    <t>Universidad Autónoma de Barcelona/  Atlántico Medio University</t>
  </si>
  <si>
    <t>valentina.santini@camnes.org</t>
  </si>
  <si>
    <t>Valentina Santini</t>
  </si>
  <si>
    <t>How Amarna Shaped Grief: A Psychological and Anthropological Analysis of Bereavement Body Gestures in TA26</t>
  </si>
  <si>
    <t>The decoration of the Amarna Royal Tomb, also known as TA26, exhibits a fundamental peculiarity. While the lack of traditional scenes belonging, for instance, to funerary texts like the Amduat or the Book of Gates is common to all the other tombs located in ancient Akhetaten, the decoration of TA26 is uniquely characterised by a plethora of scenes pertaining to mourning and grief. Apart from TA1 (which features a single bereavement scene), TA26 stands out as the sole tomb at Amarna that extensively and clearly illustrates grief and mourning. The depictions show mourners on the verge of collapsing from overwhelming sorrow, some covering (or possibly striking) their faces, and others making comforting gestures. Even the pharaoh himself is represented here while desperately grieving one of his daughters, holding Nefertiti’s arm tightly. In line with Amarna art’s distinguishing features, these gestures are depicted with an intense – almost exaggerated – naturalism: the mourners seem to convey their suffering through their bodies, which are shown as twisted and contorted. Moreover, another distinctive aspect of TA26’s decoration is that every physical expression of sorrow and comfort represented in this tomb directly mirrors authentic human reactions to loss and death, as analysed by Psychology and Anthropology. Given this premise, one might ask if the depictions of grief in TA26 lean more towards the “symbolic” or the “realistic.” This presentation aims to explore the degree to which the artistic conventions of the Amarna Period influenced the allegorical iconography of mourners and grieving people – specifically in the TA26 decorations – and to delve into the potential psychological and anthropological roots of such symbolic imagery.</t>
  </si>
  <si>
    <t>Bereavement</t>
  </si>
  <si>
    <t>Amarna Art</t>
  </si>
  <si>
    <t>Psychology</t>
  </si>
  <si>
    <t>CAMNES; University of Birmingham</t>
  </si>
  <si>
    <t>Doctoral Student, Others</t>
  </si>
  <si>
    <t>Italian</t>
  </si>
  <si>
    <t>esraayousry@ymail.com</t>
  </si>
  <si>
    <t xml:space="preserve">Esraa Yosri Elgueziry </t>
  </si>
  <si>
    <t>Stamped Amphora Handles and Digital Interpretation: Reconstructing Trade Networks in Graeco-Roman Alexandria</t>
  </si>
  <si>
    <t>Stamped amphora handles constitute a key category of archaeological evidence for reconstructing trade networks and cultural interaction in the Hellenistic and Roman Mediterranean. In Graeco-Roman Alexandria, amphora stamps bearing symbolic motifs provide valuable insights into production centers, administrative systems, and long-distance commercial connections, particularly with Rhodes and the eastern Mediterranean.
This paper examines selected stamped amphora handles from the collections of the Graeco-Roman Museum, focusing on their symbolic motifs as indicators of economic organization and cultural communication. Symbols such as Helios, the Rhodian rose, and the cornucopia are analyzed not only as markers of origin, but also as visual instruments that conveyed identity, authority, and systems of control within ancient trade networks.
Despite their significant research value, stamped amphora handles remain largely underrepresented in museum displays in Egypt. This study therefore explores their potential within museum interpretation and proposes the use of recent digital technologies, including AI-assisted visualization and interactive digital tools, to enhance their presentation. These technologies offer new ways to reconstruct trade routes, visualize symbolic meanings, and communicate complex archaeological data to museum audiences.
By integrating archaeological analysis with museological practice and recent technological approaches, this research demonstrates that stamped amphora handles can function as both historical evidence and dynamic interpretive elements, bridging academic research and public engagement within museum contexts.</t>
  </si>
  <si>
    <t xml:space="preserve">Stamped Amphora Handles </t>
  </si>
  <si>
    <t xml:space="preserve">Digital interpretation </t>
  </si>
  <si>
    <t>Museum display</t>
  </si>
  <si>
    <t>Graeco-Roman Museum, Alexandria, Egypt</t>
  </si>
  <si>
    <t>Alexandria, Egypt</t>
  </si>
  <si>
    <t>bowy7119@gmail.com</t>
  </si>
  <si>
    <t>Rikiya Sato</t>
  </si>
  <si>
    <t>Augustus as Zeus Eleutherios ― A Liberator of Egypt?</t>
  </si>
  <si>
    <t xml:space="preserve">   Augustus positioned himself as a “Liberator” saving Egypt from chaos. The epithet “Zeus Eleutherios” (Liberator Zeus), frequently used for Augustus in Egypt, has traditionally been viewed as Roman propaganda encouraged by the authorities to signify “liberation from the Ptolemaic dynasty.” However, the origins of its adoption remain insufficiently examined.
   The worship of the deity Zeus Eleutherios traces its origins back to the Greek world where it was linked to the acquisition of political freedom, such as the victory in the Persian Wars and the expulsion of tyrants. Crucially, Alexandrian scholars such as Harpocration and Didymus also associated this deity with the Persian Wars. 
   A quantitative analysis of Greek sources from Egypt containing designations of Augustus reveals that the epithet “Zeus Eleutherios” was used across a wide area of the Nile world from 12 BCE through the latter half of Augustus’s reign. Notably, it tends to be selected in oaths within administrative and legal documents, as well as in dedicatory inscriptions. This suggests that local elites, who assumed roles in local administration during the early Roman rule, may have strategically used this epithet to attract the attention of the Roman government and facilitate negotiations.
   The most suggestive evidence regarding the initiative behind the use of this epithet is found in two papyrus documents from 6 BCE and 5 BCE, which record the minutes of an association engaged in the imperial cult in Alexandria. While “Theos” (God) was used as Augustus’s epithet in the first document, it was replaced by “Zeus Eleutherios” in the subsequent document. The members of this association included imperial slaves and Alexandrian magistrates, clearly indicating connections with the Roman government. The fact that such a modification of the epithet occurred strongly suggests that it was the result of cultural and political negotiation with the Roman government.</t>
  </si>
  <si>
    <t>Augustus</t>
  </si>
  <si>
    <t>Liberator Zeus</t>
  </si>
  <si>
    <t>Imperial Cult</t>
  </si>
  <si>
    <t>Nagoya University, Graduate School of Humanities</t>
  </si>
  <si>
    <t>A Bayesian Statistical Approach to the Reconstruction of Lacunae in Greek Inscriptions from Egypt</t>
  </si>
  <si>
    <t xml:space="preserve">   This poster presentation addresses the limitations of data-driven (or frequentist) deep learning models in the restoration of lacunae in Greek inscriptions, specifically highlighting the "black box" nature of their decision-making processes. The study evaluates Ithaca, the model developed by Google DeepMind and trained on the PHI Greek Inscriptions database. While Ithaca is a powerful tool for general restoration, I demonstrate its inability to restore statistically rare expressions that are highly dependent on specific historical contexts.
   In the case study of I. Portes 1, a dedicatory inscription from Augustan Egypt, Ithaca failed to include the restoration “Zeus Eleutherios”—a reading supported by prior scholarship—in its predictions. Although rare within the entire dataset, this epithet appears specifically as a title for Augustus in Greek dedicatory inscriptions in Egypt. Ithaca treated this context-specific title as statistical noise due to its global rarity.
   To overcome this limitation, I introduce a Bayesian statistical approach that allows historians to mathematically incorporate their domain expertise—such as archaeological context and formulaic patterns—as prior probabilities. By applying this method to I. Portes 1, I successfully quantified the validity of the restoration with a probability of 96.3%. Furthermore, this presentation illustrates the process of Bayesian updating. When I incorporated the chronological distribution of extant sources—data that initially appeared unfavorable to the hypothesis—the model rationally adjusted the posterior probability to a range of 94.5–95.2%, thereby validating the restoration through a quantitative and explainable process.
   These results indicate that while frequentist approaches like Ithaca are valuable for suggesting multiple restoration possibilities, a Bayesian approach is particularly effective for analyzing sources from specialized historical contexts—such as Egypt—where valid expressions may be statistically rare in broader datasets.
</t>
  </si>
  <si>
    <t>Bayesian statistics</t>
  </si>
  <si>
    <t>Greek Inscription</t>
  </si>
  <si>
    <t>AI</t>
  </si>
  <si>
    <t>rashashaheen55@yahoo.com</t>
  </si>
  <si>
    <t>Dr. Rasha Shaheen</t>
  </si>
  <si>
    <t>Fashion in Pharaonic Period</t>
  </si>
  <si>
    <t>This paper explores fashion in the Pharaonic period through an object-based study of textile artifacts preserved in the Egyptian Textile Museum in Cairo. By examining selected linen garments, textile fragments, and accessories, the research investigates how clothing functioned as a reflection of social status, identity, and cultural values in ancient Egyptian society. The analysis focuses on materials, weaving techniques, garment construction, and decorative features, including pleating, color use, and finishing methods.
Textile evidence is contextualized through comparison with iconographic sources such as tomb reliefs, wall paintings, and statuary, allowing for a more comprehensive reconstruction of ancient Egyptian dress. Particular attention is given to variations in clothing according to gender, profession, and social hierarchy, as well as the distinction between everyday and ceremonial attire. The study also considers the symbolic and functional aspects of clothing within religious and social practices.
By foregrounding museum-held textiles as primary sources, this paper highlights the importance of surviving fabric remains in the study of Pharaonic fashion, despite their fragmentary condition and conservation challenges. The research contributes to current Egyptological discussions on material culture and daily life, demonstrating how textile collections enhance our understanding of fashion, technology, and social expression in ancient Egypt.</t>
  </si>
  <si>
    <t>Pharaonic fashion</t>
  </si>
  <si>
    <t>Ancient Egyptian textiles</t>
  </si>
  <si>
    <t>Material culture</t>
  </si>
  <si>
    <t>Egyptian Museum in Ciaro</t>
  </si>
  <si>
    <t>Exhibiting Ancient Egypt: A Comparative Study of the Early and Current Display of Coffins and Pharaonic Statues at the Egyptian Museum in Cairo</t>
  </si>
  <si>
    <t>This paper explores the early display of Egyptian coffins and Pharaonic statues at the Egyptian Museum in Cairo and compares these initial exhibition practices with their current modes of presentation. Drawing on archival photographs, early museum catalogues, and historical documentation, the study reconstructs how these objects were first exhibited following the museum’s establishment in the late nineteenth and early twentieth centuries. These findings are then compared with contemporary display strategies, focusing on changes in spatial organization, curatorial interpretation, and conservation awareness.
The paper examines how evolving museological approaches have influenced the interpretation and contextualization of funerary and sculptural material, reflecting broader developments in Egyptology, heritage management, and public engagement. By tracing the transformation of display practices over time, this study highlights the shifting relationship between objects, institutional narratives, and audiences at the Egyptian Museum in Cairo. The research contributes to current discussions on the history of collections and museum practice, emphasizing the value of archival evidence in understanding the changing presentation of ancient Egyptian material culture.</t>
  </si>
  <si>
    <t>Egyptian coffins and statues</t>
  </si>
  <si>
    <t>Archival documentation</t>
  </si>
  <si>
    <t>mariamelreweny@gmail.com</t>
  </si>
  <si>
    <t>Mariam Hany</t>
  </si>
  <si>
    <t>Tracing Textile Production in Ancient Egypt: Weaving Tools as Archaeological and Egyptological Evidence</t>
  </si>
  <si>
    <t>This paper examines weaving tools from ancient Egypt as key sources for understanding textile production, craft organization, and daily life. Focusing on tools such as loom weights, spindles, spindle whorls, needles, and beaters, the study explores how these objects provide insight into weaving techniques, workshop practices, and the social contexts of textile manufacture. Archaeological evidence from settlement sites, tomb assemblages, and museum collections is combined with iconographic and textual sources to reconstruct the operational sequence of ancient Egyptian weaving.
Special attention is given to the challenges of interpreting weaving tools due to their fragmentary nature and frequent misidentification in early excavations and museum catalogues. By reassessing these tools within their archaeological and cultural contexts, the paper highlights their significance beyond utilitarian objects, emphasizing their role in economic activity, gendered labor, and household production. The study demonstrates how weaving tools contribute to broader discussions in Egyptology concerning technology, craft specialization, and the material culture of everyday life, underscoring their value as primary evidence for reconstructing ancient Egyptian textile traditions.</t>
  </si>
  <si>
    <t>Weaving tools</t>
  </si>
  <si>
    <t>Textiles of Care and Childhood in New Kingdom Egypt: A Linen Baby’s Diaper from Deir el-Medina</t>
  </si>
  <si>
    <t>This paper examines a linen baby’s diaper dating to the New Kingdom, 18th Dynasty, reign of Hatshepsut (c. 1473–1458 BC), discovered in a family tomb at Deir el-Medina and currently displayed at the Egyptian Textile Museum in Cairo. The object consists of a triangular diaper found inside a bag closed with string, accompanied by a small piece of linen cloth that may have functioned as an inner lining. Although textiles related to elite and ritual contexts have received significant scholarly attention, objects associated with infancy and daily care remain underrepresented in Egyptological research.
Through a material and contextual analysis, this study explores the construction, function, and cultural significance of the diaper within the domestic environment of Deir el-Medina. The paper considers textile technology, including weaving quality, form, and wear, alongside comparative evidence from textual sources, iconography, and archaeological finds related to childcare and household practices. The funerary context of the object is also examined, addressing questions of emotional value, beliefs surrounding childhood, and the role of everyday textiles in burial assemblages.
By integrating archaeological evidence with museum-based study, this paper highlights the importance of small, utilitarian textile objects for reconstructing aspects of family life, care practices, and social identity in ancient Egypt. The study contributes to current discussions on childhood archaeology and material culture, demonstrating how textiles can serve as valuable sources for understanding intimate and often overlooked aspects of ancient Egyptian society.</t>
  </si>
  <si>
    <t>Childhood and daily life</t>
  </si>
  <si>
    <t>y_reweny@yahoo.com</t>
  </si>
  <si>
    <t>Youssef Elreweny</t>
  </si>
  <si>
    <t>Documenting Laundry List Ostraca from Deir el-Medina: Approaches to Recording and Displaying Hieratic Inscriptions</t>
  </si>
  <si>
    <t>This paper presents a documentation-focused study of three New Kingdom ostraca from Deir el-Medina bearing laundry lists and textile-related records, currently preserved and displayed in a museum context. The objects include a composite pottery ostracon with a seven-line hieratic inscription recording the distribution of garments to washermen on a household basis (TM.11), a pictorial laundry list combining sketches of clothing and dot numerals (TM.10), and a limestone ostracon containing a hieratic laundry list arranged in seven lines (TM.9). These pieces provide valuable evidence for everyday administrative writing, yet their interpretation by museum audiences is often limited by the legibility and presentation of the inscriptions.
The paper focuses on methodologies for documenting these ostraca to enhance the visibility and understanding of their written content. This includes high-resolution photography, raking light examination, digital tracing of signs, and the reconstruction of fragmented inscriptions, particularly in the case of the composite ostracon. Attention is given to the layout, sequence, and repetitive structure of the lists, which can be emphasized through documentation to aid both scholarly analysis and public display. The pictorial ostracon is discussed as a unique case where visual and textual communication intersect, requiring tailored documentation strategies.
By prioritizing the recording and presentation of hieratic writing, this study demonstrates how careful documentation can bridge the gap between epigraphic research and museum display. The paper argues that making administrative inscriptions visually accessible allows ostraca to be understood not merely as supporting objects, but as primary textual artifacts that illuminate literacy, record-keeping, and textile management in New Kingdom Deir el-Medina.</t>
  </si>
  <si>
    <t>New Kingdom ostraca</t>
  </si>
  <si>
    <t>Hieratic inscriptions</t>
  </si>
  <si>
    <t>Textile administration</t>
  </si>
  <si>
    <t>Egyptian Museum in Cairo, Ain Shams University</t>
  </si>
  <si>
    <t>Preventive Conservation of Egyptian Wooden Statues back to Late Period Displayed at Egyptian Textile Museum</t>
  </si>
  <si>
    <t xml:space="preserve">The Egyptian Textile Museum in Cairo houses many unique pieces of art, dating back to the Pharaonic times, and are prone to damage from climate change. This paper present preventive conservation of wooden statues to protect them from negative impact of climate change to keep the sustainability of these unique artifacts. It is a Statuette of an old man wearing an elaborate cloak over one shoulder that covers his body from neck to mid-calf (looks like Ka-aper statue). His shaven head resembles representations of Egyptian priests. This heavy type of garment also occurs on a relief dating to this period. Late Period, 30th Dynasty, 380 - 343 BC, Abusir, Giza. The piece suffer from the presence of calcified salts on the surface as a result of the bad displaying of the statue, due to the different coefficient of expansion and contraction between different materials. As well as, the wood from the materials absorb moisture from the surrounding environment, which led to the emergence of salts on the surface. The pieces were documented by the digital microscope. The pieces were cleaned mechanically by blower to remove dust and then use soft brushes. The pieces were placed in the humidification chamber to treat dehydration and salts removal. The pieces were consolidated with Paraloid. The pieces were display in especial a showcase for wooden pieces. </t>
  </si>
  <si>
    <t>Wooden Statues</t>
  </si>
  <si>
    <t>Late Period</t>
  </si>
  <si>
    <t>Preventive Conservation</t>
  </si>
  <si>
    <t>Development of OCR software for recognizing hieratic, hieroglyphic, and demotic texts applied to a papyrus in the Egyptian Museum</t>
  </si>
  <si>
    <t>Transcribing and interpreting ancient Egyptian texts, especially the richly illustrated Books of the Dead, is still limited because it relies heavily on manual reading of hieroglyphs, hieratic, and demotic scripts. This work demands specialized knowledge, takes a lot of time, and involves a lot of careful handling of delicate papyrus. Even though there have been some strides in machine learning, effective OCR solutions for ancient Egyptian texts, particularly for cursive scripts, are still not widely available. This study discusses the creation and testing of a complete OCR pipeline designed specifically for ancient Egyptian scripts, applied to a Book of the Dead papyrus that's currently exhibited at the Egyptian Museum in Cairo.
We used high-resolution and multispectral imaging to improve the visibility of faded ink and to separate the text from decorative illustrations. Our system combines advanced preprocessing for damaged manuscript surfaces, CNN-based glyph detection, and a transformer-based sequence model for transliterating into standard Egyptological notation. We worked with Egyptologists to create a custom annotated dataset from the papyrus, adding in synthetic examples to address variations in writing styles.
The results show impressive recognition rates for both hieroglyphic and hieratic parts of the manuscript. The enhancements from multispectral imaging and transformer modeling led to noticeable improvements in accuracy. Not only does this workflow speed up transcription, but it also minimizes handling of the fragile papyrus, aligns with the conservation goals of the Egyptian Museum, and offers a scalable way to digitize other unprocessed funerary texts. This project highlights how imaging technology and AI can play a significant role in preserving, interpreting, and making Egypt's rich textual heritage accessible to people worldwide.</t>
  </si>
  <si>
    <t>Ancient Egyptian texts</t>
  </si>
  <si>
    <t>OCR and digital transcription</t>
  </si>
  <si>
    <t>Book of the Dead</t>
  </si>
  <si>
    <t>The textile Hypocephalus from Sheikh abd el-Qurna, in TT 32: Scientific Analysis and Conservation Strategy</t>
  </si>
  <si>
    <t>The paper’s objective is to present the strategies of scientific investigations, preservation and conservation carried out to the textiles hypocephalus discovered in Sheikh abd el- Qurna, in TT32, dating back to the early Ptolemaic period, the third century BC. The term hypocephalus a Greek word interpreted as "what is under the head”, refers to a piece of Late Period and Ptolemaic funerary equipment. It is preserved in the storeroom of the Egyptian Textile Museum in Cairo, Egypt. The process of treatment has assisted in set the strategies of conservation procedures of this textile object. Firstly, the text and iconography on hypocephalus were documented using Auto CAD, secondly, a combined set of multi- analytical methods is used to identify and examine the materials and methods used in the manufacturing of this object, assessing its preservation condition. Methods employed include: portable digital microscope, using a digital microscope 350X and 1000X to identify the fabric characteristics of object, mapping of deteriorated, the manufacturing of this textile object, assessing its condition, Finally, explain strategies of conservation processes; cleaning processes, consolidated the deteriorated linen textiles hypocephalus, was treated and supported on silk crepeline that was used to consolidate the piece preparing to redisplay in the museum.</t>
  </si>
  <si>
    <t>Ptolemaic textiles</t>
  </si>
  <si>
    <t>Hypocephalus</t>
  </si>
  <si>
    <t>chenyunyao@aucegypt.edu</t>
  </si>
  <si>
    <t>Yunyao Chen</t>
  </si>
  <si>
    <t>Approaches to Identifying Anthropoid Coffins in Two-Dimensional Ancient Egyptian Art</t>
  </si>
  <si>
    <t xml:space="preserve">Anthropoid coffins are a type of burial object attested not only as physical objects but also represented in two-dimensional art in ancient Egyptian funerary contexts. They are depicted in a wide range of funerary scenes, including those showing the Opening of the Mouth ritual, workshops, coffin transportation, and certain chapters from the Book of the Dead, which offer valuable insights into how physical anthropoid coffins were created, used, and conceptualized by ancient Egyptians. However, since anthropoid coffins represented in these funerary scenes often omit certain artistic details, and most anthropoid coffins take a mummiform shape, distinguishing them from mummies of the deceased in two-dimensional art can sometimes be extremely challenging. This research proposes four analytical approaches to identifying anthropoid coffins in ancient Egyptian two-dimensional art, including artistic analysis, textual analysis, contextual analysis, and synthetic analysis. It focuses on New Kingdom funerary art, drawing on examples from tomb walls, papyri, coffin surfaces, and stelae. Although each approach has its scope and limitations, and some cases still remain uncertain, this research nonetheless allows for the identification of a broad range of anthropoid coffins in New Kingdom two-dimensional funerary art, thereby facilitating further research of representations of anthropoid coffins. </t>
  </si>
  <si>
    <t>Anthropoid coffins</t>
  </si>
  <si>
    <t>two-dimensional art</t>
  </si>
  <si>
    <t>funerary scenes</t>
  </si>
  <si>
    <t>The American University in Cairo</t>
  </si>
  <si>
    <t>Master's Student, Pre-Doc Researcher</t>
  </si>
  <si>
    <t>China</t>
  </si>
  <si>
    <t>guy.shapira2@mail.huji.ac.il</t>
  </si>
  <si>
    <t>Guy Shapira</t>
  </si>
  <si>
    <t>On the Divinity of Maat in the Early Dynastic Period: Evidence from Private Names</t>
  </si>
  <si>
    <t xml:space="preserve">Many have debated the origins and development of Maat, due to her dual nature as an abstract principle and as a goddess. While some scholars have posited that Maat initially served as the abstraction of justice and truth and was only later deified, others have argued that the opposite may have occurred. Such reconstructions, however, frequently rely on speculation, basing themselves on later stages of Egyptian religion, rather than systematic evaluation of early available data.
The present discussion therefore seeks to address this gap by examining the question of Maat’s divinity in the earliest attestations of her name from the Early Dynastic Period. It does so through an analysis of private personal names incorporating Maat. In particular, as Egyptian names employ similar structural patterns, the study will examine the parallels to the patterns in which Maat appears. This methodology highlights whether Maat is positioned as a goddess or an abstract within the context of a specific name. 
The study suggests that personal names invoking Maat as a goddess appear from approximately the same period as those reflecting her conception as an abstract principle. Consequently, it is impossible to detect a single stage in Egyptian history during which Maat was conceived exclusively as either a goddess or an abstract concept. Such reconstructions of Maat’s early history (from principle to goddess or vice versa), though tempting, do not seem to be supported by the evidence at hand, indicating that if such a development even occurred, it may have taken place in prehistory. 
</t>
  </si>
  <si>
    <t>Egyptian Religion</t>
  </si>
  <si>
    <t>Early Dynsatic Period</t>
  </si>
  <si>
    <t>Maat</t>
  </si>
  <si>
    <t>Hebrew Univeristy of Jerusalem</t>
  </si>
  <si>
    <t>Israel</t>
  </si>
  <si>
    <t>marzia.cavriani@gmail.com</t>
  </si>
  <si>
    <t>Marzia Cavriani</t>
  </si>
  <si>
    <t>Reading Administration: The Operational Cycle of Administrative Practices in Public Contexts of the Late Middle Kingdom at Mirgissa and Uronarti</t>
  </si>
  <si>
    <t>This paper, stemming from my PhD project, investigates the operational cycle of clay sealings (cretulae) from two fortresses of Lower Nubia, Mirgissa and Uronarti, during the Late Middle Kingdom. These administrative tools (7.128 items were filed for the current research), used in storage and redistribution, followed a traceable cycle from application to disposal, offering crucial insights into administrative practices. The analysis of seal impressions, along with the study of traces on their reverse, allowed reconstructing their typology and functions, while providing a privileged interpretive key for understanding the complexity of administrative and managerial practices of this period. The methodology integrated philological, morphological, functional, and contextual data from the cretulae discovered in the fortresses in order to define discard patterns in the Late Middle Kingdom. The use of GIS enabled the spatial positioning of the finds and the visualization of their distribution, highlighting concentrations, contextual relationships, and recurring patterns of abandonment and disposal. This approach allowed for a renewed study and comparison of the cretulae material from both sites. The impact of this work has been highlighted through a detailed GIS-based distribution map of the cretulae, not only spatial patterns were investigated within each site, but also data between Uronarti and Mirgissa were compared. This comparative approach identified possible patterns of cretulae discard and their disposal practices across a limited time and geographic span.</t>
  </si>
  <si>
    <t>Clay sealing</t>
  </si>
  <si>
    <t>GIS analysis</t>
  </si>
  <si>
    <t>Administrative practices</t>
  </si>
  <si>
    <t>University of Bologna - Alma Mater Studiorum</t>
  </si>
  <si>
    <t>coptichb@gmail.com</t>
  </si>
  <si>
    <t>Hadeer Ahmed Belal</t>
  </si>
  <si>
    <t>Uncovering Hidden Histories: Anatomical Records of Royal Egyptian Mummies from the 1886 Boulaq Archive</t>
  </si>
  <si>
    <t xml:space="preserve">The study of mummies is crucial for understanding ancient Egyptian culture and practices. In my research at the Egyptian Museum, Cairo (EMC) library, I uncovered a rare archival collection of anatomical records from 1886, originating from the Anthropology and Natural History Museum. These records include detailed measurements and observations of royal Egyptian mummies, including Queen Nefertiti, offering unique insights into early scientific approaches to studying ancient human remains.
The archive comprises photographs, drawings, and descriptive notes documenting the physical dimensions, condition, and anatomical features of these royal mummies. Such systematic recordings represent some of the earliest empirical analyses of mummies, bridging archaeology, anthropology, and early Egyptology. The presence of the museum’s logo and formal documentation underscores the institutional context and scholarly practices of the late 19th century.
This poster presents key images from the archive, highlighting the methodological rigor and historical significance of these records. Additionally, I will follow the journey of these mummies, examining their treatment and examination prior to display in the museum, as well as the motivations behind these actions. This exploration addresses the challenges of interpreting early anthropological methods, understanding historical context, and connecting the data to modern Egyptological knowledge.
By examining these records and the subsequent journeys of the mummies, this study reconstructs past scholarly approaches to royal mummies and emphasizes the importance of archival research in uncovering hidden histories. It demonstrates how forgotten collections can provide new perspectives on ancient Egyptian mortuary practices, royal burials, and the evolution of Egyptology as a scientific discipline.
</t>
  </si>
  <si>
    <t>Museum Archives</t>
  </si>
  <si>
    <t>Egyptian Museum Cairo</t>
  </si>
  <si>
    <t xml:space="preserve">Curator at the Egyptian Museum Cairo </t>
  </si>
  <si>
    <t>Doctoral Student, Independent Researcher</t>
  </si>
  <si>
    <t>azizaabdallah1988@gmail.com</t>
  </si>
  <si>
    <t>Aziza Abdallah Ibrahim and Hadeer Ahmed Belal</t>
  </si>
  <si>
    <t>Reborn in the Records: The Museum Life of a Falcon Mummy Coffin Repatriated to Egypt in 2021</t>
  </si>
  <si>
    <t xml:space="preserve">The Falcon Mummy Coffin in the Egyptian Museum, Cairo (EMC), represents a unique case of repatriated cultural heritage. Returned from France in July 2021 (journal d’entrée no. 101174), this previously unpublished object was preserved in the museum’s basement pending documentation and research. 
Upon arrival at EMC, the coffin’s registration posed multiple challenges. As a repatriated object, it arrived disconnected from its original context, making provenance and documentation difficult. The registration team had to carefully assign accession numbers, record physical and material details, and prepare the object for further research, all while addressing gaps in historical records. Subsequent research efforts were equally complex, requiring reconstruction of its origin, dating, symbolic meaning, and comparison with similar objects in other collections.
This presentation traces the object’s journey from repatriation to documentation and planned examination, including a forthcoming CT scan to investigate its composition and symbolic features. The research addresses three main questions: (1) the provenance, origin, and dating of the object; (2) parallels with other corn mummies in Egyptian and international collections; and (3) additional symbolic or functional significance. By highlighting both museum registration challenges and research obstacles, this study demonstrates how repatriated objects require collaborative, interdisciplinary efforts to restore their scholarly and cultural value, bringing them “back to life” in both records and research.
</t>
  </si>
  <si>
    <t>Repatriated collection</t>
  </si>
  <si>
    <t xml:space="preserve">Falcon Mummy </t>
  </si>
  <si>
    <t>Museum Display</t>
  </si>
  <si>
    <t>Museum Registrars</t>
  </si>
  <si>
    <t>eratw15@gmail.com</t>
  </si>
  <si>
    <t>Deratsa Erato-Maria</t>
  </si>
  <si>
    <t>Meretseger on Anthropoid Coffins of the Third Intermediate Period: Theology, Social Crisis and Moral Surveillance</t>
  </si>
  <si>
    <t xml:space="preserve">   This paper examines the iconographic and theological presence of the goddess Meretseger on anthropoid coffins of the Third Intermediate Period, focusing on a previously unpublished example, now in the National Archaeological Museum of Athens. Traditionally understood as a local protective deity associated with the Theban necropolis and the community of Deir el-Medina, Meretseger is only rarely attested in coffin decoration of the early first millennium BCE. Her appearance in this context therefore raises significant questions regarding the persistence, adaptation and reconfiguration of local cults within changing funerary ideologies.
   The paper argues that Meretseger’s inclusion on anthropoid coffins reflects not merely conservative iconographic survival, but a deliberate theological response to the social and ideological instability characteristic of the Third Intermediate Period. Often depicted with a serpent’s head, raised arms and ritual knives, the goddess embodies a dual function of aggressive protection and ritual purification. Her martial posture and weaponry emphasize her role as an active guardian of funerary integrity, while simultaneously invoking regenerative symbolism linked to the serpent’s cyclical renewal.
   Particular attention is given to the interaction between Meretseger and adjacent hieroglyphic symbols as they appear on anthropoid coffins, including emblems associated with divine authority, ritual order and the principle of Maat. In this funerary setting, these elements situate the goddess within a broader moral and cosmological framework, transforming her from a strictly local guardian into an agent of ethical surveillance and posthumous judgment.
   By situating this iconographic evidence within the socio-political fragmentation of the TIP, the paper proposes that Meretseger’s appearance on anthropoid coffins reflects heightened concerns over tomb violation, moral transgression and the safeguarding of the deceased’s transformation in the afterlife. Ultimately, the study highlights the adaptability of local Theban deities and their capacity to articulate broader theological concerns during periods of crisis.
</t>
  </si>
  <si>
    <t>TIP Anthropoid Coffins</t>
  </si>
  <si>
    <t>Funerary Iconography</t>
  </si>
  <si>
    <t>Goddess Meretseger</t>
  </si>
  <si>
    <t>University of the Aegean</t>
  </si>
  <si>
    <t>Greece</t>
  </si>
  <si>
    <t>Greek</t>
  </si>
  <si>
    <t>rabab.hamdy45@gmail.com</t>
  </si>
  <si>
    <t xml:space="preserve">Rabab Hamdy Aly </t>
  </si>
  <si>
    <t>Female Presence in Ancient Egyptian Mining Expeditions: A Study of Inscriptions and Archaeological Artifacts</t>
  </si>
  <si>
    <t>Abstract: Mining expeditions in Ancient Egypt were among the most arduous and highly organized activities. Traditional archaeological studies have long maintained that these expeditions were exclusively male domains, given the harsh desert environments. This research paper examines the reality of "female presence" within these expeditions, addressing a central question: Was the existence of women in mining regions a historical fact or merely symbolic representation?
The study adopts a descriptive-analytical approach by tracing rock inscriptions and commemorative stelae in mining areas (such as Sinai and the Eastern Desert) that explicitly mention female names. Furthermore, it analyzes archaeological "finds"—including jewelry, amulets, and domestic tool remains—discovered within miners' settlements.</t>
  </si>
  <si>
    <t>Femal</t>
  </si>
  <si>
    <t xml:space="preserve">Mining  </t>
  </si>
  <si>
    <t>expeditions</t>
  </si>
  <si>
    <t xml:space="preserve">Ministry of Tourism and Antiquities </t>
  </si>
  <si>
    <t>kmcguiness@cogeco.ca</t>
  </si>
  <si>
    <t>Kevin McGuiness</t>
  </si>
  <si>
    <t>The Two-Faced Queen:  Using Facial Reconstruction to Help Determine the Identity of Mummy KV21B</t>
  </si>
  <si>
    <t>On 9 October 1817, Italian explorer Giovanni Battista Belzoni discovered two anonymous female mummies within Tomb 21 in the Valley of the Kings. The elder of these women (later dubbed “KV21B”) has subsequently become the focus of considerable attention within the world of Egyptology after it was proposed that she was the mysterious Queen Nefertiti who ruled during the Amarna period (c. 1350-1330 BC). This hypothesis was put forth in 2010 when DNA tests conducted on this mummy were published in the Journal of the American Medical Association. In this analysis, it was determined that this woman shared a close biological kinship with various members of the Amarna royal family including two stillborn fetuses discovered in the tomb of Tutankhamun. As these children are believed to be the offspring of the boy-king and his Chief Wife Ankhesenamun (the daughter of Akhenaten and Nefertiti), it is possible that KV21B is their grandmother – and therefore, Nefertiti. In the wake of this announcement, a competing theory was proposed by Egyptologist Marc Gabolde who suggested that this mummy is, in fact, Queen Mutemwiya, a minor wife of Pharaoh Tuthmosis IV and the grandmother of Akhenaten. Due to the incestuous nature of Egyptian royalty during the late 18th Dynasty, it is difficult to determine familial bonds using genetic testing alone and it will therefore be necessary to rely on alternate methods to establish genealogy. Collaborating with Canadian forensic artist Taylor Violet Ross, we created a facial reconstruction of the KV21B mummy to gain an understanding of this woman’s appearance during her lifetime. In our presentation, we will compare our reconstruction with images of both Queens and document any physiological similarities that may help in determining the true identity of this royal woman.</t>
  </si>
  <si>
    <t>Nefertiti</t>
  </si>
  <si>
    <t>Mutemwiya</t>
  </si>
  <si>
    <t>KV21</t>
  </si>
  <si>
    <t>Niagara College/Brock University</t>
  </si>
  <si>
    <t>Canada</t>
  </si>
  <si>
    <t>kh2835@nyu.edu</t>
  </si>
  <si>
    <t>Kechu Huang</t>
  </si>
  <si>
    <t>On the Logic of Syncretism: A Case Study of Sekhmet</t>
  </si>
  <si>
    <t xml:space="preserve">Syncretism is widely regarded as one of the most important principles of Egyptian religion. Building on the fundamental contributions of Hans Bonnet (1939) and Erik Hornung (1982), the term refers to the process by which one god comes to inhabit another. As an overarching conceptual framework, syncretism appears capable of encompassing the full range of possible combinations among different gods. In practice, however, the internal logic governing such fusions has received comparatively little discussion. If syncretism is about combination, what is being combined and how? Moreover, how does the bundling of divine entities differ from the bundling of relations or qualities? Using the case study of the syncretized forms of Sekhmet and the epithets that follow these forms, this paper takes a step back from broad generalizations of syncretism and instead explores what is being combined in acts of divine syncretism, and how the resulting forms generate something distinct from their constituent gods. </t>
  </si>
  <si>
    <t>Syncretism</t>
  </si>
  <si>
    <t>Relational Ontology</t>
  </si>
  <si>
    <t>New York University</t>
  </si>
  <si>
    <t>m.aliabdelrazek@hotmail.com</t>
  </si>
  <si>
    <t>Mennah Aly</t>
  </si>
  <si>
    <t>Between Transformative Destruction and Apotropaic Protection: Reconsidering the Paradoxical Nature of God Shezmu in Ancient Egyptian Religion</t>
  </si>
  <si>
    <t>Shezmu is an ancient Egyptian deity attested in the Pyramid Texts, with continued presence in the Coffin Texts, Book of the Dead, and diverse religious and funerary testimonies until the Graeco-Roman period. His role oscillates between seemingly incompatible extremes: a feared slaughterer, a protector of the dead, and a deity of wine and oil pressing. Interpreted as a dualistic character in previous studies, Shezmu is often understood as a violent yet beneficial deity.  
Through contextual analysis of funerary and religious texts and iconography, this study argues that Shezmu’s violence represents a form of transformative destruction; a controlled and ritualised action essential for sustaining cosmic order and rebirth. His acts of pressing, crushing, and slaughtering were not intended as mere destruction, but as rituals of apotropaic protection that eliminated threats to Maat. As substances change state through pressing, wine from grapes and oil from seeds, so too did the apotropaic and purification rituals performed by Shezmu entail destruction and bloodshed. By situating Shezmu within the wider Egyptian realisation of cosmic order, this research clarifies that his seemingly paradoxical nature is indispensable to the cosmic rites of passage, in which the universe moves from states of impurity and chaos towards purity and ordered existence. 
Adopting a cross-disciplinary framework, this research integrates Carl Jung’s archetypal psychology with the ancient Egyptian religious perspective to analyse how rituals performed by Shezmu achieved protection, rebirth, and cosmic order. From Jungian lenses, Isfet is viewed as the Shadow, the powers of chaos that must be confronted and integrated within the Self, which symbolises the ordered universe. The ritualised destruction enacted by Shezmu reshaped chaos and transformed it into fuel absorbed by the cosmos, enabling its purification and rebirth. This process parallels Jung’s Individuation Theory, where the psyche achieves wholeness by incorporating its Shadow into the Self.</t>
  </si>
  <si>
    <t>Shezmu</t>
  </si>
  <si>
    <t>Transformative Destruction</t>
  </si>
  <si>
    <t>Apotropaic Protection</t>
  </si>
  <si>
    <t>The Egyptian Ministry of Tourism and Antiquities</t>
  </si>
  <si>
    <t>lisa_gayet@hotmail.com</t>
  </si>
  <si>
    <t>Lisa Gayet</t>
  </si>
  <si>
    <t>Women’s clothing and ornamental items. Iconographic significance and functions in private Theban tombs of the New Kingdom.</t>
  </si>
  <si>
    <t>Research on the so-called ‘ancient Egyptian fashion’ have already been the subject of numerous studies. The first analyses of these works were published in 1920 and 1935 by M. Houston and L. and J. Heuzey. There was a resurgence of interest in the 1970s, and subsequent studies initially focused on royal clothing and ornaments, and then on those of the male and female elite. These studies also addressed the appearance and production of these items, as well as their variations and developments throughout ancient Egyptian history. More recent research, such as that carried out by N. Cherpion, A. Hallmann and L. Hudáková, has discussed the function of certain female adornments in funerary iconography, particularly in scenes depicting hunting and fishing in marshy areas.
These works are being brought together and expanded upon, in a current doctoral research project on women’s clothing and adornments depicted in the private Theban tombs from the New Kingdom period. One of the aims of this thesis is also to fulfil the void in the Egyptological field regarding the role of these elements in hypogeum iconography. To achieve this, a spatial analysis of the painted scenes depicting clothing and ornamental items in these tombs is required, taking into account the social status of the tomb owner as well as his relatives.
Clothing and ornaments not only served an aesthetic function in Ancient Egypt but also had symbolic and identity-related purposes. This presentation will provide an overview of the methods used to accomplish this analysis and will present its initial findings.</t>
  </si>
  <si>
    <t>clothing</t>
  </si>
  <si>
    <t>ornaments</t>
  </si>
  <si>
    <t>private theban tombs</t>
  </si>
  <si>
    <t>uoltoju@gmail.com</t>
  </si>
  <si>
    <t>Sakura SANADA</t>
  </si>
  <si>
    <t>Firing techniques in Northeast Africa during the 5th millennium BCE</t>
  </si>
  <si>
    <t>According to paleo-climatological analyses and lithic studies, some studies indicate that desertification, which is estimated to have occurred in northeast Africa around 5300 cal. BC influenced the distribution of lithic and pottery traditions into Egypt from neighbouring regions during the 5th millennium cal. BCE. Though this is the prevailing theory explaining the spread of pottery use in Egypt, this theory, however, has been supported by only a limited number of pottery studies.
To clarify the actual changes in pottery vessels and pottery production before and after climate change, I attempted to reproduce the firing techniques used at that time. How did people fire pottery vessels under desert conditions? To address this question, I conducted experimental pottery firings to reproduce the firing techniques in Northeast Africa during the 5th millennium BCE, using both open bonfires and covered bonfires fueled by animal dung as a firing agent. This experimental study is necessary because it remains uncertain whether bonfire pits were covered and how much animal dung was effectively used during that period, though a study suggests that black-topped ware, which appeared in the Badarian period (dated to c. 4400-4000 cal. BC), could have been fired in a covered bonfire. Drawing on the experimental results and referring to ethnological research results, I aim to understand why pottery use was spread and why foreign pottery traits were distributed into Egypt from surrounding regions during the 5th millennium BCE under desert environmental conditions. Additionally, I seek to determine whether using animal dung accelerated the spread of pottery use or not.</t>
  </si>
  <si>
    <t>desertification</t>
  </si>
  <si>
    <t>pottery production</t>
  </si>
  <si>
    <t>Neolithic period</t>
  </si>
  <si>
    <t>Nagoya University</t>
  </si>
  <si>
    <t>Japanese</t>
  </si>
  <si>
    <t>eday@g.harvard.edu</t>
  </si>
  <si>
    <t>Elissa Day</t>
  </si>
  <si>
    <t>Middle Egyptian in the Classroom: Current practices and trends in pedagogy</t>
  </si>
  <si>
    <t>This paper presents the preliminary results of an ongoing study of how hieroglyphic Middle Egyptian is introduced at university level. The project aims to (1) document current patterns in course design and delivery, and (2) analyse how pedagogical choices (textbook selection, weekly schedule and pace, and assessment design) shape student progression from introductory grammar to reading full texts. It takes inspiration from Edward Chan’s recent study of Akkadian pedagogy (Leiden University, 2024). While Maiken Mosleth King’s work focuses on adult Anglophone learners outside university settings (2024), this paper addresses questions relating to university instruction.
Two methods are employed. First, an online survey of university instructors of Middle Egyptian, primarily in the UK and US, gathers quantitative and qualitative data on contact hours, typical class sizes and student backgrounds, the choice and combination of core grammars (Allen, Hoch, Collier, Borghouts, Roberson, etc.), the balance of grammar instruction and text work, the speed at which grammar is introduced, types of assignments, and the use of real objects in teaching. Second, semi-structured interviews examine how instructors make pedagogical choices in institutional contexts and evaluate their effectiveness for student engagement and progression. Interview topics include grammar and textbook preferences, the speed at which signs and vocabulary are introduced, engagement with digital tools (e.g. Anki), and reading milestones. 
Early results indicate that many students can begin to read real texts after one semester, particularly in courses that prioritise reading from museum objects. The data suggest little correlation between prior language study and achievement in Middle Egyptian, and similar attainment whether Middle Egyptian is taken as an elective or required course. This paper provides a data‑driven picture of current Middle Egyptian pedagogy, intended to inform course design and facilitate comparison of access to real texts across different grammars and teaching styles.</t>
  </si>
  <si>
    <t>Middle Egyptian</t>
  </si>
  <si>
    <t>Pedagogy</t>
  </si>
  <si>
    <t>Grammar</t>
  </si>
  <si>
    <t>United States of America</t>
  </si>
  <si>
    <t>Documentation as Interpretation: How Early Cataloguing Practices Shaped Egyptological Narratives</t>
  </si>
  <si>
    <t>The history of Egyptology is often written through discoveries, expeditions, and prominent scholars; however, less attention has been paid to the role of museum documentation in shaping Egyptological knowledge. This paper examines early cataloguing and documentation practices as active interpretive processes that contributed to the formation of dominant narratives within Egyptology, rather than as neutral or purely administrative tools.
Focusing on museum-based documentation produced between the late nineteenth and mid-twentieth centuries, the study explores how classification systems, object descriptions, terminologies, and modes of recording influenced scholarly interpretations of ancient Egyptian material culture. Early catalogues, registers, and inventories did not merely record objects but framed them within specific chronological, functional, and cultural assumptions that continue to affect research, display, and public understanding today.
Using selected examples from historical museum records and catalogues, the paper analyses how decisions related to object grouping, naming conventions, and descriptive emphasis reflected contemporary intellectual trends and power structures within the discipline. Particular attention is given to how these practices shaped perceptions of value, authenticity, and significance, while marginalizing alternative readings or local knowledge systems.
By reassessing documentation as a form of knowledge production, this paper contributes to current discussions on the historiography of Egyptology and the critical re-evaluation of institutional practices. It argues that understanding the interpretive nature of early documentation is essential for contextualizing inherited narratives and for developing more reflective and inclusive approaches to museum research and collections management today.</t>
  </si>
  <si>
    <t>Museum Documentation</t>
  </si>
  <si>
    <t>Cataloguing Practices</t>
  </si>
  <si>
    <t>The Role of Numismatic Collections in the Development of Egyptology</t>
  </si>
  <si>
    <t>Numismatic collections have long been regarded as auxiliary sources within Egyptology; however, their role in shaping chronological frameworks and scholarly authority has received limited critical attention. This paper examines how ancient coin collections contributed to the development of Egyptology as a discipline, particularly through their influence on historical periodization, dating practices, and interpretive hierarchies.
Focusing on the late nineteenth and early twentieth centuries, a formative period for institutional Egyptology, the study explores how museum-based numismatic collections were used to establish and reinforce chronological sequences for the Late Period, Ptolemaic, and Roman eras in Egypt. Coins, with their inscriptions, iconography, and regnal references, provided tangible and datable evidence that often carried significant epistemic weight in scholarly debates. As a result, numismatic material frequently served as a benchmark against which other categories of archaeological evidence were interpreted.
The paper analyses selected museum catalogues, scholarly publications, and collection practices to demonstrate how numismatics contributed not only to chronological reconstruction but also to the consolidation of academic authority. Decisions regarding attribution, classification, and display positioned numismatic specialists as key arbiters of historical knowledge, while simultaneously privileging certain types of evidence over others. This dynamic influenced broader narratives within Egyptology, particularly in periods where textual or stratigraphic data were fragmentary or contested.
By situating numismatic collections within the historiography of Egyptology, this study highlights their active role in shaping disciplinary methods and assumptions. It argues that coins functioned not merely as illustrative objects but as powerful instruments in the production of historical knowledge. Reassessing their role offers valuable insight into the formation of Egyptological chronology and invites a more critical understanding of how material categories have structured authority and interpretation within the field.</t>
  </si>
  <si>
    <t>Chronology</t>
  </si>
  <si>
    <t>Numismatics</t>
  </si>
  <si>
    <t>Coins as Cultural Messengers: Greco-Roman Identity through Numismatic Evidence in Egypt</t>
  </si>
  <si>
    <t>This paper explores the role of numismatic evidence in understanding the cultural and political interactions between Egypt and the Greco-Roman world. Coins are not only economic tools but also powerful instruments of identity, propaganda, and cultural exchange, reflecting the socio-political dynamics of their time.
During the Ptolemaic and Roman periods, Egypt became a melting pot of traditions, where Hellenistic, Roman, and native Egyptian influences coexisted. Coins minted in Egypt reveal this cultural hybridity, with inscriptions in Greek and Latin alongside Egyptian motifs, royal portraits, and divine iconography. By examining coin typology, inscriptions, and imagery, this study highlights how rulers used coinage to project authority, convey religious and political legitimacy, and promote cultural integration.
The paper also investigates trade networks and circulation patterns, showing how coins traveled across Egypt and beyond, facilitating not only economic exchange but also the dissemination of cultural values and political messages. For instance, the depiction of Ptolemaic rulers on coins emphasized continuity with pharaonic traditions while asserting the legitimacy of Hellenistic governance. Similarly, Roman coinage introduced imperial iconography that symbolized both conquest and cultural assimilation.
Furthermore, the study considers the methodological value of coins as primary sources for reconstructing ancient identities, shedding light on interactions between Egyptian society, foreign rulers, and local elites. Through numismatic analysis, the paper reveals the interplay of politics, religion, and everyday life, offering new insights into how cultural identity was constructed, negotiated, and communicated in ancient Egypt.
In conclusion, this research demonstrates that coins were more than monetary instruments; they acted as cultural messengers, encoding social, political, and religious information. Numismatic evidence thus provides a unique lens through which we can understand Egypt’s integration into the Greco-Roman world and the enduring legacy of cultural exchange across the Nile.</t>
  </si>
  <si>
    <t>Greco-Roman Egypt</t>
  </si>
  <si>
    <t>Cultural Identity</t>
  </si>
  <si>
    <t>Revisiting Museum Narratives: How Temporary Exhibitions Revive Public Engagement with Egyptian Heritage</t>
  </si>
  <si>
    <t>Temporary exhibitions play a critical role in reshaping museum narratives and fostering public engagement with cultural heritage. This paper examines how the “Perfumes in Ancient Egypt” temporary exhibition at the Egyptian Museum in Cairo illustrated Egypt’s cultural and commercial interactions with neighboring regions, particularly Nubia, while engaging diverse audiences in a dynamic learning environment.
The exhibition showcased a wide array of artifacts, including perfume vessels, ointment jars, and related ritual objects, highlighting their production, trade, and symbolic significance in daily, religious, and funerary practices. Through thematic displays, visitors could trace the movement of goods, ideas, and technologies between Egypt and its neighbors, demonstrating the interconnectedness of ancient civilizations along the Nile.
By employing interactive interpretation strategies, such as multimedia displays, reconstructions, and contextual storytelling, the exhibition revitalized the public’s understanding of Egyptian heritage, moving beyond static displays to provide immersive experiences. The case study emphasizes how temporary exhibitions can complement permanent galleries, offering opportunities for experimentation in curation, narrative construction, and audience engagement.
This paper also reflects on the implications for museology in Egypt, considering visitor feedback, educational outreach, and cultural diplomacy. Temporary exhibitions like “Perfumes in Ancient Egypt” not only revive interest in well-known collections but also highlight less-studied aspects of Egypt’s cultural history, including its relations with Nubia, illustrating the broader political, economic, and social exchanges that shaped the ancient Nile Valley.
In conclusion, temporary exhibitions serve as dynamic platforms to reinterpret heritage, foster dialogue, and connect historical artifacts to contemporary audiences, reinforcing museums’ roles as mediators between the past and the present.</t>
  </si>
  <si>
    <t>Temporary Exhibitions</t>
  </si>
  <si>
    <t>Egypt–Nubia Relations</t>
  </si>
  <si>
    <t>Ancient Egyptian Heritage</t>
  </si>
  <si>
    <t>A Nile Voyage to Upper Egypt in 1914: Tourism, Royal Steamships, and Cultural Heritage</t>
  </si>
  <si>
    <t>This paper explores a rare visual record of a Nile tourism journey to Upper Egypt in 1914, documenting visits to iconic temple sites including Dendera in Qena and Abydos in Sohag, with stops at Hawwis Esna. The footage features an Egyptian tour guide dressed in a traditional galabeya, jacket, and tarboosh, highlighting the social and cultural presentation of tourism in early 20th-century Egypt.
Central to this journey is the steamship “Sudan”, designed by the Thomas Cook Company for Khedive Ismail in 1885. Originally serving the royal family, the vessel illustrates the integration of modern transportation technologies with luxury travel along the Nile, reflecting both elite leisure culture and the development of Egypt’s tourism infrastructure under the late 19th and early 20th centuries.
The footage provides insight into the early organization of guided Nile tours, the role of professional guides, and the interaction between tourists and the landscape of Upper Egypt. It also sheds light on the preservation of royal and industrial heritage, as the “Sudan” steamship remains operational today, now owned by a French tourism company, demonstrating the long-term continuity of Nile navigation and heritage preservation.
By analyzing this historical footage, the study situates early Nile tourism within broader cultural, technological, and socio-political contexts, emphasizing how tourism shaped perceptions of Egyptian monuments and regional identities. Moreover, it contributes to discussions of heritage documentation and museology, showing how audiovisual materials can serve as primary sources for understanding historical practices of cultural engagement, travel, and leisure.
This paper ultimately highlights the interplay of heritage, technology, and cultural contact, providing a unique perspective on how early modern tourism contributed to the construction of Egypt’s cultural narrative and its enduring attraction as a center of historical and archaeological significance.</t>
  </si>
  <si>
    <t>Nile Tourism</t>
  </si>
  <si>
    <t>Sudan Steamship</t>
  </si>
  <si>
    <t>Cultural Heritage</t>
  </si>
  <si>
    <t xml:space="preserve">, doaafarag616@gmail.com </t>
  </si>
  <si>
    <t>The Egyptian Museum in Cairo as a Knowledge-Making Institution</t>
  </si>
  <si>
    <t>The Egyptian Museum in Cairo has traditionally been viewed as a repository for ancient artifacts and a symbol of national heritage. This paper re-examines the museum as an active knowledge-making institution that played a central role in shaping Egyptology as a scholarly discipline. Rather than functioning solely as a space of preservation and display, the museum contributed to the production, organization, and circulation of Egyptological knowledge through its institutional practices.
Focusing on the period from the late nineteenth century to the mid-twentieth century, the study investigates how curatorial strategies, documentation systems, exhibition layouts, and research activities within the museum influenced academic interpretations of ancient Egyptian material culture. Registers, catalogues, storage arrangements, and display narratives structured not only access to objects but also the intellectual frameworks through which they were studied and understood.
By analyzing selected archival records, early catalogues, and exhibition practices, this paper highlights the ways in which institutional decisions reflected broader scholarly trends, colonial contexts, and emerging professional standards within Egyptology. Particular attention is given to the interaction between local Egyptian expertise and international scholarly networks, and to how authority and legitimacy were negotiated within the museum setting.
The paper argues that the Egyptian Museum in Cairo functioned as a key site where objects were transformed into evidence and where disciplinary norms were reinforced. Through classification, interpretation, and public presentation, the museum actively shaped historical narratives and research agendas. Reconsidering the museum as a producer of knowledge rather than a passive container offers a more nuanced understanding of the history of Egyptology and underscores the importance of institutional practices in the formation of the field.</t>
  </si>
  <si>
    <t>Knowledge Production</t>
  </si>
  <si>
    <t>Studying the Alexandrian Monetary System through Numismatic Evidence: Preservation, Documentation, and Economic Interpretation</t>
  </si>
  <si>
    <t>Alexandrian coinage represents a distinctive monetary system within the Greco-Roman world, characterized by unique denominations, iconography, and inscriptions that set it apart from other imperial coinage. Issued from the Roman annexation of Egypt in 30 BC until the reign of Diocletian in 296 AD, these coins offer valuable insight into the economic, political, and religious conditions of Roman Egypt.
This paper examines a selected group of Alexandrian coins preserved in the Egyptian Museum in Cairo, focusing on the development of the Alexandrian monetary system and its economic implications over time. The study explores changes in coin production from the Ptolemaic background through the Roman period, analyzing how external political and economic factors influenced monetary policy and design. Particular attention is given to inscriptions, iconography, and artistic motifs as reflections of imperial authority, religious trends, and cultural interaction.
Coins bearing single motifs were classified into thematic groups, including Greco-Egyptian deities, imperial household representations, figurative imagery, and animal and bird motifs. The study investigates whether these inscriptions and visual programs primarily served as instruments of political and religious propaganda supporting imperial power, or whether they reflected prevailing religious and cultural beliefs of the period.
In addition to historical and economic analysis, the paper highlights the role of conservation and documentation in numismatic research. A scientific conservation plan was applied, including detailed measurement, microscopic examination, UV analysis, and mechanical and chemical cleaning. Inscriptions and inscriptions were documented using digital drafting techniques, ensuring accurate recording and long-term accessibility. The study emphasizes the importance of controlled storage conditions, including temperature and humidity monitoring, to ensure the sustainability of numismatic collections.
By integrating economic interpretation with conservation and documentation practices, this research demonstrates the value of museum-based numismatic collections as primary sources for understanding the monetary, political, and cultural history of Roman Egypt.</t>
  </si>
  <si>
    <t>Alexandrian Coinage</t>
  </si>
  <si>
    <t>Numismatic Collections</t>
  </si>
  <si>
    <t>Monetary History</t>
  </si>
  <si>
    <t>dott.laura.michelini@gmail.com</t>
  </si>
  <si>
    <t>Laura</t>
  </si>
  <si>
    <t>From datasets to dialogues: revisiting Egyptian funerary evidence through cross-cultural lenses</t>
  </si>
  <si>
    <t xml:space="preserve">This paper presents a new database of Egyptian funerary sites from the New Kingdom, conceived as the counterpart to a previously developed dataset of Levantine burials. The project explores how cross-cultural interactions between Egypt and the Southern Levant shaped funerary practices in the Late Bronze Age.
The database compiles architectural, decorative, and material evidence from sites such as Saqqara, Tell el-Retabeh, Tell el-Yahudiyeh and Tell el-Maskhuta, standardised to allow comparison with the Levantine corpus. This systematic approach highlights recurring patterns and local variations, providing a basis for assessing transcultural dynamics and re-evaluating assumptions about influence and adaptation.
By integrating both corpora, the study moves beyond unidirectional models of Egyptian dominance to a more entangled perspective on cultural exchange. Preliminary results reveal that some Egyptian tombs incorporate motifs and spatial arrangements reflecting broader Mediterranean trends, while Levantine burials show selective appropriations of Egyptian funerary ideology.
These patterns suggest a multidirectional flow of ideas and practices, where funerary materiality became a key medium of negotiation and identity expression across regions. The project demonstrates how comparative, data-driven analysis can illuminate the complexities of cultural contact in the Late Bronze Age, turning two separate datasets into a dynamic interpretive dialogue between Egypt and its neighbours.
</t>
  </si>
  <si>
    <t>Ancient Egypt</t>
  </si>
  <si>
    <t>Southern Levant</t>
  </si>
  <si>
    <t xml:space="preserve">Cross-cultural Studies </t>
  </si>
  <si>
    <t>Universitat zu Köln</t>
  </si>
  <si>
    <t>hshosbo2@liverpool.ac.uk</t>
  </si>
  <si>
    <t>Hannah Elisabeth Osborn</t>
  </si>
  <si>
    <t>‘Their entrails to those who belong to the sky, their blood to those who belong to the earth’: the Representation of Posthumous Punishment in the Pyramid Texts</t>
  </si>
  <si>
    <t xml:space="preserve">The ancient Egyptians envisaged death not as the ultimate demise of individual existence, but rather as a transformative process culminating in a new, beatified state of being in the afterlife. Key to this transformation was the posthumous judgement of the deceased – a concept which is first attested in the Pyramid Texts and developed over time to become a dominant feature of New Kingdom funerary compositions, as Book of the Dead 125 most famously attests to. While the righteous deceased were believed to attain an idealised form of existence, those deemed to be ‘unrighteous’ faced an eternity of punishment and, in some cases, complete annihilation. Although notions of judgement in the otherworld have been explored thoroughly, there have been few studies dealing with the posthumous punishment of the unrighteous dead and of cosmic enemies (e.g., Zandee 1960; Hornung 1968; Zago 2024). 
This paper will introduce the topic of my doctoral research, which seeks to provide the first comprehensive study of the representation of punishment of the unrighteous dead in Egyptian funerary literature. Focussing on a lexicographical analysis of the Pyramid Texts as a case study, it will present some preliminary conclusions on the representations, agents, means, and contexts of the treatment of the condemned found within the corpus. The analysis of the contemporary evidence of the punishment of ‘wrongdoers’ on earth will help establish the extent to which a relationship existed between punishment in this world and in the next. The discussion will thus illustrate not only how notions of posthumous punishment were conceptualised in the earliest attestations in funerary literature, but also how they may have been informed or influenced by earthly methods of punishment.   </t>
  </si>
  <si>
    <t>Punishment</t>
  </si>
  <si>
    <t>University of Liverpool</t>
  </si>
  <si>
    <t>QR Code–Based System for the Documentation and Identification of Glass Negative Slides Collections in the Egyptian Museum in Cairo</t>
  </si>
  <si>
    <t>This project introduces a QR code–based system for the documentation and identification of glass slides, aiming to improve accessibility, organization, and long-term management of slide collections. Unique QR codes were generated for individual glass slides, each linking to structured descriptive metadata, including identification details and relevant contextual information. The QR codes are physically affixed to the slides, enabling rapid identification and information retrieval using a standard mobile phone scanner without the need for specialized equipment. This approach enhances efficiency in collection handling, reduces the risk of misidentification, and supports both conservation and digitization workflows. The system offers a low-cost, scalable, and user-friendly solution suitable for archival, museum, and research environments, contributing to improved collection control and sustainable documentation practices.</t>
  </si>
  <si>
    <t>QR Code</t>
  </si>
  <si>
    <t>Glass Negative Slides</t>
  </si>
  <si>
    <t>john.burn@mq.edu.au</t>
  </si>
  <si>
    <t>JOHN BURN</t>
  </si>
  <si>
    <t xml:space="preserve">THE 4200BP EVENT, THE LATE OLD KINGDOM AND A RIVER IN (MEGA?) DROUGHT. </t>
  </si>
  <si>
    <t xml:space="preserve">The 4200BP event is widely supported with corroborative data from many locations  worldwide. Damaging environmental impacts have been associated with it, and many adverse cultural consequences attributed to it. The degree of its impact deserves discussion. In a similar manner to the debate about how much ‘collapse’ occurred during the Old Kingdom “Collapse”, the amount of ‘drought’ that occurred during the “Megadrought” deserves further examination, especially regarding its impact upon the Nile Valley during the latter stages of the Old Kingdom. This paper aims to clarify the concept of ‘drought’ in an Egyptological context, explaining the perceived reluctance of some scholars to use the term ‘megadrought’. 
Perhaps the 4200BP event may have affected ancient Egypt in a manner slightly differently to how it impacted her neighbours. While evidence suggests neighbouring societies experienced severe water scarcity and social disruption, Egypt's experience may be perhaps better characterised by irregular flood patterns than by megadrought. Due to the specific geographical nature of Egypt, the impact of this event may not have been as one dimensional as some have advocated. Using a comparative ecological framework, this paper will investigate how Egypt's unique geographical features—particularly its dependence on distant rainfall sources—may have shielded certain impacts of the 4200BP event. It will highlight the importance of regional ecological contexts when assessing climate phenomena and add to our broader understanding of how ancient societies adapted to changing climates.
Thankyou for your consideration
</t>
  </si>
  <si>
    <t>OLD KINGDOM</t>
  </si>
  <si>
    <t>4200BP EVENT</t>
  </si>
  <si>
    <t>RESILIENCE</t>
  </si>
  <si>
    <t>MACQUARIE UNIVERSITY, SYDNEY AUSTRALIA</t>
  </si>
  <si>
    <t>AUSTRALIA</t>
  </si>
  <si>
    <t>AUSTRALIAN</t>
  </si>
  <si>
    <t>limengyi@nwu.edu.cn</t>
  </si>
  <si>
    <t>Mengyi Li; Kexin Zhao</t>
  </si>
  <si>
    <t>Speaking for the dead: multiple agencies in the funerary biographies of ancient Egypt and medieval China</t>
  </si>
  <si>
    <t xml:space="preserve">This article compares biographical writing practices in funerary contexts of ancient Egypt and early medieval China. While both cultures inscribed biographical texts on funerary monuments, their traditions followed divergent trajectories, revealing profound differences in strategies of identity construction, social norms, and value propositions regarding death and its commemoration.
Originating in tomb contexts during the Old Kingdom, Egyptian biographies had expanded into the temple sphere by the New Kingdom. In addition to facilitating greater participation in temple rituals, these texts continued to function as performative religious devices designed to secure offerings for the deceased’s afterlife. Egyptian texts usually employed a first-person “speaking self”, asserting the deceased’s ongoing agency beyond death—a privilege largely reserved for men throughout Egyptian history.
The spatial placement of Egyptian biographical inscriptions shifted from enclosed burial spaces to more publicly accessible temple contexts. In contrast, their Chinese counterparts followed an inverse path: from above-ground monuments—funerary stelae erected outside tomb chapels—to underground textual objects (muzhi, or biographical epitaphs) concealed within tombs during the Wei-jin Period. Rather than directly addressing the afterlife, muzhi embodied a distinctly secular orientation shaped by political circumstances and social values. Written in third-person narratives by commissioned authors, muzhi constructed a “judged self” evaluated against moral and political norms while its creation offered opportunities for elite social networking. Notably, this tradition was more gender-inclusive, with numerous muzhi composed for women.
By analyzing the multiple “voices” involved in creating funerary biographies of the non-royal elites, this comparative study illuminates how shifting sociopolitical contexts can motivate funerary commemoration practices as vital indicators of elite values. Ultimately, it reveals the fundamental reasons behind the divergent approaches taken by Egyptian and Chinese funerary practices in the context of biography writing.
</t>
  </si>
  <si>
    <t>funerary biography</t>
  </si>
  <si>
    <t>agency</t>
  </si>
  <si>
    <t xml:space="preserve">comparative study </t>
  </si>
  <si>
    <t>History School, The Northwest University (Mengyi Li); Institute of World History, Chinese Academy of Social Sciences (Kexin Zhao)</t>
  </si>
  <si>
    <t>rasha.shaheen@fulbrightmail.org</t>
  </si>
  <si>
    <t>Exhibiting Ancient Egypt: The Role of the Egyptian Museum in Cairo in Shaping Society and Egyptological Knowledge</t>
  </si>
  <si>
    <t>The Egyptian Museum in Cairo occupies a central position in the interpretation and dissemination of ancient Egyptian heritage. Beyond its function as a repository of artifacts, the museum acts as a dynamic space where Egyptological knowledge is translated into public narratives that influence both Egyptian society and international understandings of ancient Egypt. This paper examines how exhibitions at the Egyptian Museum in Cairo contribute to the production, communication, and reception of Egyptological knowledge, with particular attention to their social and educational impact.
Focusing on selected exhibition practices, including the recent temporary exhibition dedicated to Queen Nefertari and her tomb (QV66), the study explores how curatorial narratives, visual strategies, and interpretive tools transform archaeological research into accessible and engaging experiences. The Nefertari exhibition serves as a key case study demonstrating how photography, restoration documentation, and storytelling can bridge the gap between field archaeology and museum audiences, while highlighting the role of international collaboration in heritage interpretation.
The paper argues that such exhibitions play a vital role in shaping cultural awareness, reinforcing national identity, and fostering intergenerational engagement with ancient history within Egyptian society. Simultaneously, they contribute to the global field of Egyptology by mediating scholarly knowledge for diverse audiences and influencing contemporary perceptions of Pharaonic civilization. By analyzing the Egyptian Museum in Cairo as both a social and intellectual space, this study underscores the significance of museum exhibitions as active agents in cultural dialogue, education, and knowledge production.</t>
  </si>
  <si>
    <t>Egyptological Interpretation</t>
  </si>
  <si>
    <t>Pharaonic Material Culture</t>
  </si>
  <si>
    <t>Museums and Public Egyptology</t>
  </si>
  <si>
    <t>THe Egyptian Museum in Cairo</t>
  </si>
  <si>
    <t>Fatma Abdelaziz Hegab Salem</t>
  </si>
  <si>
    <t>“From Display to Experience: The Role of Interactive Technology in Developing Museum Display”</t>
  </si>
  <si>
    <t>This paper examines the role of interactive technology in developing museum exhibitions and enhancing the way cultural heritage is presented and interpreted. As museums move beyond traditional static displays, interactive digital tools have become essential in transforming exhibitions into immersive, educational, and visitor-centered experiences. The study focuses on how emerging technologies—particularly artificial intelligence, augmented reality, semantic web applications, and interactive digital interfaces—contribute to rethinking museum display and interpretation.
The paper explores the practical use of interactive technology in key museum functions, including exhibition display, interpretation, education, and research. It highlights how artificial intelligence can support personalized visitor experiences, improve accessibility, facilitate real-time interpretation through voice assistants and smart devices, and create meaningful connections between museum objects and their original archaeological contexts. Special attention is given to knowledge-based personalization, semantic web technologies, and interactive storytelling as tools that allow visitors to actively engage with museum narratives rather than passively consume information.
Through selected international and regional case studies, the paper demonstrates how interactive technology has been successfully applied in museums to enhance visitor engagement, clarify complex historical concepts, and support critical interaction with cultural heritage. These examples illustrate how digital tools can bridge the gap between the museum object, its historical background, and contemporary audiences.
Methodologically, the study adopts an interdisciplinary approach combining museology, digital humanities, and heritage interpretation. It argues that technology should function as a supportive interpretive layer that enhances scholarly content without compromising the authenticity or cultural value of museum collections. The paper concludes that interactive technology represents a vital mechanism for developing museum exhibitions, ensuring sustainable heritage communication, and redefining the educational role of museums in the digital age.</t>
  </si>
  <si>
    <t>interactive technology</t>
  </si>
  <si>
    <t>museum display</t>
  </si>
  <si>
    <t>visitor engagment</t>
  </si>
  <si>
    <t>Head of Modern Technology and Technological Development Department, Museums Sector, Egypt</t>
  </si>
  <si>
    <t>omarkotb3899@gmail.com</t>
  </si>
  <si>
    <t>Omar Hassan</t>
  </si>
  <si>
    <t>From Papyrus to Pixels: Cybersecurity and the Protection of Egyptological Archives in Museums and Public Libraries</t>
  </si>
  <si>
    <t>Egyptological archives housed in museums and public libraries are vital repositories of Egypt’s cultural memory. They preserve papyri, inscriptions, photographic records, and other artifacts that document the civilization’s history, beliefs, and societal development. These collections not only support academic research but also shape public understanding of Egypt’s national identity. As these institutions increasingly digitize their holdings to enhance preservation and accessibility, the archives have become exposed to cybersecurity risks, including unauthorized access, data corruption, and large-scale breaches.
This paper examines the critical importance of cybersecurity for Egyptological archival data, arguing that records of national and cultural significance require protection measures of the highest standard. It analyzes the potential consequences of compromised archival integrity, including loss of historical authenticity, diminished public trust, and interruption of knowledge transmission. The study proposes a multi-layered framework integrating risk assessment, digital preservation standards, staff training, and institutional policy development. By doing so, it highlights how robust cybersecurity practices are essential not only for operational continuity but also for safeguarding Egypt’s cultural heritage and ensuring that the knowledge of its ancient civilization remains accessible to future generations.</t>
  </si>
  <si>
    <t>Egyptological Archives</t>
  </si>
  <si>
    <t>Cybersecurity</t>
  </si>
  <si>
    <t>Digital Preservation</t>
  </si>
  <si>
    <t>Menoufia University, Egypt</t>
  </si>
  <si>
    <t>Ensuring the Integrity of Egyptological Archives: Preventing Data Corruption and Loss During Digital Transfers</t>
  </si>
  <si>
    <t>The transfer of Egyptological archival data between systems or institutional domains represents a critical stage in the digital preservation lifecycle, yet it is highly vulnerable to data corruption and loss. Such transfers—occurring during system upgrades, repository migrations, cloud integrations, or collaborative projects between museums and libraries—introduce risks including file degradation, metadata inconsistencies, format incompatibilities, and transfer-protocol failures.
This paper examines the technical and procedural factors that compromise the integrity of Egyptological archives during digital transfers, emphasizing the impact on long-term accessibility, evidential value, and the preservation of Egypt’s national memory. Through analysis of common failure modes and case studies drawn from Egyptian museums and research libraries, the study highlights the consequences of data loss on scholarly research, public knowledge, and cultural heritage continuity.
The paper proposes a comprehensive mitigation framework that integrates checksum validation, redundancy strategies, rigorous documentation, and compliance with international digital preservation standards. By implementing secure and verifiable data transfer processes, cultural institutions can ensure the authenticity, reliability, and accessibility of Egyptological archives, safeguarding the legacy of Egypt’s ancient civilization in the digital age.</t>
  </si>
  <si>
    <t>Museums and Libraries</t>
  </si>
  <si>
    <t>Ain Shams University, Egypt</t>
  </si>
  <si>
    <t>mouniramohamed1982@gmail.com</t>
  </si>
  <si>
    <t>Mounira Mohamed</t>
  </si>
  <si>
    <t>Archival Photographs as Egyptological Sources: Insights from the Egyptian Museum Collections</t>
  </si>
  <si>
    <t>Historical photographs constitute a vital but often underutilized resource in Egyptology, offering unique insights into early archaeological excavations, artifact provenance, and the reconstruction of lost or altered sites. This paper examines the photographic archives held at the Egyptian Museum in Cairo, focusing on collections documenting excavations and artifacts from the late 19th and early 20th centuries. By analyzing silver gelatin prints, glass plate negatives, and field documentation, the study explores how these visual records can complement textual sources to provide a richer understanding of ancient Egyptian material culture, burial practices, and monumental architecture.
The research highlights key methodological considerations for using archival photographs in Egyptological research, including conservation challenges, provenance verification, and interpretive strategies. Case studies are presented where archival photographs reveal previously overlooked details about tomb structures, artifact arrangements, and museum acquisition histories. The paper also emphasizes the importance of restoring and preserving photographic collections to ensure their accessibility for ongoing scholarship.
By bridging archival conservation and Egyptological analysis, this study demonstrates that photographic archives are not merely historical artifacts but are essential tools for reconstructing and reinterpreting Egypt’s archaeological heritage. The findings underscore the value of interdisciplinary collaboration between conservators, archivists, and Egyptologists to enhance the accuracy and depth of research in the field.</t>
  </si>
  <si>
    <t>Archival Photographs</t>
  </si>
  <si>
    <t>Egyptological Research</t>
  </si>
  <si>
    <t>Archaeological Documentation</t>
  </si>
  <si>
    <t>The Egyptian Museum in Cairo</t>
  </si>
  <si>
    <t>Illuminating the Past: New Kingdom Oil Lamps and Textile Preservation at the Egyptian Textile Museum</t>
  </si>
  <si>
    <t>Oil lamps from ancient Egypt offer a unique lens into daily life, technological practices, and material culture. This paper examines a New Kingdom oil lamp (TM.43) housed at the Egyptian Textile Museum, originating from Deir el-Medina, Luxor (c. 1550–1069 BC). The lamp consists of a pottery bowl and a linen wick—a twisted piece of cloth used to sustain the flame—highlighting the integration of textile and ceramic technologies in ancient Egyptian domestic life.
By analyzing the lamp’s materials, craftsmanship, and historical context, the study explores how such objects illuminate everyday practices, artisanal skills, and cultural values in New Kingdom communities. The paper also addresses the challenges of preserving composite artifacts that combine organic and inorganic components, emphasizing specialized conservation strategies for textiles embedded in functional objects.
This case study demonstrates how small-scale artifacts, especially those intersecting textile and ceramic heritage, enrich our understanding of Egyptological history. Furthermore, it illustrates the pivotal role of museum collections, like those at the Egyptian Textile Museum, in safeguarding cultural memory and providing educational resources for researchers, students, and the public.</t>
  </si>
  <si>
    <t>New Kingdom Artifacts</t>
  </si>
  <si>
    <t>Oil Lamps</t>
  </si>
  <si>
    <t>priskin.gyula@gmail.com</t>
  </si>
  <si>
    <t>Gyula Priskin</t>
  </si>
  <si>
    <t>A new identification of Sah in the sky</t>
  </si>
  <si>
    <t>One of the long-held tenets of ancient Egyptian astronomy is that Sah – a constellation that depicted the god Osiris as a striding divine figure – is located somewhere around the modern constellation of Orion. However, beyond this statement only a few reasonably well-argued and plausible theories exist about the precise identification of Sah in the sky. This is so even if the underlying principle – namely, that the ancient Egyptian constellations were also based on visual resemblance – is undoubtedly correct. Finding the stars of Sah is made more difficult by the fact that the various sources – albeit often contemporary – depict the figure differently: Osiris sometimes looks forward, sometimes turns his head back, sometimes he raises his right arm, while sometimes this same arm rests next to the body. The paper reviews the identifications of Sah put forward so far, then offers a new identification around Orion by taking a fresh look at the visual representations of the constellation that occur in the diagonal star tables, the astronomical diagrams, and the astronomical scenes of the Graeco-Roman temples.</t>
  </si>
  <si>
    <t>Egyptian astronomy</t>
  </si>
  <si>
    <t>Sah</t>
  </si>
  <si>
    <t>Orion</t>
  </si>
  <si>
    <t>University of Szeged, Department of Ancient History</t>
  </si>
  <si>
    <t>Hungary</t>
  </si>
  <si>
    <t>Hungarian</t>
  </si>
  <si>
    <t>urskafurlan5@gmail.com</t>
  </si>
  <si>
    <t>Urška Furlan</t>
  </si>
  <si>
    <t>The Great One of All the Gods: Tracing the Origins and Symbolism of the Cattle Cult</t>
  </si>
  <si>
    <t>The cattle cult represents one of the earliest religious traditions of northeastern Africa, with origins extending several millennia before the emergence of dynastic Egypt. Across this region, cattle were not only economically central but also deeply embedded in ritual practice and symbolic expression. This paper argues that bovine imagery functioned as a key medium for expressing ideas that later became central to Egyptian religion. It traces the development of cattle veneration from Neolithic ritual cattle burials at Nabta Playa, through Predynastic iconography associated with the goddess Bat, and ultimately to the cult of Hathor, one of the most prominent deities of Pharaonic Egypt. Particular attention is given to the visual, material, and ritual expressions of the cattle cult, including cow decoration, horn modification, and bull jumping. Central to this discussion is the concept of female bovine power—associated with fertility, sexuality, and regeneration—which will be juxtaposed with manifestations of male power embodied by sacred bulls and their associations with strength, kingship, and divine authority. By situating Egyptian evidence within a wider northeastern African context, including Nubia, the wider Sudanese region, and the Horn of Africa, the paper highlights shared symbolism, as well as local variations in the religious significance of cattle. In doing so, it emphasizes the role of long-term cultural continuities and regional interaction in the formation of Egyptian religious traditions, demonstrating that the cattle cult was not an exclusively Egyptian phenomenon but part of a wider northeastern African religious landscape.</t>
  </si>
  <si>
    <t xml:space="preserve">cattle </t>
  </si>
  <si>
    <t>Hathor</t>
  </si>
  <si>
    <t>Predynastic Egypt</t>
  </si>
  <si>
    <t>University of Naples "L'Orientale"</t>
  </si>
  <si>
    <t>Slovenia</t>
  </si>
  <si>
    <t>Talatat Stones in Museum Basements: Digital Documentation and Interpretive Potential at the Egyptian Museum of Cairo</t>
  </si>
  <si>
    <t>The Talatat stone blocks represent one of the most significant yet under-studied categories of architectural material from the Amarna Period. A substantial number of these blocks are preserved in the basement storage of the Egyptian Museum of Cairo, where access is limited and traditional documentation methods restrict both research potential and public engagement. This paper examines the current condition, documentation practices, and interpretive challenges associated with the Talatat collection, drawing on curatorial experience and ongoing doctoral research.
The study proposes a digital heritage-based approach that integrates high-resolution photographic documentation, structured digital cataloguing, and thematic metadata to enhance scholarly accessibility and long-term preservation. By combining archaeological analysis with museum documentation technologies, the paper demonstrates how digital tools can facilitate comparative research, support conservation planning, and create opportunities for virtual interpretation beyond physical display constraints.
Furthermore, the research highlights the role of digital documentation in recontextualizing basement collections as active knowledge resources rather than passive storage materials. The proposed framework aligns with international museum standards and contributes to current debates on the digital transformation of museum storage and reserve collections. Through the case study of the Egyptian Museum of Cairo, this paper argues that heritage technologies can play a critical role in safeguarding, interpreting, and disseminating marginalized architectural assemblages, ensuring their integration into both academic discourse and public heritage narratives.</t>
  </si>
  <si>
    <t>Talatat Blocks</t>
  </si>
  <si>
    <t>Architectural Reconstruction</t>
  </si>
  <si>
    <t>raniahamdi212@gmail.com</t>
  </si>
  <si>
    <t>Ranya hamdy hussein dahy</t>
  </si>
  <si>
    <t>Raniahamdi212@gmail.com</t>
  </si>
  <si>
    <t xml:space="preserve">Emperor worship in Roman Art between Imperial Ideology and christian opposition </t>
  </si>
  <si>
    <t xml:space="preserve">
This study examines the representation of emperor worship in Roman art, situated between its broad acceptance within Roman society and its categorical rejection by Christianity. Emperor worship functioned as a political–religious institution through which imperial authority was legitimized and reinforced. The emperor was perceived as a divine or semi-divine figure, embodying sacred virtues such as victory, justice, and peace. This ideological framework found clear expression in official Roman art—particularly sculpture, reliefs, coinage, and public architecture—where emperors were portrayed using divine iconography inspired by classical gods, serving the purposes of imperial propaganda throughout the Roman Empire.
In contrast, the emergence of Christianity posed a fundamental challenge to this system. Christian doctrine firmly rejected the deification of humans, emphasizing strict monotheism and reserving worship exclusively for the one God. This theological stance led to ideological and artistic confrontation, reflected in the refusal of early Christians to participate in imperial cult practices and in the development of an alternative visual language characterized by symbolic and discreet imagery. With the eventual recognition of Christianity by the Roman state, a significant transformation occurred in artistic representations: the emperor was no longer depicted as a divine being but rather as a ruler whose authority was derived from God. This shift illustrates the profound impact of Christian thought on concepts of power and representation within the context of Christianity.
The study concludes that the artistic depiction of emperor worship reveals the complex relationship between political authority and religious belief and highlights the role of art as a key medium reflecting ideological and social transformations in the Roman world from paganism to Christianity.</t>
  </si>
  <si>
    <t>Emperor worship</t>
  </si>
  <si>
    <t>Roman art</t>
  </si>
  <si>
    <t>Early christianity</t>
  </si>
  <si>
    <t>Minisitry of tourism and antiquites</t>
  </si>
  <si>
    <t>44 port said ,st., camp sheizar Alexandria</t>
  </si>
  <si>
    <t>Egyptain</t>
  </si>
  <si>
    <t>marwasayed65@yahoo.com</t>
  </si>
  <si>
    <t>Marwa Sayed Shehata Hanafy</t>
  </si>
  <si>
    <t xml:space="preserve"> Traditional Folk Medicine in Ancient and Modern Egypt</t>
  </si>
  <si>
    <t xml:space="preserve">Traditional medicine is a wide range encompasses a variety of health approaches, knowledge, and beliefs that integrating plant, animal or mineral-based medicines; Spiritual therapies and manual methods used individually or together to promote well-being, in addition to diagnosing, treating or preventing illnesses without the necessity for modern medications, differing significantly by area  but  having shared elements   of herbal medicine, community knowledge and home remedies.
Despite adorable advancements of modern  biotechnology and medical practices, the utilizing  of folk medicine  has significantly increased in Egypt nowadays.
Traditional medical knowledge can be transmitted orally across generations, or within families specializing in particular treatments so this treatment pattern is a result of inherited experiences and practices that are frequently rooted in ancient traditional customs, thus reinforcing the principle of cultural heritage. 
This study aims to shed light on  folk medical healing practices in its alternative traditional dimension in both past and present  Egypt through various resources;  ancient Egyptian medical papyrus and  reliefs, along with field visits for  current traditional medical healers, Identify the main reasons that led people to turn to folk healers, herbal treatments, and historical medical knowledge to fulfill their health and wellness needs, Characterize the social, economic and  cultural factors of those seeking these customs,  recognize forms of folk remedies and the treatment mechanisms are practiced.
</t>
  </si>
  <si>
    <t>Traditional Medicine</t>
  </si>
  <si>
    <t>Therapeutic Practices</t>
  </si>
  <si>
    <t>Folk Healers</t>
  </si>
  <si>
    <t>mo.a.elrahman@gmail.com</t>
  </si>
  <si>
    <t xml:space="preserve">Mohamed Abdelrahman Ahmed Mansour </t>
  </si>
  <si>
    <t xml:space="preserve">Mo.a.elrahman@gmail.com </t>
  </si>
  <si>
    <t xml:space="preserve">New Cause Way for a Private Tomb Discovered in Giza Plateau </t>
  </si>
  <si>
    <t xml:space="preserve">During the excavations season 2025/26 of the joint Japanese-Egyprian mission, in the Western field in Giza plateau, a part of a cause way leads to the family complex of Shepsess-Kaf-Ankh ( G6000) was discovered. This paper aims to document the discovered causeway through different methods - drawing, Photo and description, explore the history of private causeway in old kingdom and Giza plateau. </t>
  </si>
  <si>
    <t>Giza plateau</t>
  </si>
  <si>
    <t xml:space="preserve">Tombs </t>
  </si>
  <si>
    <t>Old kingdom</t>
  </si>
  <si>
    <t xml:space="preserve">Archaeologist, Giza plateau, Supreme Council of Antiquities </t>
  </si>
  <si>
    <t>N.ibrahim@art.nvu.edu.eg</t>
  </si>
  <si>
    <t xml:space="preserve">Nesma Ibrahim </t>
  </si>
  <si>
    <t>nessmaelsaeed@gmail.com</t>
  </si>
  <si>
    <t>Coptic Ostraca as Evidence for Local Administration in Late Antique Egypt</t>
  </si>
  <si>
    <t>Coptic ostraca constitute one of the most direct sources for reconstructing the mechanisms of local administration in Late Antique Egypt. Unlike formal documentary papyri, these short texts—often written in informal contexts—preserve traces of everyday bureaucratic practice at the village and regional levels. This paper examines a selected corpus of published Coptic ostraca that record administrative activities such as land management, permissions, orders, fiscal obligations, and delegated authority.
By analyzing both the content and the pragmatic function of these texts, the paper argues that ostraca were not marginal or auxiliary records, but an integral part of local administrative communication. Their material form, brevity, and formulaic yet flexible language suggest a system adapted to immediacy, mobility, and practical needs rather than archival preservation. The study highlights how local officials, landholders, and intermediaries employed ostraca to negotiate authority, transmit decisions, and regulate economic and social relations.
Particular attention is paid to the interaction between written authority and social hierarchy, demonstrating how administrative power was exercised and recognized outside officially sanctioned documentary formats. The paper further explores the coexistence of Greek and Coptic administrative practices, showing how Coptic writing became increasingly central to local governance in Late Antique Egypt.
By foregrounding ostraca as active instruments of administration rather than peripheral texts, this contribution challenges traditional papyrological hierarchies and calls for a reassessment of how administrative literacy functioned beyond state-centered documentation. The paper ultimately positions Coptic ostraca as key evidence for understanding the lived realities of governance, authority, and daily life in Late Antique Egyptian communities.</t>
  </si>
  <si>
    <t>Ostraca</t>
  </si>
  <si>
    <t>Local administration</t>
  </si>
  <si>
    <t>Late Antique Egypt</t>
  </si>
  <si>
    <t>Faculty of Arts,New Valley University, Egypt.</t>
  </si>
  <si>
    <t>hoda.mahmoudeg@yahoo.com</t>
  </si>
  <si>
    <t>Hoda Mahmoud</t>
  </si>
  <si>
    <t>Securing Heritage: Clay and Textile Seals in Ancient Egypt and Their Preservation at the Egyptian Textile Museum</t>
  </si>
  <si>
    <t>Seals in ancient Egypt were more than functional objects—they were markers of ownership, security, and social authority. This paper examines a New Kingdom seal (TM.44) housed at the Egyptian Textile Museum, consisting of a black clay scarab with outstretched wings attached to a strip of plain linen. Seals of this type were used to fasten doors, tombs, storerooms, and vessels, combining ceramic and textile materials to protect both property and sacred spaces.
By analyzing the seal’s material composition, iconography, and practical application, the study explores the interplay between textiles and clay in ancient Egyptian security practices. The research further addresses methodological considerations for preserving composite artifacts, highlighting the challenges of maintaining the integrity of organic (linen) and inorganic (clay) components within museum collections.
This case study demonstrates how small, functional objects can illuminate daily life, administrative practices, and ritual behaviors in ancient Egypt. Moreover, it emphasizes the role of specialized institutions, like the Egyptian Textile Museum, in conserving both the physical artifacts and the cultural knowledge they embody, providing valuable resources for researchers, educators, and the public.</t>
  </si>
  <si>
    <t>Egyptian Seals</t>
  </si>
  <si>
    <t>Scarab Iconography</t>
  </si>
  <si>
    <t>Composite Artifacts</t>
  </si>
  <si>
    <t>the Egyptian Museum in Cairo, Egypt</t>
  </si>
  <si>
    <t>Perfume Jars and Textile Heritage in Ancient Egypt: Insights from Composite Artifacts at the Egyptian Textile Museum</t>
  </si>
  <si>
    <t>Textiles in ancient Egypt were not only functional but also played a critical role in the preservation, display, and security of material culture. This paper examines four composite artifacts housed at the Egyptian Textile Museum—ranging from a New Kingdom oil lamp (TM.43) and clay seal (TM.44) to Middle Kingdom perfume jars (TM.45) and a linen macramé perfume holder with faience beads (TM.46)—demonstrating the integration of organic and inorganic materials in domestic, ritual, and funerary contexts.
The New Kingdom oil lamp and clay seal reveal how linen wicks and textile strips were combined with pottery and clay to provide light, secure property, and mark ownership in daily and ritual life. The Middle Kingdom artifacts from the Tomb of Ament at Deir el-Bahari illustrate sophisticated textile craftsmanship, including sealing techniques and decorative macramé with faience beads, used to protect and present precious perfume jars associated with religious and funerary practices.
This study explores the materials, construction techniques, and functional and symbolic roles of these objects, highlighting how textiles contributed to the preservation, accessibility, and interpretation of ancient Egyptian material culture. It also addresses the conservation challenges of composite artifacts, emphasizing strategies to maintain the integrity of fragile linen alongside durable inorganic materials.
By analyzing these objects collectively, the research demonstrates the pivotal role of textile-based artifacts in understanding ancient Egyptian daily life, ritual, and artistry. Moreover, it illustrates how museum collections, such as those at the Egyptian Textile Museum, safeguard Egypt’s cultural memory while providing essential resources for scholarship, education, and public engagement.</t>
  </si>
  <si>
    <t>Perfume Jars</t>
  </si>
  <si>
    <t>Ancient Egyptian Textiles</t>
  </si>
  <si>
    <t>New Kingdom and Middle Kingdom</t>
  </si>
  <si>
    <t>guilhermeborgespires@fcsh.unl.pt</t>
  </si>
  <si>
    <t>Guilherme Borges Pires</t>
  </si>
  <si>
    <t>"And there was light!" – Notes on the Creation of Light in New Kingdom Laudatory Texts (ca. 1539-1077 BCE)</t>
  </si>
  <si>
    <t xml:space="preserve">New Kingdom laudatory texts (ca. 1539-1077 BCE) offer a rich locus to investigate creation-related concepts. These sources unveil a catalogue of entities described as stemming from the Creator’s activity, comprising living beings (e.g., deities, humans, and animals), and (meta)physical realities, including light – this paper’s main object.
Owing to the solar nature of a significant portion of the textual ensemble under study, light is therein alluded to through epithets appended to the worshipped deity, namely, "bright as light" (šsp ḥḏḏw.t, TT 53 (10), 2, temp. Thutmosis III), "lord of light" (nb ḥḏḏw.t, Tura Hymn, 7, temp. late 18th/early 19th dynasty), and "ruler of light" (ḥḳꜣ ḥḏḏw.t; Leiden I 344 verso, III.10, temp. Ramesside). Simultaneously, light forms part of the broad group of elements summoned into existence, and its creation is frequently introduced by the lexeme jrj ("to make", "to create"). Phraseological constructions referring to "photo-gony" occur throughout New Kingdom and can be differently conceptualised. While a few instances frame the emergence of light explicitly mentioning the deity’s solar rays —"Lord of rays, creator of light" (nb st.wt jr ḥḏḏ.wt; Cairo CG 58038, III.5-6, temp. Amenhotep II; Turin CGT 50045, 4-5, temp. Ramesses II; TT 296 (7), 2-3, temp. Ramesside)—, others portray such creation as a testament to the Creator’s ceaseless zeal towards the creatures —"(He) who makes the light for the henememet" (jr(j) sšp n ḥnmm.t; BM EA 29944, 7, temp. Amenhotep III).
This paper will examine the place of light within the cosmogonical economy evidenced in New Kingdom laudatory texts. Taking into consideration the lexical diversity referring to the luminous element in this textual corpus (ḥḏḏw.t, jꜣm, sšp, šw) and the phraseological contexts in which its emergence is conceptualised, light will be analysed in its simultaneity as both a Creator’s identity marker and a creative outcome. </t>
  </si>
  <si>
    <t>New Kingdom Laudatory Texts</t>
  </si>
  <si>
    <t>Creation</t>
  </si>
  <si>
    <t>Light</t>
  </si>
  <si>
    <t>CHAM - Centre for the Humanities (NOVA FCSH, Lisbon, Portugal)</t>
  </si>
  <si>
    <t>Portugal</t>
  </si>
  <si>
    <t>Portuguese</t>
  </si>
  <si>
    <t>jpuglisi@g.harvard.edu</t>
  </si>
  <si>
    <t>Julia Viani Puglisi</t>
  </si>
  <si>
    <t>Dating Debehen: Life Histories of a Rock-Cut Tomb</t>
  </si>
  <si>
    <t>The tomb of Debehen (G 8090; LG 90) has long been attributed to the reign of Menkaure, owing to a unique inscription that explicitly links its construction to the king. Yet its architecture, decoration, and epigraphic record point to a more complex history than this single anecdotal text allows. This paper reassesses the chronology and significance of G 8090 through both new and revised documentation in the Central Field quarry-cemetery at Giza. Particular attention is paid to features often treated as “first attestations” on the basis of the Menkaure attribution, showing instead that these elements require a more nuanced phasing and contextualization. By examining evidence for its construction, as well as traces of modification, incompleteness, destruction, and reuse, this study reframes the dating of Debehen’s rock-cut tomb within a longer life history. It also considers its reuse as the dwelling of the sheikh Hammed es-Semman in the 19th century and as a pilgrimage site for this Sufi figure in the following century. Ultimately, this paper argues that reliance on a single anecdotal text to date a tomb can distort broader chronological patterns, casting later features as earlier “firsts” and obscuring the complex histories that shaped these monuments over time.</t>
  </si>
  <si>
    <t>Debehen (G 8090)</t>
  </si>
  <si>
    <t>monument biography</t>
  </si>
  <si>
    <t>Giza Plateau</t>
  </si>
  <si>
    <t>USA and Italy</t>
  </si>
  <si>
    <t>cmcrawford8@crimson.ua.edu</t>
  </si>
  <si>
    <t>Courtney McRae Crawford</t>
  </si>
  <si>
    <t>The Swelim-Omm Sety Letters: The Story of a Minor Step Pyramid, a British-Ancient Egyptian High Priestess, and a Former Navy Commodore</t>
  </si>
  <si>
    <t xml:space="preserve">In 1977, Dr. Nabil Swelim, a former Navy Commodore turned Egyptologist, discovered one of the seven minor step pyramids, Sinki, located 5.5 km southeast of Abydos. Although earlier scholars suggested the possibility of a site near Abydos, Sinki was not identified as a minor pyramid until Swelim. Throughout his career, Dr. Swelim developed a friendship with the well-known Omm Sety while traveling across Egypt. Although Omm Sety’s beliefs were unconventional—she believed she was the reincarnation of a High Priestess of Pharaoh Sety I—many Egyptologists and the local Abydos community highly respected her. Her knowledge of Abydos and its surrounding areas helped Swelim interpret Sinki and understand its cultural significance to the modern Abydos community. 
The Swelim archival collection, housed in the Rare Books and Special Collections Library at the American University in Cairo, features personal letters exchanged between Swelim and Omm Sety, as well as photographs from her home in Abydos. Reviewing the collection reveals her importance in Swelim’s early research and in the field of Egyptology.
This study also references the letters to highlight the cultural significance of Sinki for modern Egyptians in the Abydos region. The letters describe Egyptian folklore and their interpretation of Sinki, emphasizing its cultural importance to their community.
This paper highlights the significance of archival research in Egyptology and its role in the field's development. The Swelim-Omm Sety Letters and photographs offer context for how modern Egyptian communities connect with ancient sites. Furthermore, this collection documents Omm Sety, the eccentric British woman and Ancient Egyptian High Priestess who supported the work of Egyptian Egyptologists.
</t>
  </si>
  <si>
    <t>Archaeology Archives</t>
  </si>
  <si>
    <t>Minor Step Pyramids</t>
  </si>
  <si>
    <t>Omm Sety</t>
  </si>
  <si>
    <t>The University of Alabama</t>
  </si>
  <si>
    <t>Master's Student, Independent Researcher, Student Assistant</t>
  </si>
  <si>
    <t>rscasado@us.es</t>
  </si>
  <si>
    <t>Raúl Sánchez-Casado</t>
  </si>
  <si>
    <t>The Sealer as a Household Dependent in the Old Kingdom</t>
  </si>
  <si>
    <t xml:space="preserve">In this talk, I intend to examine the title ḫtmty (“sealer”) in the Old Kingdom when it is used to identify a dependent figure depicted in the tomb. Drawing on both iconographic and textual evidence, I will analyse the social, administrative, and ritual dimensions of the title, showing that sealers were mainly represented as offering bearers and household members rather than as state officials. Their association with sealed goods highlights their role in ensuring the eternal provision of products desirable for the well-being of the deceased. The talk will also explore the women who held this title, who are particularly numerous in the necropolis of Qubbet el-Hawa. Although less frequently attested in the sources, their functions and the reasons for their inclusion in tomb iconography appear to have been equivalent to those of their male counterparts.
The conclusions will show that the representation of the sealer – whether male or female – served a dual purpose. On the one hand, it ensured the inclusion of roles necessary for the proper functioning of the tomb as a self-sustaining system of offerings and remembrance. On the other, it immortalised the relationships of loyalty and interdependence that bound the tomb owner to members of his or her household.
</t>
  </si>
  <si>
    <t>Household</t>
  </si>
  <si>
    <t>Patronage</t>
  </si>
  <si>
    <t>Sealer</t>
  </si>
  <si>
    <t>University of Seville</t>
  </si>
  <si>
    <t>pscukanec@amz.hr</t>
  </si>
  <si>
    <t>Porin Šćukanec Rezniček</t>
  </si>
  <si>
    <t>The Coffin of Iry Iry: Revisiting the Zagreb Egyptian Collection</t>
  </si>
  <si>
    <t xml:space="preserve">The Egyptian Collection in the Archaeological Museum in Zagreb is one of the largest in this part of Europe. However, as is the case with other such similar collections, most of its object are of unknown provenance. Some of them were closely examined by the first Egyptologist in charge of the collection, the former curator. The aim of the new curator is to continue to revisit the collection and research its origins based on newly published material and available information that has come to light.
One such object, which has never been fully published, is the coffin of Iry Iry, acquired by the Museum in 2008. from a private collector. The presentation will introduce the current research momentum of the coffin and its history. It will encompass a short introduction to its iconography, typical of the 25th Dynasty, but will focus more on other research questions such as where did it come from exactly, how was it handled after excavating, which member of the Besenmut family was he exactly, where could the rest of the pieces be (middle and outer coffin), and similar such questions. </t>
  </si>
  <si>
    <t>Collection Research</t>
  </si>
  <si>
    <t>Besenmut family</t>
  </si>
  <si>
    <t>Archaeological Museum in Zagreb</t>
  </si>
  <si>
    <t>Croatia</t>
  </si>
  <si>
    <t>eleonora.mander@museoegizio.it</t>
  </si>
  <si>
    <t>Eleonora Mander</t>
  </si>
  <si>
    <t>Research on Osiris - Ἀιῶν, Syncretic Deity in the Ancient Mediterranean World</t>
  </si>
  <si>
    <t xml:space="preserve">Among the Egyptian and Egyptianizing sculptural and pictorial representations of deities from the Roman period, a distinct group can be identified on the basis of a set of recurring iconographic features. The figure depicted is male and is encircled by the coils of a large snake winding around the body from bottom to top. He wears a nemes headdress and is portrayed in a rigid, mummiform posture, characterized by arms held straight along the sides or folded across the chest and by legs joined together.
This deity is conventionally designated as Osiris Aion (Ἀιῶν), as the iconography combines attributes traditionally associated with both figures.
The present paper proposes a renewed and systematic approach to a subject that has been addressed but never fully developed in previous scholarly works. It brings together, for the first time, all artifacts whose iconography can be related to this deity, which until now have only been published individually or in small groups and never considered as a coherent corpus. The material comprises eighteen objects currently preserved in European and Mediterranean museums, predominantly sculptures, but also including two lamps, a gem, and a painted mummy shroud. Notably, some of these artefacts have never been the subject of a comprehensive study. This contribution should be understood as a status quaestionis: the corpus here assembled is not to be considered definitive, and further artefacts of this kind may well come to light through continued archival research.
The paper aims to assemble this corpus, reconstruct the recent biographies of the objects, and propose a critical reassessment of their dating and iconographic features. Finally, it examines relevant Greek and Latin literary sources, alongside Egyptian evidence, in order to explore possible interpretations of these representations and to contextualize the figure of Osiris Aion within the religious landscape of the Roman period.
</t>
  </si>
  <si>
    <t>Osiris-Aion</t>
  </si>
  <si>
    <t>Roman Period</t>
  </si>
  <si>
    <t>Syncretic deity</t>
  </si>
  <si>
    <t>Fondazione Museo delle Antichità Egizie, Turin</t>
  </si>
  <si>
    <t>vess.atanassova@gmail.com</t>
  </si>
  <si>
    <t>Vessela Atanassova</t>
  </si>
  <si>
    <t>The New Museum of Eastern Mediterranean: Thrace and Egypt in Comparative Perspective</t>
  </si>
  <si>
    <t>The new Museum of Eastern Mediterranean (MEM) in Sofia, Bulgaria, is dedicated to two major civilizations of the ancient world: Ancient Egypt and Thrace. Located respectively in the southern and northern regions of the Eastern Mediterranean, these cultures – despite significant differences in scale and chronology – exhibit striking parallels in daily life, religious practices, artistic expression, and technological achievements. Conceived as a museum of comparative art history, MEM seeks to present both the points of contact and the distinctive features of Thracian culture, which shaped the lands of present-day Bulgaria in antiquity, and ancient Egyptian civilization, one of the earliest and most influential in world history. This presentation will outline the museum’s curatorial vision and comparative framework, and will discuss its role in fostering cross-cultural understanding and supporting scholarly research.</t>
  </si>
  <si>
    <t>Thrace</t>
  </si>
  <si>
    <t>Comparative Art</t>
  </si>
  <si>
    <t xml:space="preserve">Bulgarian Academy of Sciences </t>
  </si>
  <si>
    <t>Bulgaria</t>
  </si>
  <si>
    <t xml:space="preserve">Bulgarian </t>
  </si>
  <si>
    <t>Bardis Samir Sayed Ahmed</t>
  </si>
  <si>
    <t xml:space="preserve">The fly-whisks of King Tutankhamun are among the unique findings of his tomb KV62. The four objects (Carter No. 148 a,b,c and 168) were found under the wheels of his chariot (Carter No. 133 and 134) and currently displayed at the gallery of Tutankhamun (GEM No. 1881 a,b and 874 and 855). In his diaries, Carter’s description referred to a wooden cylindrical handle, carved in the shape of lion's head and neck, and covered with thin gesso and gold leaf. The handle was attached to a bundle of reeds covered or bound round with leather and ends with small tufts of black horsehair. This research aims to discuss the assumptions around the fly-whisks of Tutankhamun, being horsehair, and introduces the probability of using giraffe hair in fly-whisks making.
The giraffe widely coexisted in ancient Egypt; in particular during the Prehistoric periods due to the environmental and climatic conditions, and savanna-like vegetation at those times. It was not only an animal observed by people in nature, but it also related to many symbols, religious rituals and even deities. Numerous rock art in Egypt and Nubia during the Predynastic and Protodynastic periods depicted the giraffe, not to mention other objects such as palettes, knife handles, and pottery vessels. Following the climate change, the number of giraffes in Egypt has been reduced. With the passage of time, giraffes became valuable and precious gifts from Africa to Egypt. However, scenes of giraffes continued during the dynastic periods over the walls of temples or inside the tombs of high officials.
This paper discusses a new interpretation for the fly-whisks of King Tutankhamun, as part of larger research which looks at the significance of the giraffe and its iconography in ancient Egypt and Africa.
</t>
  </si>
  <si>
    <t>Fly-whisks</t>
  </si>
  <si>
    <t>Giraffe's tail</t>
  </si>
  <si>
    <t>Grand Egyptian Museum (GEM)</t>
  </si>
  <si>
    <t>inestorres@fcsh.unl.pt</t>
  </si>
  <si>
    <t>Inês Torres</t>
  </si>
  <si>
    <t>Re-Excavating Akhmerutnisut: The Second Season of the Mastaba of Akhmerutnisut Documentation Project</t>
  </si>
  <si>
    <t xml:space="preserve">Excavated by the Harvard University-Boston Museum of Fine Arts Expedition in the early 20th century, the mastaba of Akhmerutnisut (G 2184), located in the Western Cemetery, has remained unprotected against the elements for over one hundred years. Though parts of it are now in the Boston Museum of Fine Arts, it has never been fully published, despite its unique decoration and architecture having often been mentioned in scholarship. Akhmerutnisut was a palace official who lived in the mid-Fifth Dynasty, and his tomb is an important example of funerary architecture and decoration from that transitional period of non-royal funerary practices. Thus, G 2184 provides an excellent case study for a microhistorical understanding of Giza after the Fourth Dynasty.
The Mastaba of Akhmerutnisut Documentation Project (MAD-P), funded by ARCE’s Antiquities Endowment Fund, provides the first context-sensitive study of this tomb. MAD-P aims to fully document, publish, and preserve the tomb. In our first season in December 2023, we completed a significant part of the documentation process and identified key architectural elements in need of urgent study. We also assessed the current state of the monument, which will not survive if not imminently consolidated and preserved. 
MAD-P’s second season focused on conservation of the remaining architecture and decoration, and further mapping and documentation of the superstructure and the burial shafts. This presentation aims to present the results of our work, while also discussing the importance of revisiting previously excavated monuments and, especially, highlighting the key contribution of G 2184 to current knowledge regarding the funerary landscape of Giza during the late Old Kingdom. </t>
  </si>
  <si>
    <t>Giza</t>
  </si>
  <si>
    <t>CHAM - Centre for the Humanities, NOVA University Lisbon</t>
  </si>
  <si>
    <t>tracy.lakin@monash.edu</t>
  </si>
  <si>
    <t>Tracy Lakin</t>
  </si>
  <si>
    <t>Streets in Action: A Social Reading of Street Life at Ancient Amarna</t>
  </si>
  <si>
    <t>With a few notable exceptions, ancient Egyptian streets receive little attention within settlement archaeology, as they are rarely the prime focus of archaeological investigation. Instead, archaeological studies typically centre the analysis of settlement size, form, and function as comparative markers for urbanism. New Kingdom Amarna (ancient Akhetaten), with its near complete ground plan and supplemented by ongoing fieldwork, offers a valuable opportunity to reconstruct the lived aspects of an ancient Egyptian city. Recent research has sought to understand the recursive relationship between inhabitants and their built environment, yet streets remain an understudied element within this dynamic. Using ethno-archaeological approaches, this paper considers the lived environment of Amarna streets. By tracing how streets within the Main City neighbourhoods were used in relation to surrounding houses and buildings, it explores Amarna inhabitants’ potential attitudes towards the diverse urban spaces and environments they occupied. Since the intangible, social attributes that gave meaning to streets elude direct recovery, ethnographic parallels of street use and experience from modern Egyptian villages provide a secondary lens from which to develop a more complex understanding of street life at ancient Amarna. Ultimately, this paper seeks to conceptualise ancient Egyptian streets not as actionless spaces, but as key venues of social interaction, daily activities, and lived experience.</t>
  </si>
  <si>
    <t>Streets</t>
  </si>
  <si>
    <t>Lived environment</t>
  </si>
  <si>
    <t>Monash University</t>
  </si>
  <si>
    <t>radwaelkemaly@ymail.com</t>
  </si>
  <si>
    <t>Radwa Ramadan Saleh Awad</t>
  </si>
  <si>
    <t>The Religious and Funerary Significance of Uniqe Mythological Vignettes the Papyrus of +d-#nsw- iw.f -anx</t>
  </si>
  <si>
    <t xml:space="preserve">By the end of the New Kingdom, unstable political and economic circumstances swept ancient Egypt. These events extended to the Third Intermediate Period (1069-664 B.C.) and had some crucial effects on the representations of religious and afterlife beliefs.
The main defining characteristic of this period was eliminating tomb walls representations and using funerary papyri and anthropoid coffins as tools to express the religious and funerary conceptions instead.
Mythological Papyri were a magnificent type of funerary papyri at that time, 
The outstanding papyrus of the high-ranked official +d-#nsw- iw.f -anx, preserved in the Egyptian Museum in Cairo Nr. SR 10266 – TR 14.7.35.4 , is one of the best examples for the Mythological Papyri that date back to the 21st dynasty. which discovered in "Bab el-Gusus" Tomb. It has been specifically selected in this research to attempt the fact that this specific species of papyri contains a massive series of “Mythological scenes” or as named in some studies cosmographic scenes—some of which are unique—supplemented with rare funerary texts., which underpin the developments in the depiction of the funerary beliefs at that time. the complexity of these pictorial compositions made proper interpretation highly challenging. 
This paper aims to provide a comprehensive analysis of selected unique vignettes within this papyrus, reaching an adequate interpretation for their arrangement and their importance, assessing the spirit of innovation in executing these vignettes and the accompanying texts at that time against the backdrop of the specific tradition relevant to that period.
By methodically analyzing and categorizing these scenes, while tracing their religious and funerary origins—which include scenes derived from various Books of the Otherworld, those extracted from religious rituals and ceremonies, as well as those imbued with magical connotations—it becomes possible to interpret these scenes and understand their associated religious and funerary significance.
</t>
  </si>
  <si>
    <t>Mythological scenes</t>
  </si>
  <si>
    <t>cosmographic scenes</t>
  </si>
  <si>
    <t>Underworld Books</t>
  </si>
  <si>
    <t>Helwan University</t>
  </si>
  <si>
    <t>mgr31416@gmail.com</t>
  </si>
  <si>
    <t>Marta Gómez Ruiz</t>
  </si>
  <si>
    <t>Decoration of XVIII Dynasty Theban Tombs: friezes, frames and ceiling</t>
  </si>
  <si>
    <t>The main objective of this investigation is to systematize the different typologies of the ceilings, frames, and friezes from the New Kingdom Theban Tombs and, more specifically for this paper, those dating to the Eighteenth Dynasty.
Publications about this kind of ornamentation of ancient Egyptian tombs have attempted to compile and organize these representations, but the theoretical studies behind them have been insufficient. Nevertheless, these publications must be taken into account, as well as those dedicated to textiles and Egyptian decorative arts, as precedents for the systematization of ceiling decorations. On the other hand, ceilings are often overlooked in publications dedicated to one specific tomb; when they are mentioned, they are only briefly described. Therefore, it is clear that a further study further studies and classification of the different decorations in private tombs and their contexts is still necessary.
The decorations of friezes, frames, and ceilings are being studied from an artistic, historical, and archaeological point of view. Meanwhile, each painting is classified according to its composition in a database. The database consists of two tables: First, a specific table for each individual ceiling of each tomb, while the second table, more general, is dedicated to the different typologies that have been identified, as well as their variants. A total of sixteen typologies have been identified, with around five variants each. ten of these typologies are classified as geometric patterns, and their origins and influences, mostly from craftwork, have been analyzed. This decoration not only provides information about craftwork, but also about how the elites adorned their houses. The remaining six typologies are naturalistic. These kinds of patterns often represent the natural elements that ancient Egyptians saw above their heads in their daily life, like flying birds, grapevine, or a starry sky, many of them being consider a symbol of rebirth.</t>
  </si>
  <si>
    <t>Ceiling</t>
  </si>
  <si>
    <t>Decoration</t>
  </si>
  <si>
    <t>Tomb</t>
  </si>
  <si>
    <t>incordino_ilaria@hotmail.com</t>
  </si>
  <si>
    <t>Ilaria Incordino</t>
  </si>
  <si>
    <t>An undocumented set of stone model vessels from the necropolis of the Third Dynasty at Bet Khallaf (Abydos)</t>
  </si>
  <si>
    <t>Researches on possible function and use of set of model vessels in stone still lack a comprehensive treatment, especially related to the Early Dynastic Period of Egypt, since just few of these sets have been recorded prior to the Fourth Dynasty. In this paper is reported a previously undocumented instance, derived from the Bet Khallaf necropolis in the Abydos region, dated to the beginning of the Third Dynasty. The analysis of this material is part of a wider project, which aims to undertake the first systematic documentation, analysis, and publication of all the funerary materials derived from the site, as yet largely unpublished. In particular, the present author has suggested that the most prominent tomb of the necropolis, mastaba K1, could be regarded as a royal burial. Some preliminary results on the set of stone vessels may link this class of archaeological material to the royal court of Memphis, possibly adding more evidence to support the identification of the Bet Khallaf cemetery (i.e. as elite vs royal), and trying to provide new insight into the funerary and religious belifs of the beginning of Old Kingdom.</t>
  </si>
  <si>
    <t>Stone vessels</t>
  </si>
  <si>
    <t>White-Levy Program for Archaeological Publication, Harvard</t>
  </si>
  <si>
    <t>fhburdette99@gmail.com</t>
  </si>
  <si>
    <t>Fiona Burdette</t>
  </si>
  <si>
    <t>Ancient Egyptian Architectural Plans: The Construction Process of Tombs in the Valley of the Kings</t>
  </si>
  <si>
    <t>Various ancient documents have survived that detail the process of tomb construction carried out in the Valley of the Kings, and some of these primary sources are discussed in this paper, namely P.Turin CGT 55002 (Cat. 2038, recto and verso), O.Cairo CG 25184, O.Cairo JE 51936, and P.Turin Cat. 1885 (recto). These architectural plans are analyzed to determine which characteristics of tomb plans elucidate the stages of the construction process of ancient Egyptian tombs. To do this, the dimensions of the actual built tombs are compared to listed dimensions on the ancient plans to assess how the plan for the tomb may have changed from initial planning stages to its final realized appearance. This method assesses whether a plan was created near the beginning or end of the construction process. Thus, the following question is addressed: How do elements displayed on ancient Egyptian architectural plans give information on both the general tomb construction process and the individual construction stage from which each plan stems?
The paper includes a section hypothesizing whether certain plans were made before beginning construction or during an initial stage of construction. Second, it is determined whether other plans were created during a middle stage of construction to document progress or work out an individual element of a tomb. And finally, the potential for a plan to have been made after completing construction as a type of final survey is discussed. Thus, this paper decodes aspects of the uses of architectural plans and of the stages in tomb construction. The method used here can in turn be applied to aid in understanding the building process of other types of ancient Egyptian architecture from different time periods, thus impacting and benefitting a wider area of study.</t>
  </si>
  <si>
    <t>architecture</t>
  </si>
  <si>
    <t>papyri</t>
  </si>
  <si>
    <t>Yale University</t>
  </si>
  <si>
    <t>USA; UK</t>
  </si>
  <si>
    <t>mohamed.sedek@must.edu.eg</t>
  </si>
  <si>
    <t>Mohamed Youssef Sedek</t>
  </si>
  <si>
    <t>DIFFERENT PHASES OF RESTORATION FOR TT 265, THE TOMB OF AMENEMOPET, DEIRE EL- MADINA NECROPOLIS, WESTERN THEBES, LUXOR, EGYPT</t>
  </si>
  <si>
    <t>The tomb of Amenemopet (No. 265) dated back to the 19th Dynasty, during the reign of Ramses II, new kingdom. It lies in the city of workers at Deir el-Madina, on the west bank of Luxor in a small desert valley behind the Qurnet Murai hill slope between the Valley of the Kings at the north and valley of the queens at the west. The tomb was hewn in the Esna Shale formation at the eastern hill of Deir el-Madina. Recently, the tomb was restored by the ancient Egyptians themselves, while they were making the tomb, Ministry of Antiquities between 1986 and 1987, and our intervention in 2021. The paper presents the different stages of restoration, in addition to site management for the tomb to open it for the tourist.</t>
  </si>
  <si>
    <t>Deir el-Madina</t>
  </si>
  <si>
    <t>Amenemopet TT.265</t>
  </si>
  <si>
    <t>Restoration</t>
  </si>
  <si>
    <t>Lecture at Conservation Dept., Faculty of Archaeology and Tourism Guidance, Misr University for Science &amp; Technology, Egypt</t>
  </si>
  <si>
    <t>abdelrahmansheriff9@gmail.com</t>
  </si>
  <si>
    <t>Abdelrahman</t>
  </si>
  <si>
    <t>An experimental study for the evaluation of cleaning methods used in the removal of bat guano, applied on a wooden object from Deir el-Medina</t>
  </si>
  <si>
    <t>The black-coated wooden coffins from Deir el-Medina are highly vulnerable to deterioration caused by bat guano accumulation, which presents chemical, biological, and mechanical risks to both the wooden structure and the black resin coating. This research examines safe and non-invasive cleaning strategies for the removal of bat guano from these coffins, with particular emphasis on preserving the original black resin layer and the structural integrity of the wood. The study relies on material sensitivity assessment, detailed visual examination, and the application of controlled dry and low-impact mechanical cleaning methods. Special care is taken to avoid any interaction that could affect the resin surface or alter the wood composition. The results demonstrate that appropriate conservation approaches can effectively remove guano deposits while maintaining the stability and authenticity of the original materials. This research contributes practical guidelines for the conservation of black-style wooden coffins in bat-affected archaeological environments.</t>
  </si>
  <si>
    <t>Coffins</t>
  </si>
  <si>
    <t>Bats</t>
  </si>
  <si>
    <t>MA Researcher at Misr University - Restorer at IFAO</t>
  </si>
  <si>
    <t>catherine.kamay@gmail.com</t>
  </si>
  <si>
    <t>Ekaterina</t>
  </si>
  <si>
    <t>The Seth Animal and the Problem of Deliberate Indeterminacy</t>
  </si>
  <si>
    <t>The so-called “Seth animal” has long been discussed in Egyptology primarily in terms of zoological identification, resulting in a wide range of proposed real or composite animals. This paper proposes a shift in perspective, treating the persistent ambiguity of the Seth animal not as a failure of identification but as a deliberate and meaningful feature of its visual representation.
Methodologically, the study combines textual analysis of selected mythological and religious sources with examination of iconographic material across different periods. By integrating texts and visual evidence, the paper demonstrates that the indeterminate form of the Seth animal functioned as a stable visual strategy rather than an unresolved problem. The lack of clear zoological correspondence appears consistent and intentional, distinguishing Seth from other zoomorphic deities whose animal forms are clearly identifiable.
This approach situates the Seth animal within a broader framework of Egyptian religious imagery, in which ambiguity serves specific theological and conceptual purposes. The paper shows how deliberate visual indeterminacy contributes to the construction of Seth’s complex and often contradictory divine character.
By reframing the discussion away from identification toward indeterminacy, the study offers a new interpretative angle on one of the most debated images in Egyptian iconography. The main conclusion is that Seth’s ambiguous animal form was a conscious visual strategy, reflecting the nuanced logic of Egyptian divine representation rather than an accidental or unresolved depiction.</t>
  </si>
  <si>
    <t>Seth</t>
  </si>
  <si>
    <t>Iconography</t>
  </si>
  <si>
    <t>Ambiguity</t>
  </si>
  <si>
    <t>Independent Researcher, Gdańsk, Poland</t>
  </si>
  <si>
    <t>Belarus</t>
  </si>
  <si>
    <t>amalee.bowen@yale.edu</t>
  </si>
  <si>
    <t>Amalee Bowen</t>
  </si>
  <si>
    <t>The Nature of Amenemhat IV’s reign and Its Implications for the End of Egypt’s Middle Kingdom</t>
  </si>
  <si>
    <t>Amenemhat IV, the second to last pharaoh of Egypt’s 12th Dynasty, is often portrayed as a weak or insignificant king whose failing power is responsible for the decline of Egypt’s Middle Kingdom. This leads to some scholars placing the beginning of the Second Intermediate Period at the beginning of the 13th Dynasty. However, a brief look at the administrative structures operating during Amenemhat IV’s reign, artifacts and inscriptions within the Nile Valley, along Egypt’s borders, and even in neighboring countries, demonstrates a continuation of Egyptian political power rather than a significant weakening under the reign of Amenemhat IV. Officials’ titles demonstrate a continuation of all the administrative offices present under the reign of Amenemhat III. Temples, stelae, statuary fragments, and inscriptions demonstrate a presence throughout most of Egypt. Inscriptions and stelae present at Egypt’s borders, including in Nubia, the Sinai region, the Eastern Desert and Red Sea coast, demonstrate that Amenemhat IV had enough power to maintain Egypt’s borders, send expeditions, and extract resources from important mining sites. Furthermore, artifacts found at sites such as Byblos could indicate that Amenemhat IV also maintained relationships with foreign nations during his reign. Thus, when seeking when to place the beginning of the Second Intermediate Period and when seeking an explanation for the end of Egypt’s Middle Kingdom and the rise of one of Egypt’s few female pharaohs, the weakness of Amenemhat IV’s reign cannot be used as the primary reason.</t>
  </si>
  <si>
    <t xml:space="preserve">Middle Kingdom </t>
  </si>
  <si>
    <t>Amenemhat IV</t>
  </si>
  <si>
    <t>Kingship and Administration</t>
  </si>
  <si>
    <t>mkasem695@gmail.com</t>
  </si>
  <si>
    <t>Mohamed Wajiih Mohamed</t>
  </si>
  <si>
    <t xml:space="preserve">Archaeological Discoveries from Tell el-Yahudiya  Re-imagining the Site in Light of Excavation Work </t>
  </si>
  <si>
    <t>This research aims to reassess the cultural and strategic role of Tell el-Yahudiya in the eastern Nile Delta and elucidate the nature of military, commercial, and cultural interactions between Egypt and the Levant during the Hyksos period and subsequent eras. The research problem stems from the ambiguity surrounding the site's role as a regional nexus and the insufficient connection in previous studies between Tell el-Yahudiya and centers of influence in the eastern Delta and southern Palestine.
The research methodology employs an integrated analysis, including the determination of the site's stratigraphic sequence and a comparison of material elements—such as fortifications, the distinctive pottery known as "Tell el-Yahudiya Ware," and burial practices featuring hybrid scarabs—with their counterparts in key neighboring sites. These sites include Tell el-Dab'a (Avaris) and Tell Hebwa in Egypt, as well as Tell el-Ajjul and Byblos in the Levant. The study also seeks to reconstruct the historical and environmental landscape of the site based on data from recent excavations.
The anticipated results of the study are expected to address a significant gap in understanding regional exchange networks. It will clarify how Tell el-Yahudiya functioned as a cultural, political, and military hub, reflecting the interaction between Egyptian and Canaanite elements, particularly in defensive architecture, funerary traditions, and pottery production and distribution patterns. Thus, the research provides a renewed perspective of Tell el-Yahudiya, transcending its view as merely an "archaeological mound" to present it as a dynamic center within the map of civilizational interactions during the Bronze Age.</t>
  </si>
  <si>
    <t xml:space="preserve"> Tell el-Yahudiya </t>
  </si>
  <si>
    <t xml:space="preserve"> Hyksos</t>
  </si>
  <si>
    <t>Pottery</t>
  </si>
  <si>
    <t>Ain Shams University</t>
  </si>
  <si>
    <t>mona.dietrich@gmx.de</t>
  </si>
  <si>
    <t>Mona Dietrich</t>
  </si>
  <si>
    <t>Networking Egyptian text - a graph based methodology for data integration</t>
  </si>
  <si>
    <t>Texts in Egyptian temples are invariably tied to their specific contexts, often paired with images. The pictorial nature of the texts themselves can even be used to create direct interaction between text and image. Additionally, the spatial layout of the text itself and its position within a defined space can also unlock further layers of meaning. Going beyond the text in abstraction thus opens up new pathways for interpretation. Using graph-based modelling, texts can be seamlessly integrated into temple decoration programme databases. We present this methodological approach with Hatshepsut’s temple in Deir el-Bahari as a case study.
The necessity to record temple decoration programmes with their respective contexts has long been recognized. In recent years, graph database software has become widely available and offers a viable technical solution to a multitude of research questions in the humanities. This paper presents a novel approach which allows for conversion between a Neo4j database and AED-TEI or JSesh data via a graphical user interface. After processing, the text is then linked to its decoration programme context; crucially, this enables structural comparisons and to record text-image interactions.
As proof of concept, we annotated texts from the Punt Hall, Birth Portico, and Hathor Chapel scenes. Comparison between entities in text and in image reveals a high degree of coherence between the texts and the scenes they accompany. Adding further authority data, e.g. Thoth sign list identifiers, TLA lemma identifiers, Porter-Moss numbering, and linked-open-data identifiers for individual components, makes the data reusable and interoperable with other projects.</t>
  </si>
  <si>
    <t>Digital Egyptology</t>
  </si>
  <si>
    <t>Semantic modelling</t>
  </si>
  <si>
    <t>Text-image connections</t>
  </si>
  <si>
    <t>Marburg University, Technische Hochschule Nürnberg Georg Simon Ohm</t>
  </si>
  <si>
    <t>2751686797@qq.com</t>
  </si>
  <si>
    <t>Wei Jingke</t>
  </si>
  <si>
    <t xml:space="preserve">A Preliminary Study of Victual Mummy-Container Assemblages from Theban Tombs </t>
  </si>
  <si>
    <t>Meat offerings, along with containers or models in the shape of them, had been interred as burial goods in tombs since the beginning of ancient Egyptian civilization. From the New Kingdom to the Third Intermediate Period, such offerings were mummified and placed in purpose-built boxes or chests within thirteen high-status Theban tombs centered on royal tombs, forming distinctive victual mummy-container assemblages. 
Based on previous zooarchaeological research, this study summarizes the faunal composition, anatomical elements, age at death and butchery practices associated with the meat in these victual mummies, as well as the materials, techniques and processes employed in their mummification. Subsequently, combined with other archaeological evidence—including associated burial goods and tomb wall paintings—it presents a comprehensive analysis of the rarely discussed aspects of victual mummy containers, i.e. their classification, naming, morphology, and material characteristics.
This study shows that victual mummies—mostly made from domestic cattle and poultry, the typical meat offerings—were buried with expensive embalming and container materials. These features not only reflect the tomb owners’ economic power and social status, but also carry crucial implications related to royal symbolism and afterlife beliefs. By placing these mummies back into their original context and looking at the overall structure of royal tombs in the Valley of the Kings in Thebes, we can conclude that the combined sets of victual mummies and their containers shared the tombs’ sacredness: they acted as three-dimensional offerings from Hathor, the goddess of the afterlife, to deceased kings, serving the same ritual purpose as two-dimensional offering paintings that did not appear in the same tombs.
In summary, the emergence of victual mummies and their matching containers was closely tied to the specific historical context. Compared with other meat offerings, these assemblages achieved the qualities of “vitalization”, “hierarchization” and “sanctification”.</t>
  </si>
  <si>
    <t>Victual Mummies</t>
  </si>
  <si>
    <t>Burial Offerings</t>
  </si>
  <si>
    <t>School of Archaeology and Museology, Peking University, China</t>
  </si>
  <si>
    <t>beatriz.noria@uah.es</t>
  </si>
  <si>
    <t>Beatriz Noria-Serrano</t>
  </si>
  <si>
    <t>Women and Family in the Old Kingdom Funerary Cult: the case of Qubbet el-Hawa</t>
  </si>
  <si>
    <t xml:space="preserve">The Old Kingdom necropolis of Qubbet el-Hawa features a decorative programme that clearly distinguishes it from other contemporary tombs. One of its most remarkable characteristics is the focus on figures of funerary cult officiants who are individually identified by name and titles. Their individualisation is further emphasised through their representation in kinship groups, creating links among the officiants themselves rather than defining them in relation to the tomb owner, as is more commonly attested. Within these groups, the presence of female figures is particularly striking. This feature renders the decorative programme even more exceptional, given the rarity of individualised women appearing among the officiants in Old Kingdom tombs. 
As a result, the iconographic ensemble of Qubbet el-Hawa constitutes a unique case for examining the social and religious position of female members of officiant groups during the Old Kingdom. This presentation aims to analyse the roles played by women within these groups, considering their positions from multiple perspectives: as officiants, wives and daughters of the main officiants, as well as their relationships with their male counterparts. The study is based on the analysis of 105 named women attested in 13 Sixth Dynasty tombs. Their titles, kinship terms, actions and spatial positioning within the groups are examined to assess their cultic roles and relationships.
The analysis of titles indicates that these women played a meaningful role in the management of properties associated with the funerary cult. At the same time, their representations and kinship terms point to a preference for linear male descent in cultic practice, while also acknowledging female participation. These patterns suggest that the inclusion of women and children reflects an ideology of perpetuity, in which family groups are represented to ensure the eternal reproduction of the funerary cult, with each member contributing according to a clearly differentiated social role.
</t>
  </si>
  <si>
    <t>funerary cult</t>
  </si>
  <si>
    <t>gender studies</t>
  </si>
  <si>
    <t>Qubbet el-Hawa</t>
  </si>
  <si>
    <t>Università di Pisa</t>
  </si>
  <si>
    <t>fatmaaziz777@yahoo.com</t>
  </si>
  <si>
    <t>The Nocturnal Journey of the Sun God: A Renewed Struggle Between Order and Chaos from Ancient Egypt to Contemporary Human Though</t>
  </si>
  <si>
    <t>This study examines the concept of the continuous struggle between order and chaos through an analysis of the nightly journey of the sun god Ra in ancient Egyptian thought, as reflected in the Netherworld texts, particularly the Imy-DwAt. Rather than approaching this journey solely as a religious narrative, the paper interprets it as a philosophical framework that expresses the ancient Egyptian understanding of existence as a dynamic balance between Maat (order) and Isfet (chaos).
The nightly journey of Ra presents a recurring confrontation with chaotic forces that is resolved not through their permanent elimination, but through a temporary victory that allows cosmic order to be restored and the sun to rise once again at dawn. This cyclical pattern reveals an ancient worldview in which chaos is an inherent and persistent element of the cosmos, and stability is achieved only through constant resistance and renewal. By analyzing selected textual and iconographic elements associated with the nightly journey, the study highlights how this narrative embodies a temporal and philosophical perception of struggle that rejects notions of absolute or final resolution.
The paper further explores the contemporary implications of this ancient concept, demonstrating that the idea of an ongoing struggle between order and chaos continues to resonate within modern human experience on both individual and collective levels. In this sense, the journey of Ra functions as a universal symbolic model that transcends its original religious context and offers enduring insight into the human condition.
The study concludes that ancient Egyptian thought articulated a sophisticated philosophical understanding of balance, continuity, and resilience—one that remains relevant today and invites renewed engagement with ancient heritage as a living source of human reflection.</t>
  </si>
  <si>
    <t>Nocturnal</t>
  </si>
  <si>
    <t>the Order</t>
  </si>
  <si>
    <t>the Chaos</t>
  </si>
  <si>
    <t>ministry of Tourism and antiquities, Museums Sector, Egyptian Museum</t>
  </si>
  <si>
    <t>mpraet1@jhu.edu</t>
  </si>
  <si>
    <t>Maarten Praet</t>
  </si>
  <si>
    <t>Mentuhotep “Buau”: The Tomb of an 11th dynasty Administrative Official Rediscovered</t>
  </si>
  <si>
    <t xml:space="preserve">In 1896, during excavations conducted at Hatshepsut’s funerary complex at Deir el-Bahari on behalf of the Egypt Exploration Fund, Édouard Naville uncovered thirteen Eleventh Dynasty tombs south of the Hathor Shrine. One of these tombs, which contained most of its original burial equipment, belonged to an administrative official named Mentuhotep “Buau,” who likely lived during the reign of Mentuhotep II. The precise location of this tomb, however, was never published and was subsequently thought to have been lost.
Although many of these tombs were later re-excavated by Herbert Winlock for the Metropolitan Museum of Art, by that time it was no longer possible to associate Mentuhotep Buau’s funerary assemblage with any specific burial. Recent research has now brought to light an unpublished excavation journal kept by Naville during his 1893–1896 campaigns at the Hatshepsut temple, preserved in the archives of the Musée d’art et d’histoire de Genève. This notebook not only enables a detailed reconstruction of the progress of Naville’s 1896 excavations, but also allows the precise location of Buau’s tomb—within the north triangular court of Mentuhotep II’s complex—to be identified. Moreover, the journal reveals the existence of four additional tombs in this area that had previously been forgotten.
This paper aims not only to demonstrate the considerable potential of archival research for reconstructing lost archaeological contexts, but also to reassess the position of Mentuhotep Buau within the administrative elite of Mentuhotep II’s court. The location of his burial, as well as the other twelve, within the royal complex was not incidental, but a deliberate and meaningful statement within the political topography of Mentuhotep II’s reign, underscoring the close interdependence of royal and elite power at Deir el-Bahari during the early Eleventh Dynasty.
</t>
  </si>
  <si>
    <t>11th dynasty</t>
  </si>
  <si>
    <t>Deir el-Bahari</t>
  </si>
  <si>
    <t>Archives</t>
  </si>
  <si>
    <t>Johns Hopkins University</t>
  </si>
  <si>
    <t>Belgian</t>
  </si>
  <si>
    <t>s.egyptologist@gmail.com</t>
  </si>
  <si>
    <t>Elsayed Mamdouh Soliman</t>
  </si>
  <si>
    <t>Deciphering the Chronology of TT 382: Artistic and Epigraphic Evidence for Dating the Tomb of Usermontu.</t>
  </si>
  <si>
    <t>Usermontu’s tomb (Theban Tomb 382) in Qurnet Murai, Luxor, was rediscovered in 2010. He held several prestigious titles, including High Priest of Montu, Lord of Armant, King’s Messenger to All Foreign Lands, Overseer of Cattle, Overseer of the Two Granaries, and Overseer of the Treasury.
Despite being one of the largest tombs in the area, TT 382 remains unstudied, undocumented, and unpublished. The tomb presents a complex dating challenge due to its artistic style, architectural elements, and epigraphic evidence. While its inverted T-shape is characteristic of New Kingdom tombs in the Theban necropolis, the presence of a sloping burial passage—a feature introduced shortly before the Amarna period—aligns its architectural style with Ramesside traditions.
A key factor in dating TT 382 is the presence of royal names. Typically, when multiple kings are referenced in a single tomb, it suggests that the owner served under both rulers within a relatively close timeframe. However, the study of plaster fragments discovered during the cleaning of the tomb’s transverse hall presents a unique case. The tomb contains the cartouches of two kings—Ramesses II (19th Dynasty) and Setnakht (20th Dynasty)—who were separated by a chronological gap of approximately 23 years. This discrepancy raises critical questions about the phases of the tomb’s decoration, possible reuse, or posthumous modifications.
This talk will examine these discoveries, comparing TT 382 with contemporary tombs such as TT 222 (Turo) and TT 148 (Amenemope) to contextualize the implications of multi-king inscriptions in Theban tombs. The artistic and textual evidence from TT 382 enhances our understanding of the transition between the 19th and 20th Dynasties, shedding light on evolving funerary practices and royal commemorations during the Ramesside era.</t>
  </si>
  <si>
    <t>TT 382</t>
  </si>
  <si>
    <t>Usermontu</t>
  </si>
  <si>
    <t>Setnakht</t>
  </si>
  <si>
    <t>Ministry of Tourism Antiqutie, Egypt. Basel University, Switzerland.</t>
  </si>
  <si>
    <t>reem.shorbagy@yahoo.com</t>
  </si>
  <si>
    <t>Reem Mohamed Abd Elrahim Desouky Elshorbagy</t>
  </si>
  <si>
    <t>The Role of Digital Technology in Interpreting the Complex Themes of Ancient Egyptian Civilization: A Case Study of Digital Interpretive Strategies at the Grand Egyptian Museum</t>
  </si>
  <si>
    <t>Museums are increasingly leveraging technology to reimagine the interpretation of their collections, enhancing the visitor experience and fostering deeper engagement with cultural heritage. This study explores the role of digital technology in interpreting the complex themes of Ancient Egyptian civilization, with a focus on the innovative digital strategies employed at the Grand Egyptian Museum (GEM).
Through a review of the current case study, this research highlights the various ways digital technology is being used in the GEM, including digital displays, interactive exhibits, virtual reality (VR), augmented reality (AR) and immersive media. The research highlights how museums are creating dynamic, time-travel experiences that bridge the gap between past and present.
Digital technology can play a crucial role in enhancing the interpretive experience, enabling visitors to explore complex themes and narratives in greater depth. Digital interpretation can also facilitate greater accessibility, allowing visitors to engage with collections remotely and at their own pace.
However, the effective integration of technology in interpretation requires careful consideration of design, content, and audience needs. GEM balanced the benefits of technology with the need to preserve the authenticity and integrity of the museum experience.
This research contributes to our understanding of the role of technology in shaping the future of museum interpretation, highlighting its potential to enhance visitor engagement, accessibility, and learning outcomes. By embracing technology, museums can create more dynamic, inclusive, and effective interpretive experiences, ultimately enriching our understanding and appreciation of cultural heritage.
Finally, the case study of the Grand Egyptian Museum demonstrates how digital interpretive strategies can revolutionize the way museums engage with their audiences, offering innovative pathways to explore the richness of Ancient Egyptian civilization while addressing critical questions of ethics, inclusivity, and cross-generational connection.</t>
  </si>
  <si>
    <t>digital technology in museums</t>
  </si>
  <si>
    <t xml:space="preserve">accessibility </t>
  </si>
  <si>
    <t xml:space="preserve">interpretation </t>
  </si>
  <si>
    <t>museum curator at Grand Egyptian Museum</t>
  </si>
  <si>
    <t>ferreres.romain@gmail.com</t>
  </si>
  <si>
    <t>Romain Ferreres</t>
  </si>
  <si>
    <t>Barleys and panthers of Upper and Lower Egypt</t>
  </si>
  <si>
    <t>The wealth of ancient Egypt was largely derived from agriculture, made possible by the Nile, which provided extensive arable land and an annual inundation, regulated by irrigation techniques and primarily based on cereals, with wheat and barley as the two most important crops. The Egyptian lexicon reflects this centrality, containing approximately sixty terms referring to different types of cereals, grains, and their processing. Within this vocabulary, barley is distinctive in that it is divided into two subcategories: Upper Egyptian barley (jt-šmʿ(w)) and Lower Egyptian barley (jt-mḥ(w)).
These qualifiers are generally interpreted as purely geographical terms. However, a short paper by Renate Müller-Wollermann in 1987 highlighted inconsistencies in this interpretation. She proposed instead that these expressions refer to two distinct varieties—two-row barley and six-row barley—and suggested that the terms šmʿ(w) and mḥ(w) should be understood as “narrow” and “full,” respectively, corresponding to the overall morphology of the Nile Valley and the Delta.
This hypothesis, however, raises its own difficulties, as it does not apply to other living beings, here, panthers. Ancient Egyptian distinguishes ȝb(y)-šmʿ(w), the “Upper Egyptian panther,” identified as the leopard, and ȝb(y)-mḥ(w), the “Lower Egyptian panther,” identified as the cheetah. In this case, interpreting šmʿ(w) and mḥ(w) as “narrow” and “full” does not correspond to their anatomical characteristics: the leopard possesses a more robust and compact body, whereas the cheetah is markedly slenderer, a morphology adapted to its speed-based hunting strategy.
Situated at the intersection of geography, biology, and lexicography, this communication aims to propose an interpretation that reconciles the geographical and biological meanings of šmʿ(w) and mḥ(w). Geography, indeed, encompasses not only spatial location but also factors such as relief, climate, and hydrography, all of which influence plant and animal life. Considered together, these elements offer a plausible explanation that remains compatible with Müller-Wollermann’s original proposal.</t>
  </si>
  <si>
    <t>Biotope</t>
  </si>
  <si>
    <t>Biology</t>
  </si>
  <si>
    <t>Lexicography</t>
  </si>
  <si>
    <t>University Montpellier Paul Valéry</t>
  </si>
  <si>
    <t>Frace</t>
  </si>
  <si>
    <t>msn013egy@gmail.com</t>
  </si>
  <si>
    <t>Marina Shimizu</t>
  </si>
  <si>
    <t>Standardized Pottery in Formative States: A Comparative Perspective on Meidum Bowls of Old Kingdom Egypt and Sue Ware of Kofun-period Japan</t>
  </si>
  <si>
    <t>This presentation asks how pottery standardisation proceeded and under what social conditions in formative ancient states by comparing Old Kingdom Egypt and Kofun-period Japan.
Meidum bowls are highly standardised carinated bowls of the Old Kingdom with S-shaped everted rims. Since F. Petrie defined the type on the basis of finds from Meidum, examples have been reported from cemeteries and settlements across Egypt. Their wide distribution and uniform morphology reflect organised production by specialist potters. Here, Meidum bowls are treated as “pottery as a social phenomenon” that embodies chains of production, distribution, and consumption.
In the early fifth century CE, during the Kofun period in Japan, Sue ware was produced on the basis of wheel-thrown, kiln-fired stoneware technology transmitted from the Korean Peninsula. Organised production at the Suemura kiln complex near the Yamato region, and its use as grave goods in keyhole tombs of kings and elites, suggests that the formative state disseminated standardised pottery. Although early Sue ware retained peninsular traits, it was gradually indigenised and spread as everyday tableware, forming an important prelude to the later centrally governed state.
The two cases are similar in that, during state formation, they appear as standardised wheel-made vessel forms used mainly in ritual and elite contexts. Building on these commonalities, the paper examines how pottery standardisation in formative states can be understood comparatively. It also highlights an imbalance: while studies of Sue Ware have developed frameworks that link standardised pottery from production to consumption, research on Meidum bowls has rarely moved beyond typology and chronology into social and economic history. Taking this asymmetry as a premise, the paper uses Japanese scholarship to propose future lines of enquiry for Old Kingdom Egypt.</t>
  </si>
  <si>
    <t>Meidum Bowl</t>
  </si>
  <si>
    <t>Sue Ware</t>
  </si>
  <si>
    <t>Formative State</t>
  </si>
  <si>
    <t>Freie Universität Berlin</t>
  </si>
  <si>
    <t>nenadmarkovic.is@gmail.com</t>
  </si>
  <si>
    <t>Nenad Markovic</t>
  </si>
  <si>
    <t>Understanding the Power of Ancestral Heritage in the Time of Change: Temple Dynasties in Memphis and Letopolis during the First Persian Period (c. 526–404 BCE)</t>
  </si>
  <si>
    <t xml:space="preserve">The extensive inscriptional corpus found in the Memphite Serapeum in North Saqqara, which dates to the reign of the Persian Great King Darius I (518–486 BCE), reveals a recurring phenomenon: the consistent inclusion of expansive genealogical references, predominantly patrilineal, into the monuments dedicated to Apis-Osiris and Osiris-Apis, respectively. The number of generations can range from 4 to 21, primarily based on the size and design of the monument. Notably, most of the inscriptions are associated with various temple officials and their respective families, who held cultic functions in several urban centres across the Nile Delta, such as Memphis, Letopolis, Sais, and Buto. The objective of this paper is to examine the dynastic strategies of local temple officials that contributed to the overall rise in inscribed genealogies during the First Persian Period in stark contrast to the previous times. Specifically, it aims to explore the office transmission and recycling of a personal name within a family. Ongoing research indicates a consistent trend: subsequent generations actively used earlier family members as benchmarks for their social standing. Two case studies will be presented to illustrate this: the first group comprises the descendants of the high priest of Ptah, while the second group involves the lineage of scribes of the divine books in the temple of Ptah. </t>
  </si>
  <si>
    <t>Temple Officials</t>
  </si>
  <si>
    <t>Genealogy</t>
  </si>
  <si>
    <t>First Persian Period</t>
  </si>
  <si>
    <t>Independent Scholar</t>
  </si>
  <si>
    <t>Serbia</t>
  </si>
  <si>
    <t>Serbian</t>
  </si>
  <si>
    <t>emankhallaf7000@gmail.com</t>
  </si>
  <si>
    <t>Eman Nabil Khallaf</t>
  </si>
  <si>
    <t>The Archaeometallurgical Strategic Significance of Silver in Ancient Egypt</t>
  </si>
  <si>
    <t xml:space="preserve">The provenance of silver ores in Ancient Egypt has long remained a subject of scholarly debate. While the mining and exploitation of raw materials such as gold, lead, galena, and copper in Egypt have been extensively investigated and well documented, the origin of silver (Ag) is far less certain. Current evidence suggests that silver was not commonly obtained from native Egyptian ores but was instead recovered as a by-product of other metallurgical processes, particularly from complex metal alloys.
From an early period, the ancient Egyptians had developed advanced metallurgical skills, including mining, smelting, refining, and metalworking. Their substantial expertise in chemistry and metallurgy enabled them to exploit mineral resources both within Egypt and beyond its borders. In addition to local extraction, Egypt imported large quantities of raw materials and, in turn, exported significant volumes of finished products—especially silver artifacts.
Despite this extensive metallurgical activity, the primary geological sources of Egyptian silver remain unclear. At present, the only securely identifiable mechanism is a recycling-based production cycle involving the acquisition of silver-bearing alloys and objects, their smelting and refining, and their subsequent reshaping into new silver goods. The absence of firm archaeological or geological evidence for native silver mines continues to make the origin of Egyptian silver a highly contested issue.
This study is grounded in a historical investigation into the possible presence of primary silver-bearing alloys within ancient Egyptian quarrying and mining contexts, supported by metallurgical science and standard archaeometric methodologies. It integrates advanced analytical techniques—including radiometric dating, spectroscopic analysis, remote sensing, X-ray radiography, and controlled mechanical cleaning—together with modern tunneling-based mining technologies modeled on those employed in ancient Egypt. These combined approaches are applied to clarify unresolved questions concerning the Egyptian provenance and technological identity of this precious white metal.
</t>
  </si>
  <si>
    <t>Metallurgy</t>
  </si>
  <si>
    <t>Silver</t>
  </si>
  <si>
    <t>Alexandria University</t>
  </si>
  <si>
    <t>msarx@proton.me</t>
  </si>
  <si>
    <t>Marina Sartori</t>
  </si>
  <si>
    <t>Portable monuments: Investigating skeuomorphism and intermediality in New Kingdom manuscript culture</t>
  </si>
  <si>
    <t xml:space="preserve">Ancient Egyptian portable written artefacts (papyri, ostraca, linen shrouds, etc.) have long been studied separately from monumental inscriptions. Yet many of them are visually sophisticated creations that deliberately borrow graphic conventions from monumental media (temple/tomb walls). New Kingdom funerary manuscripts occasionally feature polychrome hieroglyphs in the major vignettes, rather than their typical black linear script (e.g. BMEA10473); a Ramesside hieratic ostracon (Ash.H.O.655) may surprisingly be incised and filled with costly blue paint. These practices reveal a fluid visual culture where portable media actively mediated elite monumental aesthetics for ritual, social, and memorial purposes. Despite growing study of “graphic registers” (Ragazzoli&amp;Albert 2021), colour materiality and cognition (Warburton 2025), and skeuomorphism (Angenot 2017; Arbuckle MacLeod 2024), no systematic study of intermediality in Egyptian manuscripts has yet been undertaken. 
Fusing studies on intermediality (Rippl 2015) and skeuomorphism as prestige enhancement (Conneller 2013), the ongoing project “Intermedial Echoes: Visual Borrowings and Skeuomorphic Design in Manuscript Cultures” (University of Hamburg) aims at identifying visual patterns of borrowing and emulation across different writing media. A corpus of c.50 New Kingdom objects displaying clear intermedial/skeuomorphic features (drawn from the British Museum, Louvre, Neues Museum Berlin, Museo Egizio Turin, Rijksmuseum van Oudheden Leiden), is currently being examined in person . Visual (e.g. hieroglyph design, decorative elements) and skeuomorphic (e.g. material imitation) features are being documented for each artefact and compared with monumental inscriptions (particularly Theban tomb paintings) to trace intermedial influences. High-resolution images are analysed through a IIIF viewer enabling precise examination of visual similarities across collections, annotation, cropping, and side-by-side comparison at any zoom level. The presentation will illustrate the project´s workflow and discuss preliminary examples of how papyri, ostraca, and linen mediated shared visual traditions, offering insights into cultural exchange, ritual practices, and technological innovation in New Kingdom visual and written culture.
</t>
  </si>
  <si>
    <t>portable written artefacts</t>
  </si>
  <si>
    <t>intermediality</t>
  </si>
  <si>
    <t>University of Oxford, University of Hamburg</t>
  </si>
  <si>
    <t>ba.zaborowsk@student.uw.edu.pl</t>
  </si>
  <si>
    <t>Beata Zaborowska</t>
  </si>
  <si>
    <t>The art of catching a fish. Fishing tools from Tell el-Retaba</t>
  </si>
  <si>
    <t xml:space="preserve">This paper focuses on the analysis of artifacts related to fishing from Tell el-Retaba. This site is located in the Wadi Tumilat region in northern Egypt and most of its material dates back to the New Kingdom and Third Intermediate Period. 
The Polish-Slovak Mission working at Tell el-Retaba found 168 fishing tools in years 2007-2021 and almost all of them were net weights. Net weights in Tell el-Retaba appeared in different forms, measurements, and were made from different materials. A similar variety of forms was found on other sites in northern Egypt. They were identified as net weights but most of them without information about the type of net it could be used for.
The problem of the use of weights in ancient Egypt is still not settled by scholars. The first question to answer is whether they were used for fishing or not. The second one is about the exact type of fishing net they could be used for. The author tried to answer both questions for the material from Tell el-Retaba. Net weights were divided into types based on how they were attached to the nets. Then, using available iconographic and ethnographic analogies and an analysis of the properties of the weights, they were assigned to their probable method of use. 
The research has shown that there was no simple correlation between the type of weight and the type of net. Several different types could be used for the same fishing method on the same site. The most easily distinguishable in the archaeological material are cast nets and seine nets, because they require weights of different heaviness. The use of that criteria for material from Tell el-Retaba has shown that both methods were in use there.
</t>
  </si>
  <si>
    <t>settlement archaeology</t>
  </si>
  <si>
    <t>fishing nets</t>
  </si>
  <si>
    <t>weights</t>
  </si>
  <si>
    <t>Faculty of Archaeology, University of Warsaw</t>
  </si>
  <si>
    <t>polish</t>
  </si>
  <si>
    <t>aboltman99@gmail.com</t>
  </si>
  <si>
    <t>Aqeelah Boltman</t>
  </si>
  <si>
    <t xml:space="preserve">Egypt by the Egyptians: An analysis of ancient Egyptian attire and adornment represented during the official opening ceremony of The Grand Egyptian Museum (GEM).   </t>
  </si>
  <si>
    <t xml:space="preserve">The material culture of ancient Egyptian civilisation has captured the imagination of audiences for centuries. For countless generations, people have manipulated, interpreted, imagined, and utilised Egyptian material culture. Today, the attire and adornment of ancient Egyptians are instantly recognisable, largely due to their prolific representation in Western popular media. On 1 November 2025, the Grand Egyptian Museum (GEM) held its opening ceremony. The Ministry of Tourism and Antiquities of the Arab Republic of Egypt made a significant contribution to how ancient Egypt is received. With this event, the world was provided an opportunity to examine how Egyptians themselves choose to represent their ancient heritage. The endless fascination with ancient Egypt was reinforced as audiences worldwide tuned in to watch as the Egyptians revitalised their heritage. In this study, I argue that the GEM opening ceremony's use of performers to showcase ancient Egyptian attire and adornment, particularly headdresses and jewellery, serves as an important lens through which to explore Egyptian agency in redefining their past. Using a hybrid methodology of reception studies and iconographical analysis to analyse the ceremony, I aim to answer the following question: How does the attire and adornment presented at the GEM opening contribute to the reception of ancient Egyptian material culture? </t>
  </si>
  <si>
    <t>Museuology</t>
  </si>
  <si>
    <t>Stellenbosch University</t>
  </si>
  <si>
    <t>Pre-Doc Researcher, Student Assistant</t>
  </si>
  <si>
    <t>South Africa</t>
  </si>
  <si>
    <t>florisjolie@yahoo.de</t>
  </si>
  <si>
    <t>Diana Liesegang M.A.</t>
  </si>
  <si>
    <t>Ramesses II. and his Successors: Between Divine Leadershop and political action</t>
  </si>
  <si>
    <t>Ramesses II. was a huge role-model for his successors through the whole New Kingdom, who admired him as a powerful Sovereign, who convinced through his political actions. He was respected and feared as a great Warrior King and as a smart diplomat by his royal colleagues in the ancient Near East.The impressive historic legacy in texts and images of
Ramesses II. emphasizes the extraordinary position of this Egyptian pharaoh, WHO wrote history with the famous Battle of Kadesh and the legendary Silver Peace treaty with the Hittite empire. His royal self-presentation as a mighty ruler, loved and protected by the Egyptian deities, was the ideal for many later Kings.The reign of Ramesses ll.was shaped of the cultural contact with other foreign countries and the influence of new religious ideas,which growed through the New Kingdom.The Impact of this new ideas touched too the Image of the king and his relation to the gods.
This Papier aims to present how this development influenced the actions and
self-presentation of the successors of Ramesses II. and what it meant for the
Egyptian Empire.</t>
  </si>
  <si>
    <t>Leadership</t>
  </si>
  <si>
    <t xml:space="preserve">Royal Legitimation </t>
  </si>
  <si>
    <t>Religious Phenomenom</t>
  </si>
  <si>
    <t>I Work at my Research and for supporting my studies in partime jobs.It would be great to get Support for attending at the Conference.Thank you and best wishes.</t>
  </si>
  <si>
    <t>s2520048@u.tsukuba.ac.jp</t>
  </si>
  <si>
    <t>Kokoa Nabatame</t>
  </si>
  <si>
    <t>A Linguistic Analysis of the Coptic Translation of Plato's Republic 588b-589b in Nag Hammadi Codex VI,5</t>
  </si>
  <si>
    <t>This presentation examines the Coptic translation of Plato's Republic 588b-589b in Nag Hammadi Codex VI,5, comparing it with the Greek original to clarify the linguistic characteristics of philosophical text translation in Late Antiquity. This fragment represents an important case of Greek philosophical vocabulary transfer into Coptic, offering valuable insights for translation studies and contrastive linguistics.
Matsagouras (1976) characterized this fragment as a "rather free translation," identifying numerous mistranslations due to the translator's limited Classical Greek knowledge and defects in the source manuscript. He also noted intentional insertions of Gnostic terms like "archon" absent in the original. Conversely, Piotr (2020) argues the fragment reflects deliberate reinterpretation by second-century Christian Platonists Carpocrates and Epiphanes, rather than mere mistranslation.
However, systematic linguistic analysis of translation vocabulary and strategies remains limited. Further investigation is needed regarding philosophical term rendering, translation choices conditioned by Coptic syntactic constraints, and new lexical items not recorded in Crum's Coptic Dictionary.
This presentation analyzes three aspects: First, the distribution of loanwords versus native vocabulary to identify the translator's lexical selection criteria. Second, the conversion of Greek participial constructions into Coptic relative clauses, examining how typological constraints influenced translator choices. Third, re-evaluation of alleged mistranslations through three lenses: (a) cross-linguistic semantic asymmetry, (b) intentional translator modifications, and (c) variant readings or physical damage in the source manuscript.
Through this analysis, I attempt to reassess the translation phenomena in the Coptic Republic fragment from the perspective of translation universals.</t>
  </si>
  <si>
    <t>Nag Hammadi Codex</t>
  </si>
  <si>
    <t>Plato Republic</t>
  </si>
  <si>
    <t>translation universal</t>
  </si>
  <si>
    <t xml:space="preserve">University of Tsukuba </t>
  </si>
  <si>
    <t>ayamegy0614@gmail.com</t>
  </si>
  <si>
    <t>Ayame Miyamoto</t>
  </si>
  <si>
    <t>The Production, Use, and Funerary Deposition of the Ritual Papyri: In Light of Two Temple Rituals against Seth</t>
  </si>
  <si>
    <t xml:space="preserve">Seth, the god of desert and chaos, was associated with foreign lands and was worshipped by Ramesside pharaohs as a deity who granted the power to conquer foreign lands. However, from the 7th century BCE onward, as Egypt came under foreign rule, Seth was eliminated from the public sphere. Previous research has linked this elimination to fear and hostility toward foreign rulers, manifested in temple rituals against Seth: “Ritual for Felling Seth and His Confederates” and “Ritual of Driving Away the Aggressor.” The nearly complete texts of these rituals are preserved on two papyri, P. BM EA 10252 and P. Louvre N 3129, dating to the 4th – 3rd centuries BCE. In addition, parts of “Ritual of Driving Away the Aggressor” are attested on P. Tebtynis SCA 3460.
	This study examines the issue of the transmission of these three papyri, specifically, the circumstances under which they were produced and used, subsequently either deposited as funerary goods. While ritual texts have frequently been studied from linguistic and mythological perspectives, this issue has been neglected. This study therefore attempts to reexamine the ritual texts preserved on papyri, particularly two rituals against Seth, in relation to the actual international situation of the era in which they were written. The analysis suggests these rituals originated during the First Persian Period and were intended to restore social order by identifying and punishing the misdeeds of Seth. The priests likely recognized these temple rituals, which were functioned to protection of Egyptian order (mAa.t), as producing the anticipated results, namely, liberation from Persian rule, and as fully demonstrating their expected efficacy. Papyri recording such “effective” rituals were therefore repurposed as funerary goods to protect the deceased, identified with Osiris. </t>
  </si>
  <si>
    <t>Temple Rituals against Seth</t>
  </si>
  <si>
    <t>Ptolemaic Period</t>
  </si>
  <si>
    <t>Transmission of Papyri</t>
  </si>
  <si>
    <t>Hiroshima University</t>
  </si>
  <si>
    <t>daan.smets@kuleuven.be</t>
  </si>
  <si>
    <t>Daan Smets</t>
  </si>
  <si>
    <t>Long beloaved: ʿkk/kʿkʿ bread as a staple</t>
  </si>
  <si>
    <t>Bread, along with other cereal products like beer and porridge, has been a staple of the daily and afterlife in Egypt since the earliest evidence of the sedentary agricultural society. From the Old Kingdom onwards, a wide variety of loaves is attested in textual and pictorial evidence, with the offer only increasing during later periods like the New Kingdom. 
Some of these types of bread saw a remarkably long period of consumption. Chief among them is the Pharaonic ʿkk/kʿkʿ bread, rendered into Greek as κάκεις. Already eaten at the Workmen's Village of Deir el-Medina, it survived into the Late Antique period and beyond, when ϭⲁⲁϭⲉ or ⲕⲁⲕⲉ became a staple at Coptic monasteries. 
This paper discusses the nature of this fascinating bread, including its ingredients, shape, and size, and its production and consumption context. Particular attention will be given as to why it had such a longevity and maintained such a popularity in a Coptic monastic context. Furthermore, the distinction between kk/kʿkʿ/ϭⲁⲁϭⲉ and the default ʿq or ⲟⲉⲓⲕ bread is clarified.</t>
  </si>
  <si>
    <t>Bread</t>
  </si>
  <si>
    <t>Monasteries</t>
  </si>
  <si>
    <t>KU Leuven</t>
  </si>
  <si>
    <t xml:space="preserve">Tell El-Deir, located in the northern Delta, New Damietta is a major multi-period cemetery that saw continuous use from the Twenty-Sixth Dynasty through the Graeco-Roman era. Recent investigations at the site have uncovered a notable assemblage of shabtis that preserve an unexpected textual feature. The inscriptions contain a previously unattested addition to the well-known shabti spell derived from Chapter 6 of the Book of the Dead. This textual deviation, absent from contemporary Saite-period examples, suggests the existence of a localized variant of the formula.
The present study aims to document, analyze, and contextualize this new version of the spell. The methodology integrates a philological examination of the inscriptions with a comparative analysis of parallel shabti corpora from other Delta and Upper Egyptian sites. This approach allows for a systematic evaluation of the distinctive features observed in the Tell El-Deir examples and for assessing their relationship to broader textual traditions.
The findings indicate that the added clause represents more than a scribal anomaly: it reflects a purposeful adaptation that may shed light on regional mortuary practices and the transmission of funerary texts during the Late Period. This newly attested variant contributes valuable evidence for understanding textual diversity and localized religious expression in the Delta.
</t>
  </si>
  <si>
    <t>Tell El-Deir</t>
  </si>
  <si>
    <t xml:space="preserve">Aziza abdallah ebrahim Mohamed </t>
  </si>
  <si>
    <t xml:space="preserve">azizaabdallah1988@gmail.com </t>
  </si>
  <si>
    <t xml:space="preserve">Altars between Documenting and Publishing. Study case: Unpublished Altars at the Egyptian Museum in Cairo </t>
  </si>
  <si>
    <t>Altars between Documenting and Publishing
Study Case: Unpublished Altars at the Egyptian Museum in Cairo
As a Registrar in the Registration, Collections Management, and Documentation Department at the Egyptian Museum and a PhD researcher in Egyptology, I am working on several research projects aimed at clarifying the mysteries of ancient Egyptian civilization.  My current research project focuses on examining and documenting a collection of unpublished altars housed in the Egyptian Museum in Cairo. These altars were discovered in diverse locations and span from the early dynastic period to the Greco-Roman era, Constructed from materials like limestone, sandstone, granite, basalt, quartz, wood, pottery, and bronze. Altars, acting as central axes for beliefs and rituals, were essential for sacrificial activities and presenting offerings. I am still working on this project to investigate their placements within temples and residences and search for parallels in Egyptian and international Museums to date the undated objects.
In this poster, I will exhibit the challenges I face in classifying and identifying these objects, clarifying their vital role in both temples and tombs, and differentiating between their various names and purposes of use. Moreover, answering important questions about the identity of the altars as: 1) The difference between them and offering tables in shape and use. 2) The domestic use of the altars and their purpose. 3) The architectural and decorative elements of altars and their forms varied across different periods.
My goal for this project is not just to create an instructive poster and academic article, but also to have my research shown in a temporary exhibition. Additionally, I plan to develop a comprehensive catalog detailing the altars within the Egyptian Museum, emphasizing their historical significance. It will delve into the role of altars in ancient Egyptian society, shedding light on their religious and spiritual importance.</t>
  </si>
  <si>
    <t xml:space="preserve">Altars </t>
  </si>
  <si>
    <t>Offerings</t>
  </si>
  <si>
    <t>Temples</t>
  </si>
  <si>
    <t xml:space="preserve">Museum registrar at Egyptian Museum cairo </t>
  </si>
  <si>
    <t>diana.mickova@ff.cuni.cz</t>
  </si>
  <si>
    <t>Diana Míčková</t>
  </si>
  <si>
    <t>Translating Iufaa with the Help of Artificial Intelligence</t>
  </si>
  <si>
    <t xml:space="preserve">The HieroReco project, now in its third year, aims to develop an AI-assisted system for faster and more consistent analysis of hieroglyphic texts from the Late Period cemetery at Abusir. Using artificial neural networks, the project addresses the entire research process, from photographic documentation and facsimile production to grammatical analysis and fluent English translation. The resulting tool will enable a partially automated creation of an open-access database of Abusir texts, while an online platform will allow for the continuous revision and refinement of translations and interpretations over time.
Following the development and testing of the tool on existing textual corpora (including the TLA, the Ramses database, and classical Middle Egyptian literary texts), the project has now reached its most demanding phase: application to the texts from the tomb of Iufaa at Abusir. This corpus presents particular challenges, as it contains numerous previously unattested texts, frequent orthographic inconsistencies, linguistic layers spanning different phases of the Egyptian language, and idiosyncratic writing practices such as monoconsonantal spelling and the omission of determinatives.
To address these issues, a complementary analytical dataset of the Iufaa tomb texts has been manually created from the outset of the project, using a system based on an adaptation of the Leipzig Glossing Rules for Egyptian. This paper presents some of the first results of the analysis of the Iufaa corpus, outlines the specific features of the project’s methodology, and demonstrates how AI-assisted translation can significantly enhance the efficiency and speed of Egyptological research. At the same time, it discusses the methodological and technical challenges and problems of the automated reading of hieroglyphic Egyptian and explores future directions for the development and application of the HieroReco tool.
</t>
  </si>
  <si>
    <t>AI-assisted translation</t>
  </si>
  <si>
    <t>Late Period cemetery at Abusir</t>
  </si>
  <si>
    <t>tomb of Iufaa</t>
  </si>
  <si>
    <t>Czech Institute of Egyptology, Faculty of Arts, Charles University, Prague, Czech republic</t>
  </si>
  <si>
    <t>Czech republic</t>
  </si>
  <si>
    <t>karimelridygem@gmail.com</t>
  </si>
  <si>
    <t>Karim Mohsen El Ridy</t>
  </si>
  <si>
    <t>“We have noted all matters concerning which our lord has sent to us” The hidden role of the Military in the 21st Dynasty: Payankh as an Example</t>
  </si>
  <si>
    <t>When examining the biographies of the High Priests of Amun during the 21st Dynasty, it becomes evident that many of them simultaneously held high-ranking military titles, most notably that of army commander. Among these figures, Payankh stands out as a particularly revealing case. Unlike other high priests, he appears in certain sources primarily in his military capacity, explicitly designated as “the army commander of Pharaoh.” 
The letter’s senders—his subordinates—acknowledge his authority by declaring that they have “noted all matters” concerning which their lord has issued instructions. The language of the text reflects a strict hierarchy and suggests the execution of sensitive or confidential assignments, carried out under conditions of secrecy and political tension.
This paper will attempt to explore these tasks and commissions, investigating the role of the military and their involvement in suspicious actions, and linking that to the political context that enabled the emergence of exceptional arrangements during a period of instability.</t>
  </si>
  <si>
    <t>military</t>
  </si>
  <si>
    <t>Payankh</t>
  </si>
  <si>
    <t>High Priests of Amun</t>
  </si>
  <si>
    <t>tancrede.deghellinck@gmail.com</t>
  </si>
  <si>
    <t xml:space="preserve">de Ghellinck </t>
  </si>
  <si>
    <t>The ir.t n=f dmi formula in the Journey to Sais and Buto in the Theban tombs of the 18th dynasty</t>
  </si>
  <si>
    <t xml:space="preserve">In the Theban tombs of the Eighteenth Dynasty, amidst the depictions of funerary rites, the deceased is shown being brought to the ancient religious centers of the Delta: Sais and Buto. Although this pilgrimage already appears in some Old Kingdom mastabas, it re-emerges in almost all Theban tomb iconographic programs from the reign of Thutmose III to that of Thutmose IV. This iconographic motif was studied by J. Settgast in Untersuchungen zu den altägyptischen Bestattungsdarstellungen. However, one of the captions accompanying the first part of the pilgrimage leaves J. Settgast doubtful: ir.t n=f dmi, “to erect for him a district or a town.” Unsure of the deeper meaning of the expression, J. Settgast ends his analysis there.
Yet dmi can also mean “mooring area” or “quay” (JEA 22, 1936, p. 104). This new translation can be corroborated by the iconography, since the first appearance of the formula ir.t n=f dmi in a Theban tomb, namely that of Duauneheh (TT 125), is associated not with the pilgrimage to Sais, but with a priest and a priestess preparing a mooring post. This scene appears in several Theban tombs from the same period as the Journey to Sais, including that of Menna (TT 69), dated to the reign of Thutmose IV, in which the typical boat bringing the deceased to Sais, recognizable by its white shrine and by the small and great mourner dressed in white seated on either side, is fastened to the mooring post by a priest and a priestess. The painters and designers of Menna’s tomb thus deliberately chose to associate part of the pilgrimage to Sais with the Rite around the Mooring Post. All these elements taken together suggest that translating dmi as “mooring area” provides a more coherent interpretation of the funerary ritual.
</t>
  </si>
  <si>
    <t>18th Dynasty</t>
  </si>
  <si>
    <t>Funerary Rituals</t>
  </si>
  <si>
    <t>Université libre de Bruxelles, Universität Basel</t>
  </si>
  <si>
    <t>Ancient Egyptian Quarrying as an Early Model of Sustainable Resource Management</t>
  </si>
  <si>
    <t xml:space="preserve">Ancient Egyptian quarrying exemplified a highly sustainable method of resource management, characterized by foresight, selective extraction, and the reuse of materials. Limestone, sandstone, and granite were mainly obtained according to dynamic techniques, which helped reduce transportation needs and energy expenditure. Sourcing strategies were carefully considered; premium Tura limestone was reserved for royal monuments, whereas most construction stone was sourced locally, balancing durability with environmental considerations.
Quarry workers used extraction techniques that minimized waste, following the natural layers and fractures in the rock. Geological research in e.g. The Nile Valley and Eastern Dessert shows that they practiced careful, targeted quarrying instead of large-scale stone removal. Tools like copper and bronze chisels, stone hammers, wooden levers, and the fire-setting method allowed for precise extraction. Draft animals also played vital roles in food supply and diet subsistence in addition of being beasts of burden, reduced reliance on wheeled vehicles and further minimized environmental impact. Reusing materials was a common practice: stones from older structures and valuable resources like linen, glass, and wood were recycled, providing an early example of a circular economy.
Modern quarry management in Egypt increasingly draws upon this ancient legacy through conservation, documentation, and sustainable development. New current approaches are working on recording and protecting ancient quarry landscapes from modern industrial and urban threats while promoting sustainable land use. Ancient Egyptian quarry sites are now being developed for geo-tourism, where quarry remains, inscriptions, and extraction scars are preserved to educate the public about ancient resource management.
This topic is focusing on ancient Egyptian quarrying from a sustainability perspective, emphasizing rehabilitation, water recycling, and waste reduction. It highlights how these practices align with global environmental standards and reflect ancient Egyptian values of prudent, long-term resource management, positioning modern sustainability frameworks as an extension of this longstanding tradition.
</t>
  </si>
  <si>
    <t>Quarries</t>
  </si>
  <si>
    <t>Sustainability</t>
  </si>
  <si>
    <t>Shaymaaroshdi@yahoo.com</t>
  </si>
  <si>
    <t xml:space="preserve">Shaymaa Mohammed Roshdi sobih </t>
  </si>
  <si>
    <t>The Nile Paintings of the British Artist Carl Werner: Rediscovering Egypt in the Nineteenth Century through the Eyes of European Travelers and Orientalists</t>
  </si>
  <si>
    <t>Abstract
This article examines the rediscovery of Egypt in the nineteenth century through the perspective of European travelers and Orientalists, using the Nile paintings of the British artist and traveler Carl Werner as a case study. It aims to analyze the role of these works in shaping the European image of Egypt as a land combining historical grandeur, natural beauty, and everyday life, within the broader context of growing Western interest in Egypt during the nineteenth century.
The study focuses on selected paintings by Werner depicting the Nile, religious architecture, and traditional urban landscapes, situating them within their historical and cultural contexts and comparing them with contemporary travel accounts and Orientalist writings. Particular attention is given to the balance between documentary accuracy and romantic aesthetic interpretation in Werner’s works, and to the extent to which his representations reflect reality or conform to prevailing Orientalist visual conventions.
The article argues that Werner’s paintings should be understood not only as artistic productions but also as valuable historical visual sources that contribute to the study of Western perceptions of Egypt and the Nile. They reveal the complex interplay between art, travel, knowledge production, and representation in the construction of Orientalist imagery. Furthermore, the study highlights the significance of these works for museum studies and art history, particularly in documenting Egypt’s nineteenth-century urban and natural landscapes.
The article concludes that the study of Orientalist travelers’ artworks offers an essential framework for reassessing the visual representation of Egypt in Western discourse. It also proposes the use of digital technologies to reinterpret and animate these historical images within a contemporary museum exhibition context.</t>
  </si>
  <si>
    <t>Orientalism</t>
  </si>
  <si>
    <t>Nile Representations</t>
  </si>
  <si>
    <t>Nineteenth-Century Egypt</t>
  </si>
  <si>
    <t>Egyptian Museum, Ministry of Tourism and Antiquities, Egypt</t>
  </si>
  <si>
    <t>marjt8@gmail.com</t>
  </si>
  <si>
    <t>Mar</t>
  </si>
  <si>
    <t>From Coptos to the Red Sea: routes, praesidia, and fiscal practice in Roman Egypt</t>
  </si>
  <si>
    <t xml:space="preserve">The desert routes connecting Coptos with the Red Sea ports of Myos Hormos and Berenike played a crucial role in the commercial integration of Roman Egypt into long-distance trade networks. These routes were structured by a dense network of praesidia, wells, and checkpoints, where the movement of goods, animals, and people was closely monitored. 
This paper examines an overview of the fiscal mechanisms operating along these routes, drawing on evidence from ostraca recovered in the praesidia of the Eastern Desert of Egypt. While the Coptos Tariff (ca. 90 CE) provides a normative framework for taxation, the documentary material offers valuable insights into the practical administration of taxes and fees related to trade and mobility. By combining textual evidence with archaeological data, the presentation shows the spatial distribution of fiscal control and highlights the categories of movement subject to taxation. Particular attention is given to the everyday practices of record-keeping and enforcement that shaped circulation across the desert. 
The study aims to demonstrate that the Eastern Desert of Egypt functioned as an administrate integrated fiscal landscape rather than a peripheral zone. As such, it offers a case study for understanding how taxation structured trade, mobility and daily life in Roman Egypt. 
</t>
  </si>
  <si>
    <t>Eastern Desert</t>
  </si>
  <si>
    <t>Taxation</t>
  </si>
  <si>
    <t>Universitat Autònoma de Barcelona</t>
  </si>
  <si>
    <t xml:space="preserve">Archaeological, textual, and iconographic evidence from a variety of ancient Egyptian settlements points to the existence of domestic contexts specifically associated with ritual activity. These domestic spaces, equipped with artefacts (anthropoid busts, offering trays, ‘female scenes’, Ax-iqr-n-Ra stelae, amulets) and installations (altars, false doors or vertical niches) suitable for performing intimate acts of communication with selected deities and with deceased family members, collectively define what may be termed a domestic religion. Within the framework of this contribution, which focuses on the New Kingdom settlement of Deir el-Medina, I undertake an integrated analysis of artefacts and architectural features found in areas of the house that appear to have played a central role in the performance of protective rituals.
The study argues that the intimate relationships fostered through these ritual practices were conceived as effective means of securing divine and ancestral protection. Particular attention is paid to the ways in which these practices responded to the heightened states of vulnerability experienced by women and infants, especially during pregnancy, childbirth, and early childcare. Domestic rituality in Deir el-Medina emerges, therefore, not as a peripheral set of actions but as a crucial component of everyday strategies for safeguarding household members at moments of physical and emotional risk.
In addition to examining material correlates of ritual behaviour, the contribution incorporates case studies of individuals whose lives illustrate the social realities behind these practices. Elderly women and widows —both well attested in the documentary record of the village—offer valuable insights into the forms of protection, dependency, and agency negotiated within the household sphere. They exemplify and provide a lens through which to understand the broader dynamics of domestic life as a phenomenon, shaped by gender, age, kinship, and the need for security within the close-knit community of Deir el-Medina.
</t>
  </si>
  <si>
    <t>Domestic Religion</t>
  </si>
  <si>
    <t>University of Alcala</t>
  </si>
  <si>
    <t>jrypct_gaowei@163.com</t>
  </si>
  <si>
    <t>Wei GAO</t>
  </si>
  <si>
    <t>Re-discovery of the Montu Precinct : Preliminary Results of the  Egyptian-Chinese Joint Archaeological Mission at North Karnak</t>
  </si>
  <si>
    <t>In the mid-20th century, A. Varille and Cl. Robichon, egyptologist and architect from the French Institute of Oriental Archaeology in Cairo (IFAO), have conducted a series of systematic excavations in the Montu Precinct of North Karnak. Their fieldwork unveiled the key structures of this precinct: the Montu temple, associated with a sacred lake, Maat temple, and Harpre temple. These fruitful archaeological results and insights formed our basic understanding of the North Karnak area today. However, further excavation in the enclosure of the Montu Precinct was suspended thereafter. A major part inside the enclosure rests uninvestigated, especially for the southern part. Since 2018, an Egyptian-Chinese joint archaeological mission resumed the fieldwork of the Montu Precinct. Through the scientific methodology, new architectural structures and artefacts, dating from the Late Period to the Greco-Roman Period, are discovered in its southern part. This research shed light on the complete layout of the Montu Precinct, enriched the evidence related to the Divine Adoratrix in the 25th and 26th Dynasty, and deepened our understanding of the archaeological evolution of this area during the first millennium B.C.</t>
  </si>
  <si>
    <t>Montu Temple</t>
  </si>
  <si>
    <t>North Karnak</t>
  </si>
  <si>
    <t>Institute of Archaeology, Chinese Academy of Social Sciences</t>
  </si>
  <si>
    <t>Research Assistant</t>
  </si>
  <si>
    <t>hassan.elzawy@yale.edu</t>
  </si>
  <si>
    <t>Hassan Elzawy</t>
  </si>
  <si>
    <t>Centering People and Place: The Buhen Archive</t>
  </si>
  <si>
    <t xml:space="preserve">Buhen and its surrounding topography were physically lost in the 1960s, when the construction of the Aswan High Dam slowly created Lake Nasser to the south. Yet, its legacy endures through dedicated studies and publications on its archaeology and material culture. This presentation introduces another, previously forgotten, human dimension to Buhen’s story, drawing on its archival collection housed at the Egypt Exploration Society office in London. 
A deep dive into this material offers new insight into the daily dynamics of running an excavation during the UNESCO Salvage Campaign and the central role of the local workforce, the “hidden hands” forming the bulk of the personnel on site. The presentation aims to illuminate the experiences and challenges of the Egyptian, Sudanese, and foreign archaeologists as encountered in the archival documents, while also revealing unexpected details and the broader web of local and international collaborations that shaped the work at Buhen in the 1960s. 
</t>
  </si>
  <si>
    <t>Buhen</t>
  </si>
  <si>
    <t xml:space="preserve">UNESCO Salvage Campaign </t>
  </si>
  <si>
    <t>sarah.ismael85@gmail.com</t>
  </si>
  <si>
    <t>Sarah Ismael Abdelall Mohamed</t>
  </si>
  <si>
    <t>From Conservation to Sustainability: Evaluating and Advancing Preventive Conservation Strategies in Egyptian Museums</t>
  </si>
  <si>
    <t>Preventive conservation has become a fundamental aspect of collections management, offering a sustainable and cost-effective approach to safeguarding cultural heritage while reducing reliance on extensive interventive conservation. By focusing on long-term risk management, resource efficiency, and institutional responsibility, preventive conservation positions sustainability at the heart of museum practice. In response to global environmental and heritage-related challenges, museums worldwide are increasingly embedding preventive conservation strategies through specialized teams, strategic action plans, and comprehensive policies. 
Against this global shift toward sustainable museum practice, Egyptian museums represent a critical context in which the integration of preventive conservation is both timely and necessary. Within this framework, preventive conservation emerges as a key mechanism for achieving sustainable heritage management. Accordingly, this research evaluates the current state of preventive conservation practices in Egyptian museums, drawing on survey data and selected case studies, to explore the opportunities and challenges associated with their institutional integration.
The findings revealed several institutional strengths, including the presence of qualified conservation professionals and partnerships with national and international organizations that have supported heritage protection initiatives. However, significant challenges remain, such as limited financial resources, insufficient awareness of preventive conservation as a shared responsibility, the absence of formalized policies and strategic planning, and staff shortages that hinder effective implementation.
To address these issues, the study proposes a context-specific framework to support the sustainable and systematic implementation of preventive conservation in Egyptian museums. This framework emphasizes the development of written policies, the establishment of preventive conservation working groups, structured action plans, and regular staff training. Aligned with international standards, the proposed framework offers a realistic and sustainable pathway for strengthening preventive conservation in Egyptian museums and ensuring the long-term protection of Egypt’s cultural heritage.</t>
  </si>
  <si>
    <t>Egyptian Museums</t>
  </si>
  <si>
    <t>anouk.e.everts@gmail.com</t>
  </si>
  <si>
    <t>Anouk Everts</t>
  </si>
  <si>
    <t xml:space="preserve">Underneath Isis’ Skirt: a Study of Trans-Cultural Negotiations of Decorum, Nakedness and Gender Politics in Ptolemaic and Roman Egypt Through Female Terracotta Figurines </t>
  </si>
  <si>
    <t xml:space="preserve">Ptolemaic and later Roman Egypt were a complicated mosaic of people and cultures, with an influx of Hellenic migrants moving into (primarily) the Delta and becoming a part of the already diverse population of Egypt. With them, they brought their own perspective on the world, and gave rise to a new corpus of material culture. This corpus made use of a wide variety of iconographic repertoires, which in turn helped shape the world in which it existed, being used to express and negotiate concepts of identity and social status. 
This paper will focus on a corpus of female terracotta figurines in various states of undress, specifically Isis-Aphrodite Anasyr(o)mene and so-called ‘Fertility demons’. With these figurines as a case study this paper will explore the ways in which gendered material culture was affected by this multicultural society, and how it was used to negotiate and maintain gendered identities and politics during this time period of increased cultural exchange and interaction between Egypt and the mediterranean, specifically during the Ptolemaic and Roman periods. This will be done using a cultural constructionist approach to concepts of gender and sexuality, and using a combination of iconographic analysis and a diachronic comparison with older material culture, as well as using textual sources regarding the politics of gender in Ptolemaic and Roman Egypt. 
Finally, how these figurines have been interpreted in the modern world will be explored, questioning the way in which female figurines (especially when in a state of undress) are often considered primarily from the perspective of fertility, and show that instead they should be seen and analysed as an expression of a gendered identity, practise, and lived experience of the people that lived in the world to which they belonged. </t>
  </si>
  <si>
    <t>figurines</t>
  </si>
  <si>
    <t>gender</t>
  </si>
  <si>
    <t>culture contact</t>
  </si>
  <si>
    <t>University of Cologne, Leiden University, University College London</t>
  </si>
  <si>
    <t>Doctoral Student, Research Assistant</t>
  </si>
  <si>
    <t>Netherlands</t>
  </si>
  <si>
    <t>hazem.farrag@art.asu.edu.eg</t>
  </si>
  <si>
    <t>Hazem Mohamed Farrag</t>
  </si>
  <si>
    <t>Re-Coding Maʿat: Toward a New Network-Based Narrative Method for Interpreting the Tale of the Two Brothers</t>
  </si>
  <si>
    <t xml:space="preserve">This paper introduces a new network-based narrative method for the analysis of Ancient Egyptian literary texts through an analytical approach termed Re Coding. Re Coding refers to the systematic transformation of narrative elements such as characters, actions, and ethically significant interactions into a relational network designed to reflect the internal logic of Egyptian storytelling. The method is developed in direct relation to the ethical and relational structure that characterizes Ancient Egyptian literature rather than general narrative models used in digital humanities.
Within this framework, Maʿat is treated not as an abstract moral concept or a fixed ideological doctrine, but as an operative principle embedded within narrative relations. It functions through interactions that regulate character behavior and guide narrative progression. The method is applied to the Tale of the Two Brothers, where characters are modeled as nodes and their interactions as directed relations defined by narrative and ethical function. This representation allows the narrative to be examined as a dynamic system shaped by ethical balance and imbalance.
The analysis shows that the network model can be constructed consistently across the entire narrative and that it reveals clear patterns connecting ethical disruption with changes in narrative structure. Characters occupy distinct structural positions that correspond to their narrative roles, while episodes of transgression are associated with observable shifts in relational connectivity and direction. These results suggest that Maʿat operates as an internal regulating force within the narrative rather than as an external moral commentary.
Although focused on a single literary text, the proposed method offers a replicable analytical framework applicable to other Ancient Egyptian narratives and compositions concerned with ethical, social, or institutional order. By combining narrative analysis with relational modeling grounded in Egyptian textual logic, this approach supports sustained and comparative research in the study of Ancient Egyptian literature.
</t>
  </si>
  <si>
    <t>Narrative Network Analysis</t>
  </si>
  <si>
    <t>Maʿat as Narrative Regulation</t>
  </si>
  <si>
    <t>Methodological Innovation in Egyptology</t>
  </si>
  <si>
    <t>Ain Shams University, Cairo, Egypt.</t>
  </si>
  <si>
    <t>nmejuto1999@gmail.com</t>
  </si>
  <si>
    <t>Nina Mejuto Garcia</t>
  </si>
  <si>
    <t xml:space="preserve">Women’s rights amidst changing legal systems: how bad did women REALLY have it in Graeco-Roman Egypt? </t>
  </si>
  <si>
    <t xml:space="preserve">My conference aims to address the change of the main legal system, from Egyptian to Greek, during the Graeco-Roman period and its effects on women’s rights. Firstly, it shall describe, through bibliographical research, the evolution of law during the Graeco-Roman period, demonstrating that the Greek system which was established by the Ptolemies came to be favoured over the pre-existing Egyptian one. Egyptian law was made more and more inconvenient to use via subsequent legal decrees, issued by both the Ptolemies and the Roman government that followed. As a result, in the 1st century AD Egyptian law seems to fall from use, according to evidence. Secondly, the theoretical and practical impact of this switch on women’s rights will be addressed. In theory, the change from an Egyptian system to a Greek one meant that women went from being able to freely manage their properties to needing the presence of a kyrios (Ancient Greek for “legal guardian”) to do so. Thus, this change seems to have brought a loss of rights upon the female inhabitants of Graeco-Roman Egypt. However, examination of documentary evidence (including, but not limited to, legal contracts and letters) reveals that, in practice not all women were equally affected by this change. Women of a higher legal status, as well as their immediate social sphere, seem to have thought of the newly required presence of a kyrios as a mere formality. They were, thus, still perceived as perfectly able to manage their business, as they had been for centuries before the Ptolemaic period. Poorer women, however, might have been more commonly perceived as legally and ideologically helpless. Thus, the presence of a kyrios might have been a true need for women of a lower social class. </t>
  </si>
  <si>
    <t>Gender Studies</t>
  </si>
  <si>
    <t>Graeco-Roman Egypt</t>
  </si>
  <si>
    <t xml:space="preserve">Law </t>
  </si>
  <si>
    <t xml:space="preserve">University of Barcelona </t>
  </si>
  <si>
    <t xml:space="preserve">Spanish </t>
  </si>
  <si>
    <t>wojtek.ejsmond@wp.pl</t>
  </si>
  <si>
    <t xml:space="preserve">Wojciech Ejsmond, Taichi Kuronuma, Marzena Ożarek-Szilke, Aleksander Leydo, Aneta Skalec </t>
  </si>
  <si>
    <t>Archival Archaeology at Gebelein: Revisiting the Northern Necropolis through Tomb GWRI 384</t>
  </si>
  <si>
    <t>Three cemeteries are located within the Gebelein micro-region: the Southern, Central, and Northern Necropolises. These may be tentatively associated with the nearby ancient towns of Hefat, Per-Hathor, and Sumenu, respectively, an attribution that offers important insights into the historical development of the region. This paper focuses on Tomb GWRI 384 in the Northern Necropolis, which provides new information on the chronology and history of the site and the town of Sumenu.
The Northern Necropolis has been explored since at least 1884 by several archaeological missions and private individuals; however, most of the results were never fully published. When reports did appear, they were often limited in scope. Only recently has it become possible to recover more detailed knowledge of the site through a programme of archival research combined with field surveys. Moreover, despite the fragmentary nature of earlier publications, it has been possible to reconstruct the course of some of these early excavations.
Tomb GWRI 384, despite being violated, still contained its original Old Kingdom furnishings, numerous later artefacts, mostly dating to the 1st millennium BCE, as well as items from the 1920s–1930s, including fragments of Italian newspapers, one of them dated to 1930. The tomb was most likely reused as a storage space for artefacts considered unsuitable for museum collections. These Third Intermediate and Late Period objects fill a significant chronological gap in the site’s history and provide insight into material excavated at Gebelein but never reported. What is significant for the region, they provide information on the associated town of Sumenu, whose history in the 1st millennium BCE is poorly known.</t>
  </si>
  <si>
    <t>Archaeology of Egypt</t>
  </si>
  <si>
    <t xml:space="preserve">History of Egyptology </t>
  </si>
  <si>
    <t xml:space="preserve">Funerary archaeology </t>
  </si>
  <si>
    <t>Institute of Mediterranean and Oriental Cultures, Polish Academy of Sciences</t>
  </si>
  <si>
    <t>Assistant Professor, Lecturer</t>
  </si>
  <si>
    <t>ayatfarouk89@gmail.com</t>
  </si>
  <si>
    <t xml:space="preserve">Ayat Farouk Abd-El-Wanis </t>
  </si>
  <si>
    <t>The role of the Grand Egyptian Museum in safeguarding its cultural landscape</t>
  </si>
  <si>
    <t xml:space="preserve">The Grand Egyptian Museum is the world's largest museum dedicated completely to ancient Egyptian civilization. It displays King Tut's collection in its entirety for the first time, with a massive collection of artifacts grouped by themes and timeline narrating the history of the ancient Egyptian civilization. GEM 's half-building serves as a commercial space transforming it from being just an educational institution into a recreational destination. It's strategic location within the Memphis necropolis -which extend from Abu Rawash to Dahshur- makes it a key stakeholder institution for safeguarding the area's cultural landscapes. This study examines the role of the Grand Egyptian Museum (GEM) in safeguarding the socio-environmental dimensions of Memphis and its necropolis, using a mixed-methods approach that combines qualitative data from specialist interviews and site observations with quantitative data from museum staff surveys. As part of its institutional role, GEM draws architectural inspiration from the surrounding pyramid landscape and ancient Egyptian architectural principles. The museum conceptually integrates Memphis and its necropolis into its overarching interpretive framework, rather than treating them as discrete historical narratives. The principal Old Kingdom gallery presents the story of the pyramid builders, supported by digital media, including a film that conveys the monumental scale and complexity of pyramid construction. Furthermore, the museum has successfully relocated Khufu’s boats—formerly obstructing visual corridors toward the pyramids—to a dedicated facility that documents their excavation within the Giza necropolis.
Despite these achievements, further efforts are required to revitalize the wider cultural landscape of Memphis and its necropolis, particularly in addressing the environmental and historical transformations the area has undergone over time. One effective strategy is the organization of cultural events in collaboration with relevant stakeholders. Such initiatives can highlight Memphis’s natural and historical significance, strengthen social cohesion, and enhance environmental awareness among museum visitors.
</t>
  </si>
  <si>
    <t>The Grand Egyptian Museum (GEM)</t>
  </si>
  <si>
    <t>safeguarding Sociological practice, environmental setting</t>
  </si>
  <si>
    <t>Eco-Cultural event</t>
  </si>
  <si>
    <t>Grand Egyptian Musem</t>
  </si>
  <si>
    <t>hoffman6@sas.upenn.edu</t>
  </si>
  <si>
    <t>Livia Hoffman</t>
  </si>
  <si>
    <t>Reusing and Reconfiguring the Pharaonic Past: Deir el-Medina’s Graeco-Roman Deathscape</t>
  </si>
  <si>
    <t>During the Ptolemaic, Roman, and Coptic Periods (or in sum, the Graeco-Roman Era), Egyptian society both retained and reconfigured past Pharaonic traditions alongside those of Hellenistic fashion. Funerary practices from this era reflect such hybridity through their incorporation of Graeco-Roman themes, aesthetics, and imagery into established Pharaonic mortuary customs. Accordingly, scholarship within Egyptology has devoted significant attention to examining how the cultural hybridity of Graeco-Roman Egypt prompted transformations and innovations in funerary art and activities (Riggs et al. 2010; Stadler 2012; Gessler-Löhr 2012; Jiménez 2022; O’Connor 2024). Yet these studies rarely consider how the era’s hybridized funerary culture mapped onto—and actively redefined—earlier Pharaonic funerary landscapes, or “deathscapes.” Utilizing Deir el-Medina as its case study, this project geo-references both recent and archival data from the Institut français d’archéologie orientale (hereafter the IFAO) to explore the spatial distribution of Graeco-Roman funerary materials and activities within the site’s Pharaonic deathscape. Through this approach, one finds that Graeco-Roman mortuary sensibilities transform Deir el-Medina’s deathscape into a terrain of reuse, wherein cultural hybridity was enacted and expressed through reoccupations and reconfigurations of Pharaonic funerary spaces and structures.</t>
  </si>
  <si>
    <t>Cultural Hybridity</t>
  </si>
  <si>
    <t xml:space="preserve">Spatial Analyses </t>
  </si>
  <si>
    <t>University of Pennsylvania</t>
  </si>
  <si>
    <t>samoraasamir@gmail.com</t>
  </si>
  <si>
    <t>Samar Mohamed Samir Abdalla ELkhamisy</t>
  </si>
  <si>
    <t>Writing Belief in Stone: Textual and Visual Strategies on a 13th Dynasty Stela from Abydos (CG 20667)</t>
  </si>
  <si>
    <t>The funerary stela CG 20667, discovered by Auguste Mariette in the northern necropolis of Abydos, represents a rare example of a fully text-based non-royal monument dating to the 13th Dynasty. Carved in limestone and measuring 30 × 19 cm, the stela is entirely inscribed with nine horizontal lines of hieroglyphic text and belonged to an individual named N-jn-st-jb. The monument is currently preserved in the storerooms of the Egyptian Museum in Cairo (SR3/310375) and has remained unpublished.
This paper presents the first complete publication and analysis of the stela, employing epigraphic and palaeographical methods alongside an examination of textual layout and formulaic structure. The study argues that, in the absence of figural decoration, writing itself functioned as the primary medium for expressing funerary belief and personal piety. The organization and orthography of the text reflect established Middle Kingdom traditions while also revealing individual adaptation, suggesting a deliberate emphasis on textual presence and permanence. The stela thus demonstrates the central role of writing in non-elite commemorative practices at Abydos during the late Middle Kingdom and contributes to broader discussions on text-based religious expression in periods of cultural transition.</t>
  </si>
  <si>
    <t>Abydos</t>
  </si>
  <si>
    <t>Personal piety</t>
  </si>
  <si>
    <t>Middle Kingdom</t>
  </si>
  <si>
    <t>Egyptian Museum, Cairo – Ministry of Tourism and Antiquities</t>
  </si>
  <si>
    <t>m.maurici@unior.it</t>
  </si>
  <si>
    <t>MIchele Maurici</t>
  </si>
  <si>
    <t>The Unedited Stela of Niankhinpu from Gebelein (Turin, S. 14092)</t>
  </si>
  <si>
    <t>Between the 14th of January and the 4th of March 1911 Ernesto Schiaparelli, the director of the Italian Archaeological Mission (M.A.I) in Egypt, send his assistant Virginio Rosa to Gebelein (Upper Egypt) to continue the excavations that had been started in 1910. One of the most interesting discoveries was an inscribed square limestone stela belonging to a rḫ-nsw.t named Niankhinpu, which found in his severely disturbed tomb. However, the object has never hitherto gained the attention of scholars. Therefore, the aim of this presentation is to highlight the results of the study conducted on the object to re-assess its archaeological context. The purpose is to suggest a plausible chronological placement of the stela within the Fifth Dynasty time, also considering its philological, epigraphic, and stylistic peculiarities. Furthermore, the presentation will advance some hypothesis concerning the socio-economic status of its owner Niankhinpu, a figure who is not mentioned in any other source.</t>
  </si>
  <si>
    <t>Funerary stela</t>
  </si>
  <si>
    <t>Niankhinpu</t>
  </si>
  <si>
    <t>Gebelein</t>
  </si>
  <si>
    <t>Università di Napoli "L'Orientale"</t>
  </si>
  <si>
    <t>svenja.kristina.damm@hu-berlin.de</t>
  </si>
  <si>
    <t>Svenja Kristina Damm</t>
  </si>
  <si>
    <t>Register and Speaker-Related Perspectives on Spatial Categories in a Late Osirian Liturgy</t>
  </si>
  <si>
    <t>Within narrative contexts, space does not merely function as a physical setting in which events unfold, but is perceived, described, and evaluated in strongly subjective ways by narrators or characters themselves. Representations of and interactions with space thus offer powerful means to guide the audience’s attention and shape their experience of specific surroundings.
This paper examines the narrative construction of space in an Early Ptolemaic ritual text from the Osiris Mysteries, the so-called Great Decree for the Igeret, performed during the annual Khoiak festival. Addressing Osiris’ journey to and through the Egyptian underworld (Igeret) on his way to becoming ruler of the Dead, the text presents the afterlife from multiple perspectives—both of those who mourn him and who eagerly await him. The liturgy is notable for its narrative qualities and the interplay of voices, offering diverse and sometimes ambivalent spatial viewpoints.
As part of my PhD research on linguistic variation in the Great Decree, this paper conducts a lexical-semantic analysis of speaker-related spatial expressions. It focuses on lexical items across different word classes that contribute to the construction of spatial perspective and on their deliberate arrangement, juxtaposition, and patterned distribution across different speaking voices. Drawing on the concept of “narrated space” as applied by Hutter &amp; Serova (2023), I argue that these configurations systematically evoke conceptually and emotionally charged associations such as vastness or confinement, movement or stillness, and affective qualities such as intimacy and detachment.
Finally, I discuss the strategic verbalization of space in liturgical language as a register phenomenon, understood as a situationally and functionally motivated selection from the available linguistic repertoire. From this perspective, spatial expressions emerge as a key resource for aligning narrative form, ritual performance, and communicative intent.</t>
  </si>
  <si>
    <t>Osirian liturgy</t>
  </si>
  <si>
    <t>Lexical semantics</t>
  </si>
  <si>
    <t>Humboldt-Universität zu Berlin</t>
  </si>
  <si>
    <t>geirrkhlunden@gmail.com</t>
  </si>
  <si>
    <t>Geirr Lunden</t>
  </si>
  <si>
    <t>Of Djed-pillars and yule-poles: Eric von Rosen’s curious interpretations of ancient Egyptian religion and their relevance for Egyptology today</t>
  </si>
  <si>
    <t>The folklorist James Frazer’s influence on the study of ancient religion is undeniable, but his presence in Egyptology is nonetheless nebulous. The recent biography of Christiane Desroches-Noblecourt written by Claudine Le Tourneur d’Ison, for example, demonstrates that she was deeply inspired by Frazer in her influential interpretation of Tutankhamun’s ‘chamber of rebirth’ which was not made as clear in Desroches-Noblecourt’s own publications due to the academic writing practices of the mid-20th century.
The Swedish ethnographer Eric von Rosen, however, provides one of the rare transparent applications of Frazer’s framework. In the 1920s, he developed his idea of ‘marsh people’ from studying certain African Batwa tribes and transposed this idea onto ancient Egyptian civilization via the then-developing study of prehistoric settlements along the Nile. Ancient Egyptian rituals were re-interpreted through their marshy origins, and while several of his theories are superficial, the general idea he presented is not far removed from current understandings of ancient Egyptian society and religion. One of the Frazer-inspired suggestions, however, proved too far-fetched for Egyptologists: that the similarities between the ritual raising of the Djed-pillar in Egypt, and the yule-pole (Julstång) raised at Christmas in Sweden might owe themselves to a meaningful historical connection.
In this paper, I will use von Rosen’s extreme Frazerian pan-humanist interpretation as a problematic example stemming from the same framework as many accepted interpretations of ancient Egyptian symbolic imagery. Despite the Egyptological disinterest in von Rosen’s arguments, Frazer’s theories meaningfully overlap with current understandings of ancient Egyptian art and religion – and the biographies of Egyptologists show that this is not accidental. The paper will evaluate the significance of their commonalities when interpreting depictions of the Nile marsh, and demonstrate that several current methods smuggle in significant theoretical baggage through their origin in late 19th century studies of ancient religion.</t>
  </si>
  <si>
    <t>Nile marsh</t>
  </si>
  <si>
    <t>Egyptological Theory</t>
  </si>
  <si>
    <t>Symbolic images</t>
  </si>
  <si>
    <t>University of Basel</t>
  </si>
  <si>
    <t>Norwegian</t>
  </si>
  <si>
    <t>Amera.seddik@bibalex.org</t>
  </si>
  <si>
    <t>Amira Elsayed</t>
  </si>
  <si>
    <t>The Dry Moat of the Saqqara Complex as a Sophisticated Measure for Flood Risk Mitigation</t>
  </si>
  <si>
    <t xml:space="preserve">The Djoser Funerary Complex at Saqqara represents a pivotal moment in architectural history, marking the first monumental transition from perishable mudbrick to hewn stone. While scholarship has traditionally focused on the Step Pyramid’s evolution, this paper examines the peripheral "Dry Moat"—a colossal trench approximately 30 meters deep and 40 meters wide—as a masterclass in early civil engineering and disaster risk management.
Framed within the context of Third Dynasty administration and daily site management, this study argues that the architect Imhotep utilized the moat as a proactive measure to ensure the complex’s sustainability and "eternity." The paper provides a comprehensive assessment of the hazards identified by Imhotep, specifically the topographical and climatic risks of the Saqqara plateau. Despite its location, the site was historically vulnerable to catastrophic Nil flooding.
Furthermore, the research explores the vulnerabilities inherent in the limestone. While stone promised durability, its foundations were susceptible to water erosion and structural instability. By designing the moat in the shape of the hieroglyphic sign pr ("House"), Imhotep conceptually and physically fortified the "House of Eternity." This paper analyzes the moat's function as a sophisticated catchment and diversion system, designed to intercept surface water before it could reach the central precinct.
Through an interdisciplinary lens of modern environmental mitigation theory and Egyptological analysis, this paper demonstrates that the Dry Moat was not merely a symbolic or quarrying feature, but a calculated engineering response to environmental threats. By integrating hazard assessment into the master plan of the complex, Imhotep established a legacy of architectural resilience that has preserved the site for five millennia, offering profound insights into the administrative foresight and technical genius of the Old Kingdom.
</t>
  </si>
  <si>
    <t>Saqqara complex</t>
  </si>
  <si>
    <t>Dry Moat</t>
  </si>
  <si>
    <t>Flood Mitigation</t>
  </si>
  <si>
    <t>Bibliotheca Alexandrina</t>
  </si>
  <si>
    <t>daniel.elcoat@uni-wuerzburg.de</t>
  </si>
  <si>
    <t>Daniel Michael Elcoat</t>
  </si>
  <si>
    <t>Royal Palaces, Governor Residences and Elite Mansions: Preliminary Findings from an Assessment of Palatial Buildings from Egypt’s Old to Middle Kingdom Periods</t>
  </si>
  <si>
    <t xml:space="preserve">Since their discovery, large New Kingdom royal palaces, which served simultaneously as centres of kingship and state administration, have dominated Egyptological research. At the same time, numerous governor or mayoral palaces from the Old and Middle Kingdom with grand columned secular spaces, notable occurrences of mud sealings attesting to administration, and elite paraphernalia such as statuary have also been identified at provincial sites. Such buildings, however, have received considerably less attention and their relation to large elite residences needs clarification. Earlier attempts to differentiated between the palaces of governors and private elite mansions based on a rigid architectural distinction were often misleading. Instead it might be more accurate to view these structures as part of a loosely defined graduating scale of elite architectural complexity. 
Based on these considerations, the lecture, drawing from the current doctoral research of the speaker, will demonstrate how the integration of the building plans, archaeological and textual evidence allows for the identification of specific aspects of the palaces of governing officials and sets them apart from royal palaces and large elite housing. For instance, compared to elite mansions, the design of governor/mayoral residences tends to express a greater desire to reinforce the singular power of local ruling families utilising visual and social markers alongside their prominent representational and administrative roles. Consequently, they demonstrate a comparable ideological role to royal palaces in the management and assertion of ruling power.
</t>
  </si>
  <si>
    <t>Governor Palaces</t>
  </si>
  <si>
    <t>Provincial elites</t>
  </si>
  <si>
    <t>Architecture</t>
  </si>
  <si>
    <t>Universität Würzburg - Lehrstuhl für Ägyptologie</t>
  </si>
  <si>
    <t>mohmed.gadelmoly@mu.edu.eg</t>
  </si>
  <si>
    <t>Mohamed Ragb Sayed</t>
  </si>
  <si>
    <t>Cryptic names of Osiris in Ptolemaic texts</t>
  </si>
  <si>
    <t xml:space="preserve">The god Osiris represents the backbone of ancient Egyptian religion.  In the temples of the Greco-roman period such as Edfou, Dendara and Esna Osiris has a great influence in texts. He was the kernel of most ceremonies and rituals. He was the provider, the protector, the leader, the peaceful, the noble, the defender. Life is his, eternity is his, every lasting is his, health is his, and youth is his. In just a few words he was” the fate of Egypt”. The subject of this paper discusses the cryptic orthography of the name of Osiris. As a lot of building and texts dedicated for Osiris, his name is frequently repeated in texts.  The passim appear of the name give the scribe all the freedom and imagination to write the name in different ways. Playing with words and using cryptography in compose the name is a familiar in Ptolemaic texts. The paper will shed light on the name of Osiris and its orthographies throw examine some documents. Try to find the relation between the text and the orthography of Osiris name.  </t>
  </si>
  <si>
    <t xml:space="preserve">Cryptography </t>
  </si>
  <si>
    <t xml:space="preserve">Osiris </t>
  </si>
  <si>
    <t xml:space="preserve">Orthography </t>
  </si>
  <si>
    <t>Minia university - Faculty of Arts - Archaeology dept.</t>
  </si>
  <si>
    <t>The god Osiris represents the backbone of ancient Egyptian religion. In the temples of the
Greco-roman period such as Edfou, Dendara and Esna Osiris has a great influence in texts.
He was the kernel of most ceremonies and rituals. He was the provider, the protector, the
leader, the peaceful, the noble, the defender. Life is his, eternity is his, every lasting is his,
health is his, and youth is his. In just a few words he was” the fate of Egypt”. The subject of
this paper discusses the cryptic orthography of the name of Osiris. As a lot of building and
texts dedicated for Osiris, his name is frequently repeated in texts. The passim appear of the
name give the scribe all the freedom and imagination to write the name in different ways.
Playing with words and using cryptography in compose the name is a familiar in Ptolemaic
texts. The paper will shed light on the name of Osiris and its orthographies throw examine
some documents. Try to find the relation between the text and the orthography of Osiris
name.</t>
  </si>
  <si>
    <t>Cryptography</t>
  </si>
  <si>
    <t>Orthography</t>
  </si>
  <si>
    <t xml:space="preserve">Minia university - Faculty of Arts - Archaeology department </t>
  </si>
  <si>
    <t>victorstar0106@gmail.com</t>
  </si>
  <si>
    <t>Chang Lu</t>
  </si>
  <si>
    <t>Royal and Private Practices of the Valley Festival in the Ramesside Period and Beyond</t>
  </si>
  <si>
    <t>The Valley Festival (Hb-int) of the New Kingdom was a two-day annual celebration held during the second month of the Harvest Season at the New Moon. The king led Amun’s statue from Karnak across the Nile through temples and Theban Necropolis, culminating at Deir el-Bahari. At private tombs, participants dispersed, made offerings and feasted. Scholarship largely focuses on the Eighteenth Dynasty, drawing primarily on reliefs at Hatshepsut’s mortuary temple and banquet scenes in elite tombs.
This study shifts attention to the Ramesside Period and beyond, examining changes in royal and private expressions. Royal procession imagery persisted under Ramesses II, notably in Karnak’s Great Hypostyle Hall, but was omitted by Ramesses III, when Medinet-Habu inscriptions record invocation, offerings and departure. In Nineteenth Dynasty Theban Tombs, depictions shift from banquet scenes to inscriptions emphasizing participation in Amun’s procession and offerings to ancestors. After Nineteenth Dynasty, private commemorations disappear, with the Valley Festival recorded only as a chronological marker of daily life in ostraca noting deliveries, rituals and oaths from Deir el-Medina.
From Ramesses IV, Valley Festival started to attest as pn-int, a designation that later became the name of a calendar month - Payni (Coptic pawni; Greek Παϋνί; Arabic بؤونه). From the Late Period to early Ptolemaic times, Payni corresponded to July to September; in Greco-Roman Period, it shifted to June. Annual Amun processions remained the defining feature of the Valley Festival, as in P. Survey 48: κατ' ένιαυτόν γινομέναις του Ἄμμωνος διαβάσεσιν (yearly crossings of Amun). Additionally, four Ptolemaic temple texts confirm Valley Festival’s persistence, possibly integrated with the Decadal Festival.
Overall, this study employs a diachronic analysis of the royal and private evidence discussed above to examine the Valley Festival during the Ramesside Period and to trace its subsequent transformations in designation, date and activities after the New Kingdom.</t>
  </si>
  <si>
    <t>Valley Festival</t>
  </si>
  <si>
    <t>Ramesside Period</t>
  </si>
  <si>
    <t>Festival activities</t>
  </si>
  <si>
    <t>清水麻里奈</t>
  </si>
  <si>
    <t>Between Malefactor and Benefactor: Ptolemy VIII and Animal Cults</t>
  </si>
  <si>
    <t>Animal cults were among the most visible and economically consequential religious phenomena in ancient Egypt. From the Late Period onward, and especially under the Ptolemies, the production of votive animal mummies expanded widely: necropolises were enlarged, catacombs excavated, and pottery, wood and stone containers and sarcophagi manufactured across the Nile Valley. Yet the political mechanics of these cults—their local organization, royal engagement, and the meanings attached to “support” for sacred animals—remain unevenly understood.
This presentation re-examines animal cults under Ptolemy VIII (Euergetes II), a ruler often reduced to the Greek and Roman caricature of “Physcon.” Rather than attempting moral rehabilitation, this study investigates how Ptolemy VIII positioned himself between malefactor and benefactor by engaging with Egyptian religious institutions through measures that targeted the fiscal and ritual infrastructure of animal cults.
Focusing on the Apis bull and the ibis cult, and combining epigraphic and documentary evidence with archaeological perspectives on animal necropolis, the analysis suggests that royal “benefaction” operated less as charity than as a strategy of negotiation: managing costs, obligations, and institutional interests to secure legitimacy amid internal conflict. More specifically, it suggests that royal interventions could both ease local bottlenecks and reshape the terms on which temples and cult personnel operated. This perspective moves beyond the simple choice between “cruel” and “generous” and helps explain why sacred animals were important not only for religion but also for the way the kingdom was run.</t>
  </si>
  <si>
    <t>Ptolemaic Egypt</t>
  </si>
  <si>
    <t>Ptolemy VIII</t>
  </si>
  <si>
    <t>Animal Cults</t>
  </si>
  <si>
    <t>nishibata.waseda@gmail.com</t>
  </si>
  <si>
    <t>Izumi Nishibata</t>
  </si>
  <si>
    <t>Categorical Perception of Red-Coated Open Ware in Old Kingdom Giza</t>
  </si>
  <si>
    <t>Within the pottery assemblage of the Old Kingdom, a distinct category of high-quality pottery is characterized by red-coated and polished/burnished surfaces. Among these, the "Meidum bowl" has been the primary focus of attention due to its diagnostic rim shape and widespread distribution. While some studies suggest that Meidum bowls were manufactured by highly specialized potters, other red-coated wares remain comparatively under-researched. This paper aims to clarify the "categorical perception" of open-form pottery during this period, serving as a preliminary step to identifying other forms produced under similar specialized conditions. This is because previous studies have focused on vessels arbitrarily classified as "Meidum bowls" by modern researchers. To truly understand how specific vessels were perceived and utilized within their original socio-cultural context, it is essential to reconstruct the emic categorical perceptions of the period.
The methodology employs a two-tiered approach, integrating quantitative and qualitative analyses of 839 vessels from Old Kingdom Giza. First, statistical methods are used to examine three aspects: 1) chronological transitions in morphology; 2) the frequency and diachronic shifts in surface treatments; and 3) the correlation between wall thickness and finishing techniques. Second, a qualitative analysis of archaeological contexts is conducted to determine whether different pottery types were functionally categorized together in antiquity.
The results reveal similarities between Meidum bowls and bent-sided bowls regarding their chronological distribution, surface treatments, and depositional patterns. These findings suggest that in Old Kingdom Giza, these two forms may not have been significantly distinguished within the broader category of red-coated open vessels. While it is premature to conclude that bent-sided bowls were also produced by specialized groups, this research offers a new perspective on the organization of ceramic production during the Old Kingdom.</t>
  </si>
  <si>
    <t>Categorical Perception</t>
  </si>
  <si>
    <t>Meidum bowl</t>
  </si>
  <si>
    <t>Waseda University</t>
  </si>
  <si>
    <t>a.wezranowska@student.uw.edu.pl</t>
  </si>
  <si>
    <t>Ania Weźranowska</t>
  </si>
  <si>
    <t>A spatial analysis of daily life pottery vessels from Tell el-Retaba</t>
  </si>
  <si>
    <t>Since 2007, Polish-Slovak excavations at the site of Tell el-Retaba in the Wadi Tumilat have yielded large amounts of daily use pottery vessels, a significant portion of which comes from a settlement of the early 18th Dynasty (ca. 1550-1400 BC). Several houses of the period have been unearthed, along silos, courtyards and other architectural features, providing ceramics with valuable context and making them suitable for exhaustive analysis.
However, no in-depth study of the pottery material has been undertaken yet; this is why I have chosen it to be the subject of my PhD thesis. For this, I have taken a functional approach, trying to reconstruct the role vessels played in the everyday life of ordinary people inhabiting the site of Tell el-Retaba. After having divided the material into typological groups and researched the potential function of each, the next step of the work was to analyze the broad context of the pottery, and especially its spatial distribution. I have based my analyses on the concept of activity areas, which assumes that the location of artefacts in a certain place directly reflects a particular human activity. The location of vessels was recorded as precisely as possible and similar areas (rooms, houses, …) or types of contexts (dumps, floors, …) were compared statistically. This in turn enabled the localization of diverse activities taking place at the site. The results of these investigations will be the subject of my presentation.</t>
  </si>
  <si>
    <t>pottery</t>
  </si>
  <si>
    <t>activity areas</t>
  </si>
  <si>
    <t>Doctoral Student, Pre-Doc Researcher</t>
  </si>
  <si>
    <t>anetaskalec@gmail.com</t>
  </si>
  <si>
    <t>Aneta Skalec, Wojciech Ejsmond, Julia Chyla, Jakub Stępnik</t>
  </si>
  <si>
    <t>Mapping Pathyris: Integrating 3D Urban Modelling with Papyrological Databases</t>
  </si>
  <si>
    <t>Pathyris (Per-Hathor), a provincial Egyptian town located approximately 30 km southwest of Luxor in the Gebelein micro-region, is well known for its exceptionally rich corpus of Greek and Demotic papyri and ostraca dating to the Ptolemaic period. Thousands of texts originating from the site—belonging to the archives of the local temple, the notarial office, and, above all, to ordinary families residing in the town—offer a unique insight into the socio-economic realities of Ptolemaic society.
Despite its prominent visibility in written sources, Pathyris long remained poorly understood from an archaeological perspective. The Ptolemaic Pathyris Project, which integrates archival documentation with geospatial data and targeted archaeological surveys, has made it possible to reconstruct the town’s layout, including the temple precinct and elements of domestic architecture.
This paper presents the results of the project in the form of a 3D reconstruction of the town, integrated with a Digital Elevation Model and a dedicated papyrological database containing topographical information extracted from written sources, such as street and district names as well as the identities of house owners. Pathyris thus represents one of the rare cases of an ancient town where, thanks to the exceptional richness of the sources, it is possible to view the Ptolemaic urban landscape through the eyes of its inhabitants and to recover the names of the people who lived there.</t>
  </si>
  <si>
    <t>Pathyris</t>
  </si>
  <si>
    <t>3D</t>
  </si>
  <si>
    <t>Institute of Mediterranean and Oriental Cultures of the Polish Academy of Sciences</t>
  </si>
  <si>
    <t>alixsabot@orange.fr</t>
  </si>
  <si>
    <t>Alix SABOT</t>
  </si>
  <si>
    <t>Tooth-eating worms in ancient Egypt?</t>
  </si>
  <si>
    <t>In many ancient and modern civilisations, it was commonly believed that tooth decay and periodontitis were caused by worms living in the teeth. It was not until the American dentist and microbiologist Willoughby Dayton Miller (1853-1907) that this belief was definitively rejected. However, traces of it remain in modern language, such as in Japanese, where the term 虫歯 mushiba “tooth decay” combines 虫 mushi “worm/insect” and 歯 ha “tooth”. The Mesopotamian and Egyptian civilisations, considered by many modern researchers to be the origin of the belief in tooth worms, mention these worms that devour human teeth in their writings. The aim of this presentation will be, first, to understand the reasons for the belief in tooth worms in Mesopotamia and Egypt based on the observation of dental caries by scholars of the time. Secondly, we will analyse the vocabulary and semantic context of these texts relating to tooth worms. In this talk, we will review the Babylonian myth of ‘The Legend of the Worm’, but we will focus mainly on the Anastasi and Kahun papyri, which are the only Egyptian documents to explicitly mention the presence of worms in teeth. These two papyri name two worms responsible for dental ailments: fnT and bTw, two names that are respectively linked to putrefaction and evil. These two names of worms, and in particular fnT, allow us to place the belief in dental worms in a broader context, that of the decomposition of the human body by demonic worms, leading to its destruction and thus to the definitive death of the individual.</t>
  </si>
  <si>
    <t>Worm</t>
  </si>
  <si>
    <t>Tooth</t>
  </si>
  <si>
    <t>Dentistry</t>
  </si>
  <si>
    <t xml:space="preserve">University of Montpellier Paul Valéry (France), laboratory ASM (UMR 5140), ENiM team, doctoral school n°60 </t>
  </si>
  <si>
    <t>amany.shabaan@alexu.edu.eg</t>
  </si>
  <si>
    <t>Amany Shabaan Mohamed</t>
  </si>
  <si>
    <t>Corpus of Hellenistic Pottery from Canopus on the Eastern Coast of Alexandria</t>
  </si>
  <si>
    <t xml:space="preserve">This study presents a comprehensive corpus of Ptolemaic tableware and cooking vessels found at the ancient site of Canopus, situated near modern Abu Qir, approximately 20 km east of Alexandria on Egypt’s Mediterranean coast.
Canopus occupied a strategic position at the Canopic branch of the Nile, and archaeological evidence indicates continuous occupation from the Late Pharaonic period (6th–5th centuries BC). In the early Hellenistic period (late 4th–early 3rd centuries BC), a substantial Greek foundation was established at the site under Ptolemy I, reflecting an early phase of urban and economic development in the Delta.
Archaeological remains include a massive public cistern, a large Doric-style monument ¬_likely a temple_ along with domestic structures with painted plaster walls and private baths, all attesting to the wealth and urban planning of the city. 
The ceramics assemblage recovered from this occupation and funerary contexts provides significant evidence for local production traditions, functional typology, and exchange networks during the early Ptolemaic period. The material illustrates the interaction between Egyptian and Hellenistic ceramic traditions, reflecting the cultural and economic dynamics of this major coastal center
</t>
  </si>
  <si>
    <t xml:space="preserve">Hellenistic Pottery </t>
  </si>
  <si>
    <t xml:space="preserve">Canopus </t>
  </si>
  <si>
    <t xml:space="preserve">cooking vessels </t>
  </si>
  <si>
    <t>beth.wang@yale.edu</t>
  </si>
  <si>
    <t>Beth Wang</t>
  </si>
  <si>
    <t>Hairdos and Doings: Materiality, Craft, and Embodiment in Ancient Egyptian Wigs</t>
  </si>
  <si>
    <t xml:space="preserve">This paper argues that ancient Egyptian hair and wig technologies should be understood as forms of embodied craft that actively produced the self, rather than as decorative or peripheral objects. The material and technical sophistication of wig-making has been well documented through modern reconstruction and cataloguing, but wigs have rarely been interpreted alongside the textual and visual sources that illuminate their use in lived contexts. By reframing hair through embodiment theory, I propose that wigs functioned as technologies of the body: practices through which Egyptians shaped and reimagined the self.
Statues of individuals wearing wigs, tomb scenes of hairdressing, and poetic descriptions of a beloved’s hair reveal hair as a site of transformation and social meaning. Rather than treating wigs as static markers of status or fashion, this paper approaches them as dynamic interfaces between material practice and bodily experience. Drawing on evidence from the Old, Middle, and New Kingdoms, I examine how wigs reshaped the body in accordance with aesthetic and spiritual ideals, participating in broader processes of self-fashioning and becoming.
Situating wig use within theories of embodiment allows us to understand hair not simply as ornament, but as a medium through which identity was enacted and made legible. This approach treats hair as a locus where craft, sensory experience, and representation intersect, mediating between the physical body and its social and ritual aspirations. In doing so, the paper foregrounds hair as central to Egyptian conceptions of personhood and transformation not only in life but in funerary and ritual settings. 
</t>
  </si>
  <si>
    <t xml:space="preserve">Art History </t>
  </si>
  <si>
    <t xml:space="preserve">Daily Life </t>
  </si>
  <si>
    <t xml:space="preserve">The Body </t>
  </si>
  <si>
    <t xml:space="preserve">USA </t>
  </si>
  <si>
    <t>lunabeerden@telenet.be</t>
  </si>
  <si>
    <t>Luna Beerden</t>
  </si>
  <si>
    <t>Life in a Changing Landscape: Activity Patterns in Predynastic Egypt and A-Group Nubia</t>
  </si>
  <si>
    <t xml:space="preserve">The fourth to third millennium BC Nile Valley was characterised by profound transformations at several levels, including political and socioeconomic, with ongoing sedentarisation and increasing social complexity changing the landscape of everyday life. Such changes did not only express themselves in the archaeological record of these early communities, but also left a noticeable imprint on the skeletal remains of the individuals who composed them - making their analysis highly valuable. Since bone is a dynamic tissue that remodels over time, and can thus capture habitual patterns of movement as they relate to, for example, one’s occupation, much information can be gleaned from the detailed study of a bone’s “loading history”. Here, a 3D-modelling cross-sectional geometry (CSG) approach is presented to examine patterns of physical activity, or embodied labour, by the creation of digital models of skeletal elements using a handheld 3D-scanner (ARTEC Space Spider). Through a case study of 58 individuals from Predynastic Egypt (Naqada and Tarkhan) and A-Group Nubia (Scandinavian Joint Expedition to Sudanese Nubia (SJE) sites 25, 95, 277 and 401) a closer look will be taken at the added value of activity level analysis within archaeological research, particularly regarding the study of ancient Egypt. By looking at the broader framework - both osteological and historical - what can be discerned about activity patterns and their relation to factors such as status, gender, and geography, or changing diachronic realities? </t>
  </si>
  <si>
    <t>Prehistoric Nile Valley</t>
  </si>
  <si>
    <t>Physical Activity</t>
  </si>
  <si>
    <t>3D-modelling</t>
  </si>
  <si>
    <t>leah_neiman@brown.edu</t>
  </si>
  <si>
    <t>Leah Neiman</t>
  </si>
  <si>
    <t>Kinship before Kingship: Food production and consumption as locally mediated practices in Middle Kingdom settlements at Tell el-Dab’a</t>
  </si>
  <si>
    <t xml:space="preserve">The Middle Kingdom (c.2050-1750 BCE) has produced a proliferation of archaeologically attested settlements that have been traditionally taken as evidence for the direct involvement and authority of the king in shaping the daily lives of Egyptians. Integral to such narratives is the assumption that Egyptians were dependent on and absolutely controlled by a centralized royal administration. I use the archaeological evidence for food storage, production, and consumption in the Middle Kingdom settlements at Tell el-Dab’a to demonstrate that resource management was organized at a local level and informed most immediately by the socio-economic structure(s) of inhabitant communities. The corpus of evidence I drawn on includes agricultural tools, ceramic bread molds and storage containers, architectural installations for grain storage and cooking, and faunal remains.
This study presents results from a larger, ongoing project that challenges assumptions about the totality of royal power and its omnipresence in daily life within Pharaonic settlements. Analysis of the composition and spatial patterning of subsistence materials and resources supports the hypothesis that inhabitants engaged in subsistence activities and modified architecture in ways that primarily reflected their immediate social, political, and environmental factors rather than external direction from the royal administration. This paper demonstrates that taking a data-driven, archaeological approach to understanding the evolution of Middle Kingdom settlements allows patterns to emerge that attest to ways of life without being filtered through the lens of kingship – either by ancient records or modern scholars.
</t>
  </si>
  <si>
    <t>Settlement Archaeology</t>
  </si>
  <si>
    <t>Community organization</t>
  </si>
  <si>
    <t>Joukowsky Institute for Archaeology and the Ancient World, Brown University</t>
  </si>
  <si>
    <t>zuzka.nev@seznam.cz</t>
  </si>
  <si>
    <t>Zuzana Nevyjelova</t>
  </si>
  <si>
    <t>Kohl equipment from the non-elite secondary cemetery at Djedkare’s Necropolis in South Saqqara</t>
  </si>
  <si>
    <t>Cosmetic equipment relating to the usage of kohl is regularly found at non-elite cemeteries, be it Predynastic palettes, kohl jars, kohl tubes, or kohl sticks. Objects relating to the manufacturing and application of kohl developed over time, with kohl containers and sticks only appearing in the Middle Kingdom, first as simple kohl jars, later also as kohl tubes, and obtaining more intricate decoration. Some of the decoration development can be pinpointed to a certain time period, with more types of kohl tubes emerging throughout the New Kingdom and later.
The paper focuses on kohl equipment found at the non-elite secondary cemetery at Djedkare’s Necropolis, where many kohl jars, sticks, and several kohl tubes were found. It will shortly go over the whole assemblage, focusing more on a select few objects for their unique nature. A few of the kohl tubes show abnormalities among their types, one of them so far without a parallel. These abnormalities and their possible interpretations will be discussed in detail. The assemblage as a whole will then be compared to other non-elite cemeteries in the Memphite region, focusing on the number of objects, the variety of the equipment, and their implications on the communities buried there.</t>
  </si>
  <si>
    <t>kohl</t>
  </si>
  <si>
    <t>non-elite cemetery</t>
  </si>
  <si>
    <t>Czech Institute of Egyptology, Charles University</t>
  </si>
  <si>
    <t>Jerryklh@liverpool.ac.uk</t>
  </si>
  <si>
    <t>Jerry Ho</t>
  </si>
  <si>
    <t>"The Divine World beyond Egypt: The Tale of Sinuhe and Middle Kingdom Expeditionary Inscriptions"</t>
  </si>
  <si>
    <t>This presentation examines The Tale of Sinuhe as a literary reflection on Egyptian religious concepts about travel  and survival beyond Egypt, which were often seen as chaotic. In Middle Kingdom expeditionary inscriptions, such as those from Wadi Hammamat, moments of danger are usually recounted as being overcome through the assistance of the gods like Min. The Tale, however, presents a different scene of rescue. When Sinuhe is dying of thirst during his flight, he is saved not by a god but by a boy who gives him water and milk and brings him to his tribe. The boy is likely a foreigner, placing the episode in a border zone where survival depends on human rather than divine help.
The difference becomes significant in the poem’s wider themes. The Tale adopts the form of a tomb biography, a genre usually marked by divine favour and loyalty to Egyptian ideology, but then unsettles it. While expeditionary texts present foreign landscapes as places where gods continue to protect their people, the poem removes divine action at a key moment and replaces it with foreign kindness. This fits with the poem’s positive portrayal of foreigners and its interest in what life outside Egypt might be like.
This presentation argues that this episode highlights a tension between human and divine help. Although Sinuhe eventually returns to Egypt - much like expedition texts that stress a safe return without loss - the silence of the gods shows how uncertain Egyptian religious identity becomes beyond the borders. This uncertainty may explain why in reality expeditionary texts often emphasise prayers to the gods: when Egyptians travelled far from their homeland, they felt a stronger need for divine protection. Rather than functioning as royal propaganda, the Tale is also a literature questioning how Egyptian divine order functions beyond Egypt.</t>
  </si>
  <si>
    <t>The Tale of Sinuhe</t>
  </si>
  <si>
    <t>Wadi Hammamat</t>
  </si>
  <si>
    <t>Expeditionary Inscriptions</t>
  </si>
  <si>
    <t>the United Kingdom</t>
  </si>
  <si>
    <t>Hong Kong</t>
  </si>
  <si>
    <t>semenenko.illia99@gmail.com</t>
  </si>
  <si>
    <t>Illia Semenenko</t>
  </si>
  <si>
    <t>Riverine terminology in the names of personifications of the Old Kingdom mortuary domains</t>
  </si>
  <si>
    <t>The personifications of the mortuary domains of the Old Kingdom play a crucial role in the self-representational decorum system of the tomb. They play an important role in constructing an idealized image of the real world in which the deceased tomb owner spent his life. The names of the personifications constitute a valuable source of textual information concerning the nature of the domains, their produce, affiliation, or administrative ties. Jacquet-Gordon divided the corpus of the names into three different groups. These include the “spontaneous” names, or local toponyms, names including the royal names and those of non-royal individuals. Among the names of the first group, a distinct cluster of names can be distinguished, all of which include various riverine terminologies. The terms iw “island”, ra- “mouth (of)”, SA/S “pond”, “marsh” and few others can be found in the names of the personifications from the walls of non-royal tombs in the Memphite necropolis. Their number steadily increases throughout the Old Kingdom, reaching its heights during the 5th Dynasty, until the river terminology disappeared from the names of mortuary domains dating back to the 6th Dynasty. This striking difference coincides chronologically with a major ancient climate change known as the 4.2 BP event. The paper discusses the role of aquatic landscapes in the Ancient Egyptian mortuary economy of the Old Kingdom. The evidence of possible influence of the climate change on the functioning of the Old Kingdom mortuary domains is examined, as seen through the idealised world of their personifications on the tomb reliefs.</t>
  </si>
  <si>
    <t>domains</t>
  </si>
  <si>
    <t>river</t>
  </si>
  <si>
    <t>Czech Institute of Egyptology, Charles University, Prague</t>
  </si>
  <si>
    <t>Ukraine</t>
  </si>
  <si>
    <t>sathorpenz@gmail.com</t>
  </si>
  <si>
    <t>Susan Thorpe</t>
  </si>
  <si>
    <t>Military duties, responsibilities and an assassiMilitary duties, responsibilities and an assassination plot: the extra dimension found in ancient Egyptian personal correspondence.Military duties, responsibilities and an assassination plot: the extra dimension found in ancient Egyptian personal correspondence.Military duties, responsibilities and an assassination plot: the extra dimension found in ancient Egyptian personal correspondence.Military duties, responsibilities and an assassination plot: the extra dimension found in ancient Egyptian personal correspondence.nation plot: the extra dimension found in ancient Egyptian personal correspondence.</t>
  </si>
  <si>
    <t xml:space="preserve">Military duties, responsibilities and an assassination plot: the extra dimension found in ancient Egyptian personal correspondence.   
While current and previous research has provided considerable information regarding ancient Egyptian military campaigns, equipment, rank and custom, this has come primarily from reliefs, inscriptions and military scribal documents. The personal touch found in private correspondence gives an extra dimension to these visual representations and official textual documents. This is evidenced in the following selection of letters dated to the Nineteenth and Twentieth Dynasties. The first pieces of correspondence from this timeframe provide first-hand information about the responsibilities of a soldier’s life in society when not involved in active service. Additionally their content provides personal background for the individuals involved, as well as reflecting their thoughts and attitudes regarding the tasks allotted to them. Still in a military context the letters from the Twentieth Dynasty reveal an ancient Egyptian assassination plot. They contain orders from a high-ranking general to several recipients. He instructs them, in letters addressed to each individual personally, how they should kill two policemen and have them thrown into the river by night. By its discussion of these pieces of personal correspondence this paper will illustrate the importance of letters as primary sources regarding ancient Egyptian life. In these instances they provide details about a soldier’s life away from the battlefield and an assassination conspiracy – information that would otherwise have remained unknown. </t>
  </si>
  <si>
    <t>Personal letters</t>
  </si>
  <si>
    <t>soldiers' lives</t>
  </si>
  <si>
    <t>assassination plot</t>
  </si>
  <si>
    <t>University of Auckland</t>
  </si>
  <si>
    <t>European New Zealand citizen</t>
  </si>
  <si>
    <t>jason_silvestri@berkeley.edu</t>
  </si>
  <si>
    <t>Jason Silvestri</t>
  </si>
  <si>
    <t>Social Consensus and Oracular Law in the Libyan Period</t>
  </si>
  <si>
    <t xml:space="preserve">Oracular judgment in Libyan Period Egypt (Dyns. XXI-XXIV, ca. 1070–715 BCE) is conventionally framed as a theocratic practice in which priests manipulated divine authority to impose legal outcomes. This paper challenges that model through a mechanical analysis of oracular legal procedures, arguing that oracular law operated following a less-hierarchical consensus-based socio-political logic rather than as an instrument of top-down state or temple control.
Libyan Period oracular sources rarely present the god as speaking. Instead, oracular legal decisions are expressed through embodied, and materially mediated acts of assent (wšd): most commonly the god’s ‘nodding’ (hnn) in approval or the god’s ‘arbitration’ (wḏꜥ) of two papyrus-books. Priests perform these acts of assent within highly formalized public rituals. I argue that the authority of these judgments derived not from priestly interpretation of divine will, but from their recognition by an assembled audience of institutional actors, litigants, and witnesses. Oracular proceedings thus served to render ownership of property, inheritances, and immunities, socially binding amidst a politically fragmented landscape characterized by limited centralized royal enforcement.
Ethnographic parallel allows Egyptian oracular law to be compared with modalities of non-state ritual jurisprudence. Drawing upon the ethnography of pre-colonial and 20th century Amazigh customary legal (izirf) practices, such as the ‘trial by collective oath’ (tagallit), a largely consensus-oriented public ritual, audience participation and embodied assent are shown transculturally to stabilize legal outcomes without reliance on coercive state power. Read in this light, oracular judgment in the Libyan Period emerges not as priestly manipulation, but as a participatory legal technology for institutionalizing social agreement under conditions of political plurality.
</t>
  </si>
  <si>
    <t>Libyan Period Social History</t>
  </si>
  <si>
    <t>Comparative Ethnography of Law</t>
  </si>
  <si>
    <t>Oracular Performance</t>
  </si>
  <si>
    <t>I will be an independent researcher, as I will have finished my PhD (in May), and thus will be unfunded until Oct. 2026, when I will begin a post-doc position. As such, I'd like to apply for financial support, if possible.</t>
  </si>
  <si>
    <t>nagwabakr81@gmail.com</t>
  </si>
  <si>
    <t>Nagwa Bakr</t>
  </si>
  <si>
    <t>Nagwabakr81@gmail.com</t>
  </si>
  <si>
    <t>Bridging Past and Present: Social Practices in Ancient Egypt and Their Relevance to Modern Community Engagement</t>
  </si>
  <si>
    <t>This study explores how social practices in Ancient Egypt can inform contemporary approaches to community engagement, particularly within the context of modern Egyptian society. Understanding everyday behaviors in the past is crucial not only for Egyptology but also for fostering meaningful connections between the public and museum collections. The research addresses the question: How can insights from Ancient Egyptian daily life guide current practices in social interaction and community-focused museum programs? By situating ancient social behaviors alongside observations from modern community initiatives, the study aims to highlight structural similarities that arise under comparable social and environmental conditions, without assuming direct cultural continuity.
The methodology combines an interdisciplinary comparative approach with material and archaeological evidence from Ancient Egypt, including domestic spaces, communal structures, and everyday objects, examined alongside ethnographic insights and practical experiences from modern museum outreach programs. This approach allows for a nuanced understanding of recurring social strategies, such as mechanisms of community cohesion, informal social regulation, and expressions of collective identity, and considers how these strategies adapt to shifting historical and social contexts.
Expected findings include the identification of patterns in social behavior that resonate across time, demonstrating how lessons from ancient societies can inform contemporary engagement practices. By placing ancient evidence in dialogue with modern social contexts, the study contributes to broader discussions on daily life, social identity, and the role of public institutions in interpreting and communicating Egyptology to diverse audiences. It also reflects on the methodological challenges of bridging historical and modern perspectives, emphasizing the importance of thoughtful, context-aware comparison. Through this research, community engagement in museums can be informed by the enduring relevance of social structures and practices, reinforcing the connection between past and present for both scholars and the public</t>
  </si>
  <si>
    <t>Ancient Egyptian Daily Life</t>
  </si>
  <si>
    <t>Social Practices</t>
  </si>
  <si>
    <t>Community Engagement</t>
  </si>
  <si>
    <t>National Museum of Egyptian Civilization- Director of Training dept</t>
  </si>
  <si>
    <t>okb623@stu.kanazawa-u.ac.jp</t>
  </si>
  <si>
    <t>Mutsumi Okabe</t>
  </si>
  <si>
    <t>From Embodied Use to Recontextualization: Contextual Mobility and the Identity of Religious Objects in Roman Egypt</t>
  </si>
  <si>
    <t xml:space="preserve">　This paper examines how religious objects in Roman Egypt acquired and transformed identities through contextual mobility, focusing on the transition from domestic devotional use to funerary deposition. Recent scholarship has emphasized embodiment and practice, reframing religious meaning and object identity as processes generated through human–object interaction (Di Biase-Dyson et al. 2025). In contrast, studies of religious objects in Roman Egypt have remained largely focused on iconography and stylistic hybridity, despite long-standing recognition that such objects acquired multiple meanings as they moved between temples, domestic spaces, and tombs (Riggs 2006; Jiménez 2014; Swift et al. 2021). While Boozer (2019) demonstrated the continuity between domestic and funerary contexts and the role of everyday objects in memory and identity formation, the embodied engagement with religious objects prior to burial has received limited attention.
　This paper approaches the contextual mobility of religious objects in Roman Egypt through the use-histories of Isis-Aphrodite terracotta figurines from the catacomb at North Saqqara excavated by a Japanese Egyptian Mission. Previous wear-trace analysis based on high-resolution 3D modeling has identified concentrated surface wear on these figurines, indicating repeated tactile actions such as rubbing and holding prior to burial. These findings provide empirical evidence that the figurines were engaged in embodied devotional practices in non-funerary contexts. Building on this evidence, this paper reframes the transition of religious objects into funerary contexts not as a rupture in meaning or reuse, but as a process of recontextualization grounded in accumulated embodied practice. Tactile relationships formed in domestic religious settings were not erased by burial, but were reconfigured and layered as mediators of memory, protection, and identity. By theorizing object identity through the interplay of embodied use and contextual mobility, this study contributes to shifting discussions of cultural hybridity in Roman Egypt from visual mixture toward the reconfiguration of lived religious experience.
</t>
  </si>
  <si>
    <t>Embodied Religious Practice</t>
  </si>
  <si>
    <t>Contextual Mobility</t>
  </si>
  <si>
    <t>Graduate School of Human and Socio-Environmental Studies, Kanazawa University, Japan</t>
  </si>
  <si>
    <t>i.marthot-santaniello@unibas.ch</t>
  </si>
  <si>
    <t xml:space="preserve">Isabelle Marthot-Santaniello </t>
  </si>
  <si>
    <t>Investigating the writing culture of Greco-Roman Egypt in the digital age: updates from the EGRAPSA project</t>
  </si>
  <si>
    <t xml:space="preserve">Digital and computational approaches have opened new avenues of research on the material preserved from Ancient Egypt. The promotion of Open Science invites researchers to think about the boundaries of traditional disciplines anew. In the meantime, research budgets are increasingly constrained, while the sustainability of digital resources poses new challenges. In this context of innovation, it seems crucial to encourage discussions of current digital practices and exchanges among researchers, not only about promising directions but also about potential pitfalls.      
The goal of this talk is to present the recent developments of the research project ‘EGRAPSA: Retracing the evolutions of handwritings in Greco-Roman Egypt thanks to digital palaeography’. Started in May 2023 and running for five years, the project investigates the writing culture of Hellenistic and Roman Egypt by gathering solid evidence on the diverse kinds of handwriting encountered on Greek papyri in terms of date, location, text type and writer skills. The presentation will focus on the methodological choices for selecting relevant data (papyri and their digital images), structuring and storing metadata in the online interface Nodegoat according to the FAIR principles (Findability, Accessibility, Interoperability, and Reuse), analyzing paleography in an objective and reproducible manner, and leveraging recent advances in Computer Vision to use Artificial Intelligence as a powerful assistant to the historian and paleographer (automatic detection and recognition of Greek characters, similarity measurement between patterns, writing movement reconstruction and comparison). By sharing the lessons learnt in recent years, we hope to be useful to specialists of Greco-Roman Egypt, as well as to any researcher interested in the writing culture of Egypt and/or in the application of Artificial Intelligence to images of Cultural Heritage artifacts.
</t>
  </si>
  <si>
    <t>Digital approaches</t>
  </si>
  <si>
    <t>hind.yassin@gem.eg</t>
  </si>
  <si>
    <t xml:space="preserve"> Hend Yassin</t>
  </si>
  <si>
    <t>An Integrated Scientific and Analytical Approach to the Conservation and Exhibition of Thutmose III’s Mummy Shroud</t>
  </si>
  <si>
    <t>This study presents an integrated analytical approach to the conservation and exhibition of the linen mummy shroud of King Thutmose III (GEM 18210), dating to the New Kingdom, 18th Dynasty (1479–1425 BC). The shroud, measuring approximately 4.5 m in length and 1.7 m in width, bears selected chapters from the Book of the Dead, incorporating the royal cartouches and is surmounted by a decorative band in shades of blue and yellow, incorporating the royal cartouches. The shroud has been displayed to the public for the first time at the Grand Egyptian Museum as part of the Valley of the Kings Cave in the main galleries. The shroud had been mounted on an acidic cardboard support using inappropriate adhesive materials, which contributed to fabric discoloration and structural weakening. A multidisciplinary analytical approach was adopted, combining visual assessment with non-destructive and micro-destructive techniques, including X-ray fluorescence (XRF), Raman spectroscopy, and Fourier Transform Infrared Spectroscopy (FTIR), to identify textile fibres, pigments, inks, and to assess the overall condition of the shroud. The analytical results confirmed the use of orpiment (yellow) and Egyptian blue pigments in the upper decorative band, while Manganese Dioxide black ink was identified in the inscriptions. The analyses further demonstrated that the acidic cardboard backing, and adhesive were major factors in the deterioration of the textile. These findings directly informed the conservation strategy, which involved the careful removal of the acidic support, stabilization and reinforcement of fragile areas, and finally the design of a customized, secure textile mount suitable for the shroud’s large dimensions. The study highlights the effectiveness of integrating scientific analysis with preventive and interventive conservation measures. This research offers a methodological model for the examination, conservation, and exhibition of large, sensitive archaeological textiles in museum contexts.</t>
  </si>
  <si>
    <t>Mummy shroud</t>
  </si>
  <si>
    <t>Exhibition</t>
  </si>
  <si>
    <t xml:space="preserve">The Grand Egyptian Museum </t>
  </si>
  <si>
    <t>hazem_farrag@art.asu.edu.eg</t>
  </si>
  <si>
    <t>Hazem Farrag</t>
  </si>
  <si>
    <t>Sinuhe as a Narrative of Paranoia</t>
  </si>
  <si>
    <t xml:space="preserve">The Tale of Sinuhe has traditionally been read as a narrative of exile, identity, and loyalty to royal authority. This article proposes a different interpretation by approaching the text as a narrative of paranoia, in which fear is not a reaction to an actual threat, but a powerful imagined force that governs behavior, movement, and self-perception.
The study argues that Sinuhe’s sudden flight is not caused by concrete danger or royal punishment, but by uncertainty and the anticipation of possible risk within a highly centralized and opaque political system. Throughout the narrative, fear functions as a continuous internal condition rather than a temporary response, shaping Sinuhe’s decisions, bodily reactions, and repeated attempts at self-justification. His constant vigilance and explanatory tone reflect a state of persistent alertness, in which imagined threats become as influential as real ones.
Through close textual analysis of the language of anxiety, hesitation, and emotional self-regulation, this article demonstrates that paranoia operates as a narrative structure rather than a psychological diagnosis. Displacement does not resolve Sinuhe’s fear; instead, it merely relocates it. Resolution occurs only with his return to Egypt, where institutional order replaces uncertainty, even when that order remains strict and hierarchical.
By shifting the focus from exile to emotional governance, this reading presents the Tale of Sinuhe as an early literary exploration of how fear and imagined danger shape human behavior under centralized systems of governance. The article offers a new interpretive framework for one of the most studied texts of ancient Egyptian literature and contributes to broader interdisciplinary discussions on emotion, power, and uncertainty.
</t>
  </si>
  <si>
    <t>Tale of Sinuhe</t>
  </si>
  <si>
    <t>Fear and Uncertainty</t>
  </si>
  <si>
    <t>Narrative Paranoia</t>
  </si>
  <si>
    <t>jaymerudolfreichart@gmail.com</t>
  </si>
  <si>
    <t>Jayme Rudolf Reichart</t>
  </si>
  <si>
    <t>Archaeobotanical aspects of the early 25th Dynasty Domain of Amun of Gempaaten (present- day Kawa, the Sudan): results and trends for the early Kushite-Napatan plant assemblage</t>
  </si>
  <si>
    <t>Retrieved during the excavations works by Welsby et al. during the 2014-2015 season of the Sudan Archaeological Research Society (SARS), interdisciplinary data and methods were used in this study to sort, identify, quantify and contextualise a large portion of archaeobotanical material from the so-called ‘Building F1’: an early 25th Dynasty (c. 755-656 BCE) workshop- storehouse (šn’) built by the early Kushite-Napatan Pharaoh Taharqa (c. 690-694 BCE) of the Third Intermediate Period (c. 1077-664 BCE) within the ancient urban, imperial and provincial settlement of Gempaaten (present-day Kawa) alongside the banks of the Middle River Nile in the Sudan’s North Dongola Reach. Supported by the data from Laming Macadam et al. (1949a- b, 1955a-b), Fuller (2004), Bowes (2018) and Sedik (2018), the resulting patterns and trends in the plant quantification, materiality and seasonality for the workshop-storehouse and the overall assemblage (i.e., the Temples (A/B/T), Buildings A1, A2, B5, B12, F1 and Z1 and Cemetery R18) are offered in this poster presentation.
The so-called ‘Building F1’ comprised 43 taxa like abundant desiccated castor oil plant seeds (Ricinus communis L.) and doum-nuts (Hyphaene thebaica (L.) Mart.); charred common six- row barley (Hordeum vulgare L.) and emmer wheat (Triticum diococcum L.); and herbaceous plants like cf. water parsnips (Berula spp.) and false buttonweeds (Spermacoce spp.). The overall assemblage so-far cumulatively totals 113 taxa, including new ones from this study like waterlilies (Nymphaea spp.), onions (Allium spp.), cos-lettuce/romaine (Lactuca sativa L.), cedars (Cedrus spp.), perseas (Mimusops laurifolia (Forssk.) Friis), junipers (Juniperus spp.), Cupressaceae/Pinaceae and possibly stone fruits cf. almond (Prunus cf. amygdalus Batsch) due to King Taharqa’s degree for the Domain of Amun of Gempaaten proper and its arable fields and formal gardens to be updated, renewed and maintained by a series of foreign and Egyptian gardeners, vintners and fieldhands. In summa, the arable fields and gardens of early 25th Dynasty Domain of Amun of Gempaaten proper and its extensive environs comprised a diverse array of economic cereals and grasses; legumes and pulses; trees and shrubs; vines; sedges, rushes and reeds; and herbaceous plants through the year.</t>
  </si>
  <si>
    <t>Interdisciplinary Egyptology</t>
  </si>
  <si>
    <t>Archaeobotany</t>
  </si>
  <si>
    <t>Sociocultural Anthropology</t>
  </si>
  <si>
    <t>MA in Egyptology from The American University in Cairo '21, MSc in Environmental Archaeology (Archaeobotany) from University College London '25</t>
  </si>
  <si>
    <t>hugo.cook@wolfson.ox.ac.uk</t>
  </si>
  <si>
    <t>Hugo Cook</t>
  </si>
  <si>
    <t>Harpocrates and the Far East: figures of an Egyptian god found in India, China, and Silk Road sites, and Harpocrates figures with Buddhist iconography found in Egypt</t>
  </si>
  <si>
    <t xml:space="preserve">This research explores images of the Egyptian god Harpocrates found in East and South Asian art from 300 BC to AD 400. It questions how Harpocrates figures spread as far as China, how these cultures used and interpreted his distinctive iconography, why he was popular across such a broad geographic scale, and what influence these cultures had on Harpocratic art within Egypt.
Methodologically, this study develops and reconsiders the idea of ‘glocalisation’ to interrogate local use and understanding of global trends. It takes a qualitative approach by chiefly examining a corpus of Harpocrates figures (some found in South/East Asia, others found in Egypt but with Buddhist imagery) through a close reading of iconography. The content analysis queries mutual religious-artistic influences between Egyptian and South/East Asian art, and context analysis augments and critiques that interpretation by clarifying how individuals used and interpreted these objects and their ‘global’ iconography.
Results so far have demonstrated that in India and among Egypt’s Indian diaspora, Harpocrates was associated with the prophesised future Buddha, Maitreya, due to close iconographic links (both use righthand forefingers to mouths, vessels under left arms, crowns composed of a large disc with a smaller conical structure on the front, rosettes, lotus thrones, etc), and was incorporated into Buddhist worship. In Egypt, Harpocrates terracottas were adapted with ‘Indianising’ features including dress to support this usage, providing the earliest archaeological evidence of Buddhism in Africa yet. This encourages the project’s next phase: images of Harpocrates found in China and Uzbekistan, questioning whether they were foreign curios sold along the Silk Roads, objects of local religious significance, or something else.
This interdisciplinary study shows the viability of research into idea exchange between Egypt and the Buddhist world. It demonstrates their understudied but data-rich relationship, and highlights Egypt’s relevance across often unexpected regions and religions.
</t>
  </si>
  <si>
    <t>Religion</t>
  </si>
  <si>
    <t>University of Oxford</t>
  </si>
  <si>
    <t>UK</t>
  </si>
  <si>
    <t>lefevreman@gmail.com</t>
  </si>
  <si>
    <t>Lefevre Manon</t>
  </si>
  <si>
    <t xml:space="preserve">A story of antique restoration at Deir el-Medina: the case of the tomb of Neferhotep. </t>
  </si>
  <si>
    <t>This presentation discusses a specific case of ancient restoration carried out during the excavation of Theban tomb 216 at Deir el-Medina during the 19th Dynasty. Following an in-depth stratigraphic, material, and architectural study conducted as part of the conservation-restoration project (2016–2023), the author identified an ancient restoration intervention. This was carried out by ancient Egyptian craftsmen themselves, probably after an accident on site or in the presence of a weakness in the local rock. This work highlights the techniques used by New Kingdom craftsmen, who integrated restoration into their construction process. By comparing ancient methods with contemporary conservation principles, the study reveals the historical continuity of concerns related to the stability, durability, and legibility of stone monuments.</t>
  </si>
  <si>
    <t>Antique restoration</t>
  </si>
  <si>
    <t>Craftsmen</t>
  </si>
  <si>
    <t>Ifao</t>
  </si>
  <si>
    <t>s2210028@u.tsukuba.ac.jp</t>
  </si>
  <si>
    <t>Himari Hasegawa</t>
  </si>
  <si>
    <t>Production and Intra-Site Distribution of Faience Amulets in the New Kingdom: A Case Study of Amarna</t>
  </si>
  <si>
    <t>In New Kingdom Egypt, faience amulets were widely distributed across all social strata, yet most studies remain fragmented. This paper examines how amulet production and distribution reflect urban functions by comparing Amarna, Malqata, and Gurob. For Amarna, using the spatial dataset (Hodgkinson 2018), kernel density estimation was conducted on 1,883 amulets and 904 moulds to identify production hubs. Furthermore, excavation data from Malqata’s South Village and Gurob’s workshop (IA1) were compiled to compare the density and distribution patterns of production traces in each city. Additionally, statistical analysis of morphological and color trends of amulets across all sites was performed. Results show that, in addition to the formal workshop, significant mould concentrations exist in the North Suburb merchant district (T36) and the Main City residential area (Grid 12), indicating that autonomous domestic production supported the city's demand. In contrast, at the South Village of Malqata, a festival city built for the Heb-Sed of Amenhotep III, moulds were excavated at a density significantly higher than any single location at Amarna. This indicates that a more intensive production system than Amarna was established to meet the demand for large quantities of ornaments in a short period. Thus, amulet production in the New Kingdom was a complex economic activity where state control and autonomous popular production were multilayered, reflecting the character of each city. Notably, even during the religious reformation of the Amarna period, traditional deities such as Bes and Taweret accounted for over 87% of amulet forms, and traditional blue and green hues were used in over 96% of cases, despite the availability of polychrome technology. This illustrates that, even amid the radical urban development and Akhenaten’s reforms, traditional values and production systems were maintained to some extent in the daily habits and beliefs of the general populace.</t>
  </si>
  <si>
    <t>Faience amulets</t>
  </si>
  <si>
    <t>Craft production</t>
  </si>
  <si>
    <t>College of Humanities, School of Humanities and Culture, University of Tsukuba</t>
  </si>
  <si>
    <t>Nawaln@std.mans.edu.eg</t>
  </si>
  <si>
    <t xml:space="preserve">Nawal Nasr Ahmed Keshk </t>
  </si>
  <si>
    <t>Herbal Medicine in Ancient Egypt: A Comparative Analysis of the Ebers and Hearst Papyri</t>
  </si>
  <si>
    <t>This study offers a comparative analysis of herbal medicine as presented in two seminal Ancient Egyptian medical texts: the general compendium of the Ebers Papyrus (c. 1550 BCE) and the practitioner-oriented Hearst Papyrus (c. 1550-1450 BCE). By examining the selection, preparation, and application of medicinal plants, this research investigates the relationship between theoretical medical knowledge and clinical practice in Ancient Egyptian pharmacology.
​The methodology involves a direct textual comparison to identify core medicinal plants common to both papyri and those unique to each text, particularly focusing on shared prescriptions. The Ancient Egyptian descriptions of therapeutic applications are then analyzed against modern phytochemical and pharmacological data to evaluate their empirical efficacy.
​Preliminary findings indicate a high degree of consistency in herbal knowledge, suggesting a standardized pharmacopoeia during the Eighteenth Dynasty. However, the analysis reveals subtle differences in plant concentrations and preparation methods in the Hearst Papyrus, which may reflect its role as a practical manual for physicians. Plants such as Willow (Salix) for inflammation and Acacia (Acacia nilotica) for its antimicrobial properties exemplify applications that align with modern scientific understanding. This research highlights the sophisticated and empirical nature of the Ancient Egyptian pharmacopoeia, demonstrating a refined system of herbal therapeutics that balanced traditional knowledge with practical application.</t>
  </si>
  <si>
    <t>Ancient Egyptian Pharmacology</t>
  </si>
  <si>
    <t>Comparative Papyrology</t>
  </si>
  <si>
    <t>Phytotherapy</t>
  </si>
  <si>
    <t xml:space="preserve">Egyptology Department, Faculty of Arts, Mansoura University, Egypt. </t>
  </si>
  <si>
    <t>shemoshahawy89@gmail.com</t>
  </si>
  <si>
    <t>Shaimaa Shahawy Mohammed</t>
  </si>
  <si>
    <t xml:space="preserve">Risk Assessment for Cultural Heritage Case Study: Sabil Umm Mohammed Ali Al-Saghir </t>
  </si>
  <si>
    <t xml:space="preserve">Risk assessment plays a pivotal role in conserving and sustaining cultural heritage 
properties, particularly those facing various forms of deterioration because of environmental, 
human, and structural threats. In this context, this study delves into the case of Sabil Umm 
Muhammad Ali al-Saghir, which was built by Ziba Qadan, one of Mohammed Ali's wives, 
during the reign of Khedive Ismail (1286 AH–1869 AD). The Sabil is currently located in AlGomhouria Street in the context of Khedival Cairo.
This Sabil is considered a unique architectural masterpiece of the nineteenth century 
because it combines two styles: Mamluk and Turkish, where the Mamluk style is represented 
in geometric and floral pattern decorations in addition to the architectural elements. In contrast, 
the Turkish style is shown in building design. This Sabil is regarded as one of the last Sabils of 
the nineteenth century.
To conduct a thorough analysis of the vulnerabilities and hazards that this Sabil 
encounters and understand the factors that expose to risk its structural integrity and historical 
value. The research utilizes a structured methodology for risk assessment that includes several 
critical steps, which include physical inspection, environmental analysis, and the consideration 
of relevant social factors. Through this comprehensive approach, the study identifies a range 
of potential risks that the Sabil faces, including natural phenomena such as earthquakes and the 
dangers posed by fires, pollution, theft, vandalism, underground water, relative humidity, and 
fluctuations in temperature levels, neglect, and inappropriate urban development practices that 
are prevalent in the area.
Considering these findings, the study presents a series of recommendations to 
implement preventive measures to mitigate the identified risks. These recommendations 
emphasize the necessity for proactive conservation interventions and the critical role of 
community engagement in raising awareness about the significance of preserving such cultural 
heritage sites. By adopting these measures, stakeholders can work together to ensure the longterm preservation and sustainability of the Sabil against the various threats it faces.
</t>
  </si>
  <si>
    <t>Risk</t>
  </si>
  <si>
    <t>Assessment, Hazard, Sabil</t>
  </si>
  <si>
    <t>Vulnerability,  Umm Mohammed Ali Al-Saghir, Ziba Qaden, Khedival Cairo</t>
  </si>
  <si>
    <t xml:space="preserve">Inspector at the Grand Egyptian Museum, Ministry of Tourism and Antiquities  </t>
  </si>
  <si>
    <t xml:space="preserve">Egyptian  </t>
  </si>
  <si>
    <t>victoria.vazquez-hernandez@stud-mail.uni-wuerzburg.de</t>
  </si>
  <si>
    <t>Victoria Vázquez Hernández</t>
  </si>
  <si>
    <t xml:space="preserve">A New Analysis of Flint Production in the Eastern Delta. The Case of Tell Basta. </t>
  </si>
  <si>
    <t xml:space="preserve">When discussing Egyptian lithic artefacts, the most researched categories, for instance hemmamijje knives, and sites assemblages, including those of Naqada and Ma’adi, can be attributed to prehistoric and predynastic times. The stone tools of the Old Kingdom at the Delta, however, have received far less attention and to date there has never been a comprehensive study of such material. This disparity is even more pronounced in the Nile Delta, which has historically been neglected as an area of archaeological research. Here there have been challenges in classifying dynastic lithic types due to an absence of reference studies. As such, a significant potential source in our understanding of changing production trends, variations conditional on geographical factors and even the hypothesisation of trade routes with other regions (within and outside Egypt) has been notably underutilised. 
At the site of Tell Basta in the Eastern Delta a large amount of lithic material from the Old Kingdom was found in recent excavations. The research presented here outlines an analysis that will provide valuable insight into key aspects such as the function, manufacturing process and material sources throughout the Old Kingdom at Tell Basta. Building on this analysis, it shall also explore evidence in the material for possible trade relations between Bubastis and other urban centres during this crucial period of state-power formation and consolidation. The paper aims to present this material for the first time, whilst laying the foundation for a more extensive future study that encompasses the lithic production of other Delta sites. </t>
  </si>
  <si>
    <t>Delta</t>
  </si>
  <si>
    <t xml:space="preserve">lithic artifacts </t>
  </si>
  <si>
    <t>Julius-Maximilians-Universität Würzburg</t>
  </si>
  <si>
    <t>acan@uchicago.edu</t>
  </si>
  <si>
    <t>Chenqing (Andy) An</t>
  </si>
  <si>
    <t>Detour and Access: A non-European Pedagogical Framework for Middle Egyptian Grammar</t>
  </si>
  <si>
    <t xml:space="preserve">Traditional Middle Egyptian (ME) pedagogy employs Indo-European (IE) categories—specifically tense-centred verbal systems and subject-prominence—that often create unnecessary cognitive friction for Sinitic learners. This proposal aims to create a pedagogical framework designed for East Asian (such as Chinese and Japanese) speakers, leveraging native linguistic intuitions to bypass Eurocentric philological filters.
The framework centres on several linguistic comparisons. First, orthography is taught through the functional identity of ME determinatives and Sinitic radicals (部首), treating both as semantic classifiers that provide ontological stability for phonetic roots. Second, syntax is reframed via topic-prominence; ME nominal predicates and "Subject + Stative" constructions are analysed as "topic-comment" structures, which are intuitive to Sinitic speakers but complex for IE subject-verb-object paradigms. Third, the verbal system is introduced through aspectual logic rather than temporal tense, using Sinitic markers (e.g., -le, -zhe, -guo) to map the ME Stative and perfective forms as resultative verb complements. Fourth, negation is addressed through the situational distinction between the particles n and nn, which parallel the Sinitic divide between factual/past (méi) and habitual/subjective (bù) negation. Finally, possession is explained as a cartography of modification where indirect genitives (n/nt/nw) act as syntactic bridges identical to the particle de (的).
To conclude, this paper introduces a standardised Chinese–Hieroglyph transliteration list (音譯表) based on commonly used standard Chinese characters. By realigning Middle Egyptian grammar with East Asian linguistic ontologies, it not only offers a more efficient pedagogical path and establishes a rigorous philological foundation for Sinosphere audiences, but also enriches the understanding of Egyptian grammar through non-European linguistic perspectives—ultimately contributing to a more inclusive and diversified Egyptology. (287words) </t>
  </si>
  <si>
    <t>Non-Indo-European Middle Egyptian Pedagogy</t>
  </si>
  <si>
    <t>Sinitic–Egyptian Linguistic Parallels</t>
  </si>
  <si>
    <t>Comparative Philology</t>
  </si>
  <si>
    <t>University of Chicago</t>
  </si>
  <si>
    <t>viranch.n-geogphd@msubaroda.ac.in</t>
  </si>
  <si>
    <t>Viranch N. Dave</t>
  </si>
  <si>
    <t xml:space="preserve">Analyzing the Evolution of Scholarly Research in Egyptology: A Bibliometric Study </t>
  </si>
  <si>
    <t>Egyptology, a discipline with a history spanning more than a century, has developed substantial and diverse body of scholarship that investigates ancient Egypt through a range of methodological and theoretical approaches, establishing it as a fundamentally interdisciplinary field. Over the course of its development, the field has undergone significant evolution, and further transformations are expected in the future as new questions, methods, and demands emerge in the ongoing effort to understand the complexities of ancient Egyptian civilization. The study aimed to use bibliometric analysis to explore the evolution of Egyptology as a discipline. Using keywords such as “Egyptology” and “Ancient Egypt”,combined with Boolean operators, to conduct title and abstract searches in the Dimensions AI database. This allowed extracting a comprehensive scholarly literature of 1250 documents indexed in DimensionsAI, covering a temporal span from 1900 to 2025. Bibliometric analysis was done using R Studio and Vosviewer to examine publication trends, authorship patterns, citation impact, and thematic evolution of the field. The results indicate a moderate annual growth rate of 3.09%, with an average document age of 17.7 years, reflecting the long-standing and cumulative nature of research in this domain. The corpus shows an average of 5.09 citations per document and 0.41 citations per year, suggesting sustained scholarly engagement over time. Authorship analysis reveals contributions, with a high proportion of single-authored documents and a relatively low international co-authorship rate, indicating limited global collaboration. Institutional co-authorship shows small, tightly connected institutional clusters rather than a dense global collaboration network. Citation analysis indicates that a limited number of highly influential publications generate a substantial share of total citations, highlighting the field’s reliance on foundational works. This bibliometric analysis provided quantitative insights into the development, influence, and collaboration patterns in the field, highlighting publication dynamics and emerging research trends as a guide for future scholarship and policy planning.</t>
  </si>
  <si>
    <t>R Studio</t>
  </si>
  <si>
    <t>VosViewer</t>
  </si>
  <si>
    <t>DimensionsAI</t>
  </si>
  <si>
    <t>Department of Geography, The Maharaja Sayajirao University of Baroda</t>
  </si>
  <si>
    <t>Assistant Professor, Independent Researcher</t>
  </si>
  <si>
    <t>India</t>
  </si>
  <si>
    <t>mizuki04@stu.kanazawa-u.ac.jp</t>
  </si>
  <si>
    <t>Mizuki Shindo</t>
  </si>
  <si>
    <t>Transformation from a simple pit into a grave: Reconstructing the life history of New Kingdom pit-graves and non-elite burial practices at North Saqqara</t>
  </si>
  <si>
    <t xml:space="preserve">　In recent years, the importance of the non-elite burial practice has been recognized. Pit- graves are typical for the non-elites. They have been mainly studied through grave goods and burial method, which comprise only a small part and the final phase of the burial process. This paper intends to visualise the complex burial process of the non-elite, transforming a simple pit into a grave by analysing primary data from the site at North Saqqara excavated by a Japanese Egyptian mission. 
　While the shapes of small graves match the bodies buried, there are also unnecessarily large and deep pit-graves compared to the bodies or coffin. The bottoms of them are sometimes built on a uniform, smooth melted mud-bricks layer. It indicates the grave digger likely understood the cemetery’s stratigraphy and aimed for the layer. Therefore, there may have been specialized grave diggers even among pit-graves.
 　In some cases, approximately 10 cm of fine yellow sand was found between the body and the bottom of the pits. Since small graves can be dug in a few hours, it is unlikely that this sand accumulated naturally during the burial process. Therefore, it must have been intentionally filled. One purpose was to flatten the bottom, as evidenced by the rough bottom of small pit-graves. Additionally, considering large graves together, it may have served practical functions beyond levelling, such as preventing moisture and decay. However, a few centimeters seem sufficient for these purposes. Therefore, it may also have been a symbolic ritual activity, transforming a physical pit into a sacred grave. 
　Although pit-graves seem simple and poor for the burial, I can point out the specialised grave diggers and the practical and ritualistic practices. I also emphasize the risk of limiting the burial theory and practice to grave goods and burial methods alone.</t>
  </si>
  <si>
    <t>pit-grave</t>
  </si>
  <si>
    <t>non-elite</t>
  </si>
  <si>
    <t>burial process</t>
  </si>
  <si>
    <t>Kanazawa University</t>
  </si>
  <si>
    <t>Tokihisa Higo</t>
  </si>
  <si>
    <t>Forty-Two Judges Revisited: Transition of the idea of the Declaration of Innocence during the New Kingdom</t>
  </si>
  <si>
    <t xml:space="preserve">The Declaration of Innocence in the ancient Egyptian Book of the Dead is one of the most widespread notions in the Egyptian afterlife. In this scene, the deceased denies his or her misdeeds before the forty-two judges, composed of gods and demons of various origins. Since the format and content of the scene appear to remain unchanged across individual Book of the Dead manuscripts over time, scholars have regarded it as an essential source for understanding ancient Egyptian ethics and perceptions of the afterlife, assuming that these notions remained static throughout the history of the Book of the Dead. However, considering the nature of the composition, the individual components of the scene—including the names and origins of the judges as well as the listed misdeeds—show significant variation even among manuscripts from the same period.
In order to refine our understanding of the scene, the present paper reconsiders the Declaration of Innocence through a meticulous analysis of Book of the Dead manuscripts from the New Kingdom, identifying three core components of the scene—judges’ names, their origins, and the misdeeds denied before them—and analyzing how these elements interact and are combined within each manuscript.
In addition to this close examination of individual manuscripts, the study also conducts a comparative analysis of twenty-six available manuscripts. Through this comparative approach, the present paper clarifies not only the formative process of the scene—showing that priority was given to establishing the names of the forty-two judges and defining different misdeeds rather than assigning distinct origins to each judge—but also reveals how the structure and arrangement of the Declaration developed during the period, demonstrating a more dynamic tradition than previously assumed.
</t>
  </si>
  <si>
    <t>Declaration of Innocence</t>
  </si>
  <si>
    <t>Forty-Two Judges</t>
  </si>
  <si>
    <t>hsjsams@liverpool.ac.uk</t>
  </si>
  <si>
    <t>Joel Sams</t>
  </si>
  <si>
    <t>Automated fibre pattern matching for reconstructing the fragmentary Book of the Dead of Ramose</t>
  </si>
  <si>
    <t xml:space="preserve">The Book of the Dead (BD) papyrus of Ramose, interred near Heracleopolis Magna during Seti I's reign, is one of the earliest and finest of surviving Ramesside BD manuscripts. Acquired by the Fitzwilliam Museum following its 1921 excavation, the manuscript arrived in thousands of fragments. A 2005 Getty Institute-funded project reconstructed ~20 metres using entirely analogue methods (including text-based estimation and lightbox fibre verification) before mounting restored sections in glass frames. However, thousands of fragments remained unplaced due to their limited textual or iconographic content.
Building on this foundation, a 2024 AHRC-funded project categorized all remaining fragments by spell number (using digital collocation methods to identify spells), keywords, phonemic values, sign types, and/or vignette themes. Supported by new manual lightbox confirmations, this project extended coverage of spells (e.g., BD 17, 38A, 57, 153A), corrected prior placements, and demonstrated philological value (e.g. allowed the stemmatic placement of p.Ramose's copy of BD 38A).
An ongoing interdisciplinary collaboration (2025–2026) is now integrating computer vision techniques to semiautomate the joining of the remaining unplaced fragments using fibre pattern matching. High-resolution reflected and transmitted light photography has captured the restored manuscript and unplaced pieces. Post-processing includes distortion correction, background removal, fragment isolation, automatic rotation for fibre alignment, and fibre extraction via pixel-shift differencing. Automated matching then scores fibre pattern similarity using various metrics to identify candidate joins, with final human verification using textual and iconographic evidence.
Preliminary results already highlight the project's potential. The project aims to deliver a scalable, broadly applicable solution for papyrus fibre pattern matching, with high-resolution images, source code, and methodology to be openly shared. This work advances the material reconstruction of a key New Kingdom BD witness while contributing novel digital tools to Egyptological conservation and philology.
</t>
  </si>
  <si>
    <t>digital humanities</t>
  </si>
  <si>
    <t>papyrus reconstruction</t>
  </si>
  <si>
    <t>y.zhu.15@umail.leidenuniv.nl</t>
  </si>
  <si>
    <t>Yasi Zhu</t>
  </si>
  <si>
    <t>Assyrian Invasion as a case of cultural trauma in Egypt</t>
  </si>
  <si>
    <t>Starting from Esarhaddon’s first attempt to conquer Egypt in 674 BCE, the following decade of Egyptian history was known for multiple waves of Assyrian Invasions. Although contemporary Egyptian documentary sources remained silent about this period, Assyrians as a group and Egyptian historical figures contemporary to the Assyrian Invasion are commonly featured in the Demotic stories that remained prevalent until the early Roman Period. Such predominance of the Assyrians in the literary tradition of the Late Period and Greco-Roman Egypt has led Egyptologists to deduce that the Assyrian Invasion must have left a traumatic impact on the Egyptian society, without further elaboration on this presumption. 
To evaluate this hypothesis, this paper aims to detect the less-visible traces of trauma left by the Assyrian Invasion in the Egyptian cultural memory. After a brief overview of the historical background of the Assyrian Invasion of Egypt, this paper will proceed to present the corpus of texts for analysis, which mainly consists of published Demotic stories preserved on early Roman papyri. To complement the traditional historiographical research, this paper will refer to theories from Memory Studies and Folklore Studies to guide the discussion of the selected narratives. Analysed under this interdisciplinary framework, three main features that suggest a case of cultural trauma will be identified in the narratives: active forgetting, construction of counter-history, and emergence of the urge to bear witness to traumatic events. Therefore, this paper will provide a detailed justification for identifying the Assyrian Invasion as a case of cultural trauma for the Egyptians, which will not only bring insights to this relatively obscure period in Egyptian history but will also shed light on research about the Egyptian perception of foreigners in general.</t>
  </si>
  <si>
    <t>Assyrian Invasion of Egypt</t>
  </si>
  <si>
    <t>cultural trauma</t>
  </si>
  <si>
    <t>Demotic stories</t>
  </si>
  <si>
    <t>Universiteit Leiden</t>
  </si>
  <si>
    <t>The Netherlands/China</t>
  </si>
  <si>
    <t>salma.elshaer@must.edu.eg</t>
  </si>
  <si>
    <t>Salma Elshaer</t>
  </si>
  <si>
    <t>Whispers Beneath the Sand: Eternal Voices of the Saite Tombs at Saqqara and Asasif</t>
  </si>
  <si>
    <t>The Twenty-Sixth Dynasty witnessed a profound revival of ancient funerary traditions, expressed differently across Egypt’s major necropoleis. This paper presents a comparative study of Saite elite tombs from Asasif (Thebes) and Saqqara (Memphis), examining how architecture, text, and ritual articulated shared religious ideals while responding to regional traditions and social identities.
At Asasif, monumental courtyards, axial plans, and expansive decorated halls evoke New Kingdom and Kushite precedents, emphasizing public ritual, solar theology, and royal proximity. At Saqqara, deep shaft tombs with secondary access systems, vaulted burial chambers, and sand-filling mechanisms create enclosed, protected spaces focused on Osirian regeneration. Despite these architectural contrasts, both regions employ a remarkably consistent corpus of funerary texts drawn from the Pyramid Texts, Coffin Texts, and the Book of the Dead, reflecting a conscious revival of Egypt’s earliest mortuary knowledge.
The paper highlights the transmission and adaptation of specific textual compositions across both necropoleis, demonstrating how Saite elites negotiated tradition and innovation. Variations in layout, text placement, and decorative emphasis reveal local responses to theology, status, and landscape. Together, the tombs of Asasif and Saqqara emerge as complementary expressions of Saite identity, where eternal voices were inscribed differently, yet whispered the same hope of rebirth beneath the desert sands.</t>
  </si>
  <si>
    <t>Saite tomb</t>
  </si>
  <si>
    <t>Asasif</t>
  </si>
  <si>
    <t xml:space="preserve">Misr University for Science and Technology </t>
  </si>
  <si>
    <t>taichi.kuronuma@aa.tufs.ac.jp</t>
  </si>
  <si>
    <t>Taichi Kuronuma</t>
  </si>
  <si>
    <t>The Predynastic D41 type jar fragment EA75154 in the British Museum: Reassessing its provenance.</t>
  </si>
  <si>
    <t>Artefacts recovered during early excavations in Egypt, particularly between the mid-nineteenth and mid-twentieth centuries, are now widely dispersed among museums worldwide as part of distribution systems linked to excavation funding. Reconstructing the original archaeological contexts of these artefacts is therefore essential, but often hindered by incomplete, inaccurate, or erroneous provenance records. Correcting such information requires detailed, artefact-by-artefact reassessment. This paper presents a case study focusing on the contextualisation of an Upper Egyptian Predynastic jar, the D-Ware (D41 type) vessel EA75154 in the British Museum. The jar is currently recorded as originating from the Tomb of Aha (Tomb B19) in Cemetery B at Umm el-Qaab, Abydos, excavated by the Egypt Exploration Fund (EEF). However, several inconsistencies challenge this attribution. The registration number (1998,0216.3) indicates entry into the museum in 1998, which does not align with the main period of EEF donations by 1910, nor is there information on a donor. More significantly, the proposed provenance is chronologically implausible: D41-type jars belong to the Naqada II period, whereas the Tomb of Aha dates to Naqada IIIC1. Further investigation focuses on the excavator’s ink mark visible on the jar’s exterior. Palaeographical comparison shows close similarity to the excavator’s inscription on the flint artefact UC 4390 in the Petrie Museum, which is securely attributed to Tomb B19 in Cemetery B at Kom el-Bilal near Naqada. Additional confirmation comes from a D41 jar sherd (51/197) housed at the UCL Institute of Archaeology, also from the same tomb with the inscription “B19” in a same writing style. It is possible that this sherd and EA75154 derive from the same original vessel. On the basis of typological, chronological, and palaeographical evidence, the paper concludes that the most plausible provenance for jar EA75154 is Cemetery B near Naqada, excavated by Flinders Petrie in 1895, rather than Umm el-Qaab.</t>
  </si>
  <si>
    <t>Predynastic</t>
  </si>
  <si>
    <t>D-Ware jar</t>
  </si>
  <si>
    <t>Contextualisation of museum housed artefacts</t>
  </si>
  <si>
    <t>Research Institute for Languages and Cultures of Asia and Africa, Tokyo University of Foreign Studies</t>
  </si>
  <si>
    <t>carmen.mun.per@gmail.com</t>
  </si>
  <si>
    <t>Carmen Muñoz Perez</t>
  </si>
  <si>
    <t>Beyond the Naked Eye: Photogrammetry and Macro-Photography in the Study of Funerary Amulets</t>
  </si>
  <si>
    <t>Egyptian funerary amulets represent a rich corpus of material culture that has long challenged researchers due to their small size, intricate iconography, and varied manufacturing techniques. Traditional documentation methods often fail to capture the subtle details that are crucial for understanding production processes, material composition, and symbolic meanings. This paper presents an innovative methodological approach that combines photogrammetry and macro-photography to enhance the study of Egyptian and Egyptianising amulets from Ancient necropolis.
Drawing on recent documentation campaigns conducted in several European museums, this research demonstrates how digital imaging techniques can reveal previously undetectable features. High-resolution macro-photography allows for detailed examination of surface textures, tool marks, and manufacturing techniques, while photogrammetry generates precise 3D models that facilitate morphometric analysis and comparative studies across geographically dispersed collections.
Digital analysis has enabled the identification of distinct production workshops, the documentation of repair and reuse patterns, and a more nuanced understanding of how these objects circulated within exchange networks. Furthermore, 3D models provide unprecedented access for researchers unable to examine original artifacts, supporting collaborative international research.
This paper argues that integrating these digital tools into standard archaeological practice not only enhances documentation quality but also opens new research questions regarding technological transfer, craft specialization, and the cultural appropriation of Egyptian magical beliefs in other ancient cultures. The presentation will include case studies demonstrating how these methods have yielded concrete results in identifying material sources, detecting ancient modifications, and reconstructing manufacturing chaînes opératoires for faience and semi-precious stone amulets.</t>
  </si>
  <si>
    <t>Digital Archaeology</t>
  </si>
  <si>
    <t>Egyptian Amulets</t>
  </si>
  <si>
    <t>Material culture analysis</t>
  </si>
  <si>
    <t>University of Cádiz</t>
  </si>
  <si>
    <t>danygalazzo@hotmail.com</t>
  </si>
  <si>
    <t>Daniela Galazzo</t>
  </si>
  <si>
    <t>The Louis de Clercq collection at the Louvre Museum: new insights between Egypt and the Levant</t>
  </si>
  <si>
    <t>The aim of this proposal is to present the unpublished results of a research conducted on Egyptian and Egyptianizing objects belonging to the de Clercq Collection, today preserved at the Louvre Museum in Paris. This project includes 234 objects, most of them are scarabs and scaraboids, and 15 objects made in different materials (bronze, stone, marble and faience). They belong to the collection of antiquities assembled in the second half of the 19th century by Louis de Clercq, a French politician and collector who donated to the Louvre Museum many of the objects today displayed in the museum. Archival documents attest a relevant correspondence between de Clercq and some merchants and antique dealers sent to the Levantine region with the aim of buying antiquities to enrich his collections. The de Clercq collection, like many other archaeological collections formed in the 19th century, does not provide precise and scientific information regarding the archaeological contextualization of the objects it is composed of. For this reason, we will investigate whether these finds are to be considered products of local Levantine workshops or whether, at least in part, they arrived in the Siro-Palestinian region following trade with Egypt or cultural contacts. However, they represent an important iconographical and material witness to the diffusion of the Aegyptiaca within the complex system of relationships and exchanges between the civilizations of the Mediterranean basin.</t>
  </si>
  <si>
    <t>Aegyptiaca</t>
  </si>
  <si>
    <t>Levant</t>
  </si>
  <si>
    <t xml:space="preserve">Université Paris Sorbonne, Paris IV </t>
  </si>
  <si>
    <t xml:space="preserve">Italian </t>
  </si>
  <si>
    <t>johnehrogers@gmail.com</t>
  </si>
  <si>
    <t>John Rogers</t>
  </si>
  <si>
    <t>No Synchronisms after All? The End of Bakenrenef and the chronology of the Proto-Saite line</t>
  </si>
  <si>
    <t xml:space="preserve">The sole ruler of the Manethonic 24th dynasty, Bakenrenef is, despite his ephemeral position in pharaonic history, attested by several stelae deposited within the Serapeum at Memphis and enjoyed a comparatively enduring reputation amongst Classical authors. These Serapeum stelae provide the only date belonging to his reign outside that provided by the Manethonic account, but which nevertheless agrees with the latter: six years.
Traditionally, this sixth year of Bakenrenef was equated with the second regnal year of the Kushite Shabaqo as indicated by an inscription of the latter’s regnal year in the room in which the bull of Bakenrenef’s year six was interred. Furthermore, the Manethonic note that Sabacon burnt Bakenrenef alive was taken to be connected with this synchronism between years, reflecting the conquest of Memphis by the Kushite king at around the same time as the interment of the bull. 
However, with the reversal of *Shabaqo-Shebitqo to Shebitqo-Shabaqo, this understanding is in need of significant revision, despite its inclusion in recent syntheses of the period (e.g., Dodson 2019 [2012]: 156). This presentation will argue that the synchronism and Manethonic note are in fact mutually exclusive, and that neither are particularly trustworthy for understanding the exact chronological position of Bakenrenef’s reign, before outlining how this decoupling may affect future explanations of the development of the proto-Saite line before Psamtik I.
</t>
  </si>
  <si>
    <t>Bocchoris</t>
  </si>
  <si>
    <t>Manetho</t>
  </si>
  <si>
    <t>Mariette</t>
  </si>
  <si>
    <t>Swansea University</t>
  </si>
  <si>
    <t>Wales</t>
  </si>
  <si>
    <t>leonie.hoff@hmc.ox.ac.uk</t>
  </si>
  <si>
    <t>Leonie Hoff</t>
  </si>
  <si>
    <t>Terracotta figurines from Thonis-Heracleion - evidence of ‘Popular religion’?</t>
  </si>
  <si>
    <t xml:space="preserve">Terracotta figurines from Thonis-Heracleion - evidence of ‘Popular religion’?
This presentation will discuss a group of Ptolemaic terracotta figurines which form part of the corpus of my doctoral thesis on the terracotta figurines from Thonis-Heracleion, located in the north-west of the Egyptian delta. Thonis-Heracleion was submerged following a number of natural disasters and only rediscovered in 2001 by the European Institute for Underwater Archaeology (IEASM), led by French archaeologist Franck Goddio. The figurines originate from a part of the settlement which was heavily affected by earthquakes and landslides, leading to the displacement of the figurines amongst an array of other cultic material into one of the waterways of the city. Based on the evidence which has been uncovered by excavation I will here attempt to outline the variety of archaeological structures which existed in this part of the city, followed by an attempt to connect the terracotta figurines to the surrounding material and explain their presence in this location. Several possibilities for the deposition of the figurines in the area will be outlined, of which functions in relation to ‘popular religion’, such as cultic installations along the temenos wall of the city’s main temple may be the most likely scenario. Furthermore, I will compare the iconography of the figurines with the other figurines found elsewhere in Thonis-Heracleion, as well as the place of the figurines within the wider corpus of Ptolemaic terracotta figurines from Egypt. This discussion of the terracotta figurines offers insight into a rare corpus of figurines with known archaeological provenance, as well as insight into currently unpublished parts of Thonis-Heracleion.
</t>
  </si>
  <si>
    <t>popular' religion</t>
  </si>
  <si>
    <t>Underwater archaeology</t>
  </si>
  <si>
    <t>a.martin.garcia.de.la.cruz@hum.leidenuniv.nl</t>
  </si>
  <si>
    <t>Andrés Martín García de la Cruz</t>
  </si>
  <si>
    <t>It All Fell on Deaf Ears: Proposals for a British Archaeological Institute in Egypt</t>
  </si>
  <si>
    <t>The transition from the 19th to the 20th centuries marked a turning point for Egyptian archaeology, indissolubly linked to the work of British institutions, such as the Egypt Exploration Fund (later Society), and British scholars, including the ‘father of archaeology’, Sir William Matthew Flinders Petrie. During this period, the principal Western nations involved in Egyptology established permanent bases in Egypt, often in the form of national schools or institutes in Cairo. The United Kingdom, however, was the most significant exception to this trend. This absence is remarkable given Britain’s political control over Egypt since 1882 and the foundation of British Schools in other archaeological hotspots in the Mediterranean and West Asia.
The paper addresses the question of why a British (Imperial) Institute for Archaeology in Egypt never came into existence. To this end, the author will first present a set of archival sources documenting several initiatives by individual scholars and specialised associations to persuade the British government to establish such an institution in Cairo. Subsequently, a twofold interpretive analysis of the evidence will be conducted. On the one hand, the author will contextualise each proposal or attempt from an Egyptological standpoint, that is, within the disciplinary advances of the time and the specific situation of British Egyptology. On the other hand, the author will elucidate why the idea did not materialise in a rapidly shifting geopolitical and disciplinary context.</t>
  </si>
  <si>
    <t>British Archaeological Institute in Egypt</t>
  </si>
  <si>
    <t>British Egyptology</t>
  </si>
  <si>
    <t>British Colonial Policies</t>
  </si>
  <si>
    <t>Netherlands-Flemish Institute in Cairo, Leiden University</t>
  </si>
  <si>
    <t>elisabeth.wegner@dainst.de</t>
  </si>
  <si>
    <t>Elisabeth Wegner</t>
  </si>
  <si>
    <t>On Pigments, Purpose, and Perpetuation: Towards an Understanding of Colour Application on Aswan Rock Inscriptions and Related Media</t>
  </si>
  <si>
    <t>In recent years, the significance of colours and colour pigments has regained increased attention in Egyptology. While there has been extensive research on various aspects related to this topic, studies mainly focused on archaeological, linguistic, and philological evidence for colour materials and textures in terms of terminology, manufacturing processes, and production technology. However, the interaction of the many factors involved when dealing with colours in Ancient Egypt has not been examined coherently for specific types of objects, materials, or contexts so far.
Remains of colour on rock inscriptions, despite often being severely eroded, attest that these media, like most objects and architectural features in Ancient Egypt, were subject to colour application. The PhD project on pigment residues on Aswan rock inscriptions aims at offering a systematic approach for investigating and contextualising the presumed nexus between colour application, material, and object for these particular media in a defined geographic area and for related artifacts made of hard stone or as hard stone imitations by exploring questions concerning functionality and decorum, as well as materiality and material agency, using non-invasive examination methods like XRF analysis and imaging techniques, including DStretch and macro-photography. Preliminary results obtained from multiple field seasons on Sehel Island highlight the potential of these methods for revealing information concealed from the naked eye, on a macro- to microscopic and even elemental level, and thus for expanding our knowledge of the manifold dimensions associated with colour application that extend beyond aesthetic purposes.</t>
  </si>
  <si>
    <t>rock inscriptions</t>
  </si>
  <si>
    <t>XRF analysis</t>
  </si>
  <si>
    <t>German Archaeological Institute Cairo</t>
  </si>
  <si>
    <t>xiangqian.he@etu.ephe.psl.eu</t>
  </si>
  <si>
    <t>Xiangqian He</t>
  </si>
  <si>
    <t>The Frog on Alexandrian Coinage: Marginal Animals, Religious Semantics, and Iconographic Choice</t>
  </si>
  <si>
    <t>Alexandrian coinage is widely regarded as an important medium for illustrating the cultural dynamics of Roman Egypt. Within this corpus, the appearance of the frog motif—otherwise unattested in Roman provincial coinage—constitutes a particularly intriguing subject. Through an examination of frog imagery and its visual representations across three interrelated traditions—Greek, Roman, and indigenous Egyptian—and by situating the Alexandrian examples against the background of other coin types produced within the same issues, this study argues that the frog motif on Alexandrian coinage most plausibly derives from local Egyptian traditions.
The iconographic treatment of frogs on Greek civic coinages, exemplified by Seriphos, differs markedly from that of Alexandria, while frog imagery in Roman art—illustrated here by the Ara Pacis—remains notably ambivalent. In Egypt, beyond its association with the goddess Heqet, frog-shaped ceramic lamps and terracotta figurines from the Roman period embodied the important religious concept of rebirth. When accompanied by motifs such as the cornucopia and ears of wheat, the frog further acquired connotations of fertility and abundance. Its juvenile form, the tadpole, appears in hieroglyphic writing and in temple scenes of annalistic redaction, where it implicitly conveys the idea of the longevity of pharaonic rule. Finally, in an apotropaic context, the frog entered the amuletic repertoire alongside the crocodile.
Although the frog was not, in itself, an animal traditionally capable of representing Egyptian identity on coinage, the accumulation of these auspicious meanings allowed it to stand out within the Egyptian bestiary and to be selected by Alexandrian mint officials for inclusion in local coin iconography. On Alexandrian coinage, the frog appears together with motifs such as the crocodile, ears of wheat, and the cornucopia, forming a rich and interrelated network of meanings within which the polysemy of the frog motif is fully articulated.</t>
  </si>
  <si>
    <t>Frog</t>
  </si>
  <si>
    <t>École Pratique des Hautes Études (EPHE) - Université PSL</t>
  </si>
  <si>
    <t>chiara.dirosa206@gmail.com</t>
  </si>
  <si>
    <t>Chiara Di Rosa</t>
  </si>
  <si>
    <t>The Figurative Bronzes at Museo Egizio, Turin: The Corpus and New Technological Data</t>
  </si>
  <si>
    <t>This contribution presents the results of the recent study of the figurative bronzes currently held in the Museo Egizio, Turin. The study is part of an ongoing long-term project to document and publish all copper alloy objects in the Turin collection, led by Johannes Auenmüller.
The research initiated with the study of the Osiris bronze figures from a technological, archaeological, and iconographical perspective. The first step in conducting the study was to design a methodology that would allow for an examination of the objects as comprehensively as possible. A detailed and standardized description of the objects was thus first produced. The same approach was subsequently applied to the broader corpus of figurative bronzes in Turin. The visual inspection of the objects alone has considerably expanded the understanding of each artefact, particularly in regard to their production: the identification of specific traces related to the individual stages in the life of the artefacts enabled the collection of new and significant data on their casting process, finishing techniques, and repair practices, as well as information on their use and deposition.
The study of the figurative bronzes not only aimed at improving the Museo Egizio’s internal object records, but also ensured that the objects and their data are now accessible to both scholars and the public through Museo Egizio’s online collection database.
This paper will present the corpus of figurative bronzes in the collection, with particular attention to the new data that have emerged from the technological study.</t>
  </si>
  <si>
    <t>Figurative bronzes</t>
  </si>
  <si>
    <t>Museo Egizio, Turin</t>
  </si>
  <si>
    <t>Lost-wax casting technique</t>
  </si>
  <si>
    <t>mohamed.hatem@must.edu.eg</t>
  </si>
  <si>
    <t>Mohamed Hatem Elsayed Hassan</t>
  </si>
  <si>
    <t>A Linguistic and Analytical Study of the Artistic Elements of a of an Unpublished Private Stela in the Grand Egyptian Museum</t>
  </si>
  <si>
    <t xml:space="preserve">This study aims to discuss and study Unpublished Stela of  inpw aA , and which has neither been investigated nor studied in a comprehensive analytical study by researchers. This a stela is preserved in the Grand Egyptian Museum with NO:(GEM 15346 ).
A stela contained three registers containing recorded texts and scenes, its top is decorated with the @tp di nsw  formula, the stela is depicting the owner sitting before an offering table and sniffing lotus blossom ,It also discusses the meanings of names and titles, copies and translates texts, and comments on the marks and artistic features of the stela
</t>
  </si>
  <si>
    <t xml:space="preserve">offering formula </t>
  </si>
  <si>
    <t xml:space="preserve">Stela </t>
  </si>
  <si>
    <t>lotus</t>
  </si>
  <si>
    <t>MISR university for science and technology</t>
  </si>
  <si>
    <t>aurbanik@mp.pl</t>
  </si>
  <si>
    <t>Andrzej Urbanik</t>
  </si>
  <si>
    <t>Did Fayum portraits depict actual images of deceased persons?</t>
  </si>
  <si>
    <t xml:space="preserve">Magdalena Łaptaś1
AbdelRahman Medhat2, 3
Tomasz Poboży4
Andrzej Urbanik5
Marta Barszcz-Boniczewska6
Jacek Tomczyk7
Wafaa Habib8
Mohammed Abd El Rahman9
1Cardinal Stefan Wyszyński University in Warsaw, Institute of History of Art
2Egyptian Museum in Cairo and Former Postdoctoral Fellow at American Research Center in  
 Egypt (ARCE)
3American Research Center in Egypt
4Medicover Hospital, Warsaw
5Jagiellonian University Medical College, Chair and Department of Radiology
6Medical University of Gdańsk, Department of Forensic Medicine
7Cardinal Stefan Wyszyński University in Warsaw, Institute of Biological Science
8Egyptian Museum in Cairo, Department of Graeco-Roman Antiquities
9Ministry of Tourism and Antiquities, Department of Training and Scientific Publishing
Fayum portraits were painted on wooden panels and placed over the mummified, bandaged faces of the deceased. Unfortunately, most of these portraits have since been separated from their original mummies. Two mummies with attached Fayum portraits were identified, which allowed for a unique study to be conducted.
The aims 
- to confirm the presence of a mummified body within the wrappings
- to determine the sex and age at the time of death of the examined mummies; 
- for each mummy - comparison of the portrait with the results of anthropological analysis based 
   on CT scans and reconstruction of the lifelike facial image
Material and methods
Two mummies were used in the study dated to the late first or early second century AD.
The CT  examinations were performed at Cairo. The authors processed the imaging data to produce MPR and 3D reconstructions using OsiriX software. 
Reconstruction of the lifelike facial image were produced using Gimp software.
Results
Based on the CT scan analysis, it can be assumed that the mummified child is a girl, approximately 3,5 years old. The second mummy is female, aged between 17 and 25 years. 
Comparison were made between the results of anthropological analyses and reconstructed images of the faces of mummified individuals and images in the attached Fayum portraits. Some similarities were found, but the differences prevailed.
Conclusions
The mummies examined contained the bodies of mummified individuals.
Radiological and anthropometric results based on CT examinations  determined the sex and age of the mummified individuals.
It seems that the Fayum portraits do not exactly depict the deceased person. They may have been painted in accordance with the current fashion or cultural approach. This may suggest the truth of the opinion of some researchers that painters used template portraits that were individualized.
</t>
  </si>
  <si>
    <t>Fayum portraits</t>
  </si>
  <si>
    <t>Egyptian mummies</t>
  </si>
  <si>
    <t xml:space="preserve">CT examinations </t>
  </si>
  <si>
    <t>Jagiellonian University Medical College, Chair and Department of Radiology</t>
  </si>
  <si>
    <t>Associate Professor</t>
  </si>
  <si>
    <t>tameermokhtar@gmail.com</t>
  </si>
  <si>
    <t>Tamer Mokhtar Mohamed</t>
  </si>
  <si>
    <t>The Efforts of David Roberts in Documenting Ancient Egyptian Monuments: An Archaeological Analytical Study</t>
  </si>
  <si>
    <t xml:space="preserve">
From the eighteenth century until the mid-twentieth century, Europeans demonstrated a sustained interest in traveling to, residing and exploring the Orient. Many remained in Egypt for extended periods, sometimes lasting several years, for purposes of leisure, scholarly study, and direct observation of ancient Egyptian and Islamic monuments. Numerous visiting artists, including painters and illustrators, devoted special attention to Egyptian antiquities. They traveled widely across the country, from north to south, producing thousands of paintings, drawings, architectural plans, and preliminary sketches documenting Pharaonic, Ptolemaic, Roman, and Islamic monuments in published volumes and pictorial records.
The Scottish artist David Roberts is regarded as one of the most influential foreign painters who visited Egypt during the first half of the nineteenth century and as a major figure of the Orientalist school of painting. Roberts began his journey in 1837 and arrived in Alexandria in 1838, then traveled throughout Upper Egypt to Nubia, recording a wide range of archaeological monuments. His works include depictions of Abu Simbel, the temples of Isis, Esna, Edfu, Luxor, and Karnak, the Colossi of Memnon, and panoramic views of the Great Sphinx. He possessed remarkable visual acuity that enabled him to capture broad architectural compositions with notable clarity and realism. His paintings and drawings represent highly accurate visual documents of considerable scholarly value for the study of Egyptian architectural heritage. His artistic production encompassed pencil drawings, watercolor and oil paintings, and engraved prints.
This paper aims to examine Roberts’s works as early visual records of nineteenth-century Egyptian monuments. It compares the historical condition of archaeological sites with their current state to identify architectural alterations, recognize lost inscriptions, support documentation and restoration initiatives, and critically evaluate the accuracy and objectivity of his artistic representations.
</t>
  </si>
  <si>
    <t>David Roberts</t>
  </si>
  <si>
    <t>Orientalist Painting</t>
  </si>
  <si>
    <t xml:space="preserve">Helwan University </t>
  </si>
  <si>
    <t>Egyption</t>
  </si>
  <si>
    <t>Radiological examinations of Egyptian mummies in Poland</t>
  </si>
  <si>
    <t xml:space="preserve">
In Poland, Egyptian mummies are in the holdings of museums in Kraków, Warsaw, Wrocław and Racibórz. These are both human mummies and animal mummies.
The first Egyptian mummy was brought to Warsaw in 1826. Other exhibits of this type arrived shortly afterwards.  
The first examination using conventional radiography was performed in Warsaw in 1941. Until the 1990s, subsequent mummies were examined in this way. In 1993, the first CT scan of an Egyptian mummy in Poland was performed in Krakow. Since then, until 2023, further examinations were carried out, covering all mummies in Polish collections.
The obtained image data was processed and, in addition to axial images, MPR, 3D and virtual endoscopy reconstructions were analyzed. Based on CT image data, lifelike images of mummified individuals were also created, and even models were made using 3D printing technology. The image data obtained became the basis for presentations and publications, as well as for museum exhibitions.
</t>
  </si>
  <si>
    <t>Paleoradiology</t>
  </si>
  <si>
    <t>Image data processing techniques</t>
  </si>
  <si>
    <t>enaskarim80@gmail.com</t>
  </si>
  <si>
    <t>Enas Karim</t>
  </si>
  <si>
    <t>Museums as Spaces for Active Ageing: Educational Programs for Senior Visitors in Egypt</t>
  </si>
  <si>
    <t xml:space="preserve">Despite the growing recognition of museums as key sites for non-formal and lifelong learning, educational programs in Egyptian museums remain predominantly oriented toward children and school audiences, with limited attention given to senior visitors aged 60 and above. This neglect persists despite the rapid growth of the ageing population in Egypt and the substantial cultural, social, and experiential value seniors bring to museums. This research investigates the current status, impact, and potential of educational programs designed for seniors in Egyptian museums, with a particular focus on lifelong learning, memory articulation, and community engagement.
The study adopts a mixed-methods approach, combining qualitative and quantitative tools, including literature review, field observations, semi-structured interviews with 15 museum professionals, questionnaires administered to 25 senior participants, and a detailed case study of the educational program “Memories of the Tram” implemented at Baron Empain Palace in Cairo. The research evaluates seniors’ motivations, preferred learning styles, interpretive tools, and levels of satisfaction, while also examining institutional planning practices related to senior-focused programming.
Findings reveal that senior programs are largely absent from the strategic plans of Egyptian museums and are implemented in a fragmented and unsystematic manner. However, the case study demonstrates that well-designed, memory-based and storytelling-oriented programs significantly enhance seniors’ emotional engagement, social interaction, and willingness to revisit museums and recommend them to others. Results also indicate a strong preference among seniors for audio-based interpretation, guided storytelling, and programs that evoke personal memories and nostalgia. Additionally, a high level of satisfaction and willingness to volunteer highlights the untapped potential of seniors as active contributors to museum life.
The study concludes by emphasizing the urgent need for Egyptian museums to adopt systematic, inclusive strategies for senior education, incorporating accessibility measures, audience research, and participatory program design. Such initiatives can strengthen museums’ social role, promote active ageing, and position museums as inclusive spaces for lifelong learning across generations.
</t>
  </si>
  <si>
    <t>Senior Audience</t>
  </si>
  <si>
    <t xml:space="preserve"> Memory and Storytelling</t>
  </si>
  <si>
    <t>Inclusive Museums</t>
  </si>
  <si>
    <t>The Grand Egyptian Museum</t>
  </si>
  <si>
    <t>fz239@cam.ac.uk</t>
  </si>
  <si>
    <t>Federico Zangani</t>
  </si>
  <si>
    <t>Egypt and Cyprus: Connectivity, Comparison, and Contrasting Perspectives</t>
  </si>
  <si>
    <t>This presentation outlines my ongoing research project on Egyptian-Cypriot connectivity through the Bronze and Iron Ages. I will discuss how patterns of direct and indirect connectivity between Egypt and Cyprus could be reconstructed by analysing the transmission of iconography and material culture across the Eastern Mediterranean, and by triangulating relevant Egyptian, Akkadian, and Ugaritic textual sources. I will also address the comparative potential of Egypt and Cyprus to determine how trade and connectivity determine structures of power. In particular, the sociopolitical development of Cyprus was strictly connected to copper metallurgy and trade, and the island is unique in the Mediterranean because of the absence of evidence for political power until the emergence of the city-states of the Iron Age. This stands in stark contrast to the Nile Valley, which underwent a process of state formation that led to a monarchy with unambiguous claims over political, economic, and social relations, expressed through written and visual culture. I will thus hypothesise how a comparative approach to Egypt and Cyprus might elucidate how supra-regional connectivity determined divergent expansionary dynamics and power relations in two different territorialities (i.e., a river valley and a Mediterranean island).</t>
  </si>
  <si>
    <t>Cyprus</t>
  </si>
  <si>
    <t>Connectivity</t>
  </si>
  <si>
    <t>University of Cambridge, McDonald Institute for Archaeological Research</t>
  </si>
  <si>
    <t>mnabil534@gmail.com</t>
  </si>
  <si>
    <t>Mohamed Nabil Hussein</t>
  </si>
  <si>
    <t>The Concept of Social Enterprise in the Egyptian Museum Sector: Frameworks for Transition and Institutional Challenges</t>
  </si>
  <si>
    <t xml:space="preserve">Influenced by the pervasive effects of global capitalism, museums in general, and Egyptian museums specifically, face significant pressure to balance the preservation of tangible and intangible heritage with the need to demonstrate social impact. To achieve social innovation and impact, Egyptian museums require effective social enterprise models. This research paper investigates the concept of social enterprise within the Egyptian cultural context by balancing the main mission of museums as pedagogical, educational, and cultural institutions with the need to generate revenue.
This framework proposes transitioning Egyptian museums into social enterprises by combining social missions with commercial investment. This strategy reduces state financial burdens and fosters self-sufficiency. However, the transition faces significant challenges, including legislative hurdles, cultural barriers, and a deficit in human capital necessary for such a shift.
We can summarize the key points as follows:
1.	The Concept of Social Enterprise
This section will discuss the concept of social enterprise in the Egyptian museum sector and its relation to other concepts such as social innovation and cultural innovation.
2.	Transition Framework
This section will investigate the creation of a transition framework that includes generating revenue from cultural products, digital investments, and tourism services.
3.	Institutional Challenges
We will explore resolutions for amending laws and regulations to empower us to achieve our goals. Additionally, we will develop a mechanism to convince stakeholders and heritage advocates that museums can function as social enterprise organizations without neglecting scientific research.
4.	Conclusion
The primary objective is to transition the museum into a self-sufficient institution. By doing so, the museum can generate internal revenue to reinvest in its mission as a pedagogical, educational, and cultural center. These funds will support programs designed for the local community, allowing the museum to achieve a greater social impact while maintaining its status as a non-profit organization.
</t>
  </si>
  <si>
    <t>Social Enterprise: (The core model being conceptualized).</t>
  </si>
  <si>
    <t>Institutional Change: (Reflects the transition and organizational shift).</t>
  </si>
  <si>
    <t>Egyptian Museums: (The specific geographical and sectoral context).</t>
  </si>
  <si>
    <t>Helwan University/ Faculty of Tourism and Hotel Management/ Heritage and Museum Studies Program (DHMS).  Ministry of Tourism and Antiquities/ Egyptian Museum in Cairo/ Museum Curator</t>
  </si>
  <si>
    <t>uros_arheo@yahoo.com</t>
  </si>
  <si>
    <t>Uros Matic</t>
  </si>
  <si>
    <t>Elderly as Dependents in the Old Kingdom and First Intermediate Period</t>
  </si>
  <si>
    <t xml:space="preserve">Elderly people in ancient Egypt have rarely been the focus of Egyptological research. This paper presents an interdisciplinary analysis of old-age dependency during the Old Kingdom and First Intermediate Period, combining textual, iconographic, and bioarchaeological evidence to reconstruct how vulnerability, care, and social value were negotiated in later life.
The results indicate that whereas Old Kingdom “autobiographies” express the ideal of reaching a “good old age” (e.g., Hetepherakhty; Meir, tomb D2), First Intermediate Period texts more explicitly associate old age with vulnerability, with elite men emphasizing their moral duty to bury and care for the elderly (e.g., the tomb of Khety in Assiut; the stela of Dag, Cairo CG 20007). The Teachings of Ptahhotep further articulate old age as a condition of physical decline requiring sustained support. Bioarchaeological data from Saqqara-West corroborate this discourse. The results indicate that individuals affected by osteoporosis or traumatic injuries could only have survived into advanced age through long-term assistance.
The paper also examines Old Kingdom siege scenes from the tombs of Inti (Deshasha) and Kaiemheset (Saqqara), where elderly foreigners appear among non-combatants who were not taken captive. The paper argues that old age constituted a recognized category of vulnerability that could override ethnic boundaries, leading to differential treatment in both domestic and military contexts. By foregrounding old age as an intersectional condition shaped by dependency, care, and social value, this study contributes to broader debates on vulnerability, social ethics, and marginality in ancient Egypt.
</t>
  </si>
  <si>
    <t>elderly</t>
  </si>
  <si>
    <t>First Intermediate Period</t>
  </si>
  <si>
    <t>University of Graz</t>
  </si>
  <si>
    <t>Austria</t>
  </si>
  <si>
    <t>maximburchill@gmail.com</t>
  </si>
  <si>
    <t>Maxim Burchill</t>
  </si>
  <si>
    <t>From the Material to the Ephemeral: A Comparative Analysis of the Wrapping of Wooden Funerary Statues and Model Figures</t>
  </si>
  <si>
    <t xml:space="preserve">This study concerns the adornment of Egyptian wooden funerary statues from the late Old to Middle Kingdom. Adornment is one of many ephemeral practices which may have impacted the way in which statues were perceived and interacted with in antiquity. Adornment will be defined here as the application of another material that is not integral to the structure of the statue; the subject of this paper is the adornment of wooden statues with linen cloth. Though often treated as secondary, this study aims to present adornment as a crucial facet of wooden funerary statues that can reveal telling human-object interactions and contextual relationships between grave goods. 
In the course of this study, it has been possible to identify nine adorned wooden statues, wrapped in linen cloth from the late Old to Middle Kingdom. A comparative analysis of the adornment of this dataset with a sample of wooden offering bearers and model figures, also adorned with linen wrappings, reveals diverging treatment between models and statues. This is despite the artefacts being subjected to similar practices of adornment. This comparison reaffirms known associations of the statues with the body of the deceased and themes of protection. 
Additionally, this research critically examines the impact of early archaeological practices through detailed object biographies, demonstrating how unwrapping, reconstruction, and normalisation of museum objects may have obscured the original nature and prevalence of these wrappings.
</t>
  </si>
  <si>
    <t>Adornment</t>
  </si>
  <si>
    <t>Wooden Funerary Statues</t>
  </si>
  <si>
    <t>Master's Student, Others</t>
  </si>
  <si>
    <t>archaeita@gmail.com</t>
  </si>
  <si>
    <t>Keita Fukuda</t>
  </si>
  <si>
    <t>Typology of Collar designs in the Ptolemaic burial equipment for determining the provenance</t>
  </si>
  <si>
    <t>This paper shows a typological study of the collar decorations as new criterion for clarifying the provenance of burial equipment in the Ptolemaic period. Among the Ptolemaic burial equipment, collar designs are most frequent and distinctive features on the objects such as anthropoid coffins, cartonnage coverings as well as Ptah-Sokar-Osiris statues. The collars compose of some simple geometric patterns, complex botanical designs, terminals and other ornaments, with countless possible combinations. While respective motifs are common throughout Egypt, the same combinations are rarely detected in different regions. Therefore, the style of the collar decorations has the potential to determine the original place of the production. Through the typological analysis of the collar designs from the material with archaeological context and museum collection lacking provenance, this paper delineates the regional characteristics of Ptolemaic grave goods. For the typological analysis, whole designs of collars are extracted and examined where a typical design is placed and how regularly designs appear.
Our results demonstrate regional features. For example, in Thebes, a band of lotus design is frequently placed next to a band of teardrop design. In Akhmim, disk patterns, specific leaf designs and papyrus designs were regularly observed. Red and blue zigzag patterns are typical in Gamhud. In addition, other collar components such as terminals and attachments indicate regional differences. In Upper Egypt, from Aswan to Abydos, collar designs are frequently associated with pectorals. In Middle Egypt, from Akhmim to Fayum region, cartonnage coverings sometimes have U-shaped collar decoration. While cartonnage coverings bear collar designs resembling coffins, Ptah-Sokar-Osiris statues have distinctive appearances. In conclusion, these decorative combinations clarify regional identification in Ptolemaic Egypt.</t>
  </si>
  <si>
    <t>collar typology</t>
  </si>
  <si>
    <t>Ptolemaic burial equipment</t>
  </si>
  <si>
    <t>regional identification</t>
  </si>
  <si>
    <t>Waseda University, Graduate School of Letters, Arts and Sciences</t>
  </si>
  <si>
    <t>shahenda.hamada2020@gmail.com</t>
  </si>
  <si>
    <t>Shahenda Mohamed Mahmoud Hamada</t>
  </si>
  <si>
    <t xml:space="preserve">      Bone fracture injuries of Nubian Skeletal into the Egyptian Museum "A Study in Bioarcheaology “</t>
  </si>
  <si>
    <t>Egypt is home to one of the best-known civilizations in the Old World and has a huge amount of biocultural material dating from the prehistoric to the late Roman periods. Archaeologists have collected bioarchaeological remains since the 1800s that represent the different populations living throughout the country,which document variation in morphology.Many of these remains are housed in the Egyptian Museum of Cairo (EMC).Nubia is an extremely interesting country because of its position between Egypt in the north and Black Africa in the south, as the border between the white race and various African races.The material was discovered in the archaeological area between Wadi El-Sebue and Adindan after the second archaeological survey in Lower Nubia in (1929–1934)before the second raising of the Aswan Dam.The research applies to skeletal remains that were excavated from Lower Nubia.The material is around 278 cases including skulls, long bones and hip bones, which were mostly well preserved.Skeletal remains from individuals’ cemeteries were examined for evidence of traumatic fracture through interpreting the ultimate cause of injury and an inventory of the types of bone fractures and mechanisms of injury to Nubian individuals (direct trauma, indirect trauma, stress fracture)In general The study is represented injuries of individuals, bone pathology, the cause of injuries as violence or occupation, and also the relationship between the healed fractures and diet.It identifies conditions through morphology, analyzing cases through observation using traditional visual examination with the naked eyes and magnifying glass.The data used for this study was taken directly from the skeletons themselves.The purpose of this preliminary study is to estimate biological sex and age estimation and cause of death if possible of the recovered human remains, as well as identifying bone fracture and common diseases</t>
  </si>
  <si>
    <t>Bone fracture</t>
  </si>
  <si>
    <t>Injuries</t>
  </si>
  <si>
    <t>Bioarchaeology</t>
  </si>
  <si>
    <t>The Egyptian Museum of Cairo (EMC)</t>
  </si>
  <si>
    <t>jordan17182@gmail.com</t>
  </si>
  <si>
    <t>Jordan Furutani</t>
  </si>
  <si>
    <t>Rhetoric and Eloquence in Ancient Egypt to 664 BCE</t>
  </si>
  <si>
    <t>This study examines ancient Egyptian ideas about the proper and effective use of language, a core issue in debates surrounding the nature of Egyptian literature. Rather than treating literary quality as an abstract aesthetic category, it argues that evaluations of “good” language were shaped by historically specific, literate perspectives embedded within particular social institutions. Concepts of style, rhetoric, and verbal skill are therefore understood as products of a sustained literary culture rather than as reflections of purely oral or popular norms.
Across Egyptian history, ideas about linguistic excellence are closely tied to social function and role in the government apparatus. In the Old Kingdom, skillful language is associated with administrative competence and participation in the bureaucratic apparatus of the state. During the First Intermediate Period, these ideals broaden and diversify, contributing to the emergence of a more self-conscious literary culture that reaches its fullness in the Middle Kingdom. This period represents the zenith of elite scribal culture, in which language becomes a central marker of education, status, and cultural continuity. In the New Kingdom and later periods, these traditions solidify into increasingly formalized scribal systems.
Political subjugation under Persian and Ptolemaic rule marks a significant transformation in the social foundations of literary culture. As the civil administrative elite declines, priestly communities increasingly assume responsibility for preserving and transmitting the Egyptian language. A brief consideration of Coptic material suggests that elements of earlier Egyptian literary values persisted into late antique Christian and non-Christian texts.
The study concludes that Egyptian literary production and its evaluative standards are best understood through the interaction of two key social figures: the civil administrator and the priest. Together, these groups shaped the norms governing language, literature, and cultural authority across more than two millennia of Egyptian history.</t>
  </si>
  <si>
    <t>Language</t>
  </si>
  <si>
    <t>Literature</t>
  </si>
  <si>
    <t>Rhetoric</t>
  </si>
  <si>
    <t>University of Toronto</t>
  </si>
  <si>
    <t>allaire.pauline2@gmail.com</t>
  </si>
  <si>
    <t xml:space="preserve">Allaire Pauline </t>
  </si>
  <si>
    <t>Metal Vessels in Cultic Contexts in Egypt during the First Millennium BCE: Building a Corpus and Methodological Perspectives</t>
  </si>
  <si>
    <t xml:space="preserve">This paper forms part of an ongoing PhD project devoted to the study of metal vessels used in cultic contexts in Egypt from the first millennium BCE to the Roman period. Although such objects have long been known through museum collections and early publications, they are often studied in isolation and only rarely through an approach that systematically combines archaeological, iconographic, and textual evidence, particularly for the Late Period.
The research presented here is based on the construction of a multi-source corpus bringing together three complementary groups of data: archaeological objects, temple reliefs and inscriptions, and autobiographical texts of private individuals referring to ritual practices involving metal vessels. The aim is to examine the relationships between vessel forms, materials, designations, and uses, while considering the specific contexts in which these sources were produced, used, and transmitted.
The paper will outline the main methodological choices involved in assembling this corpus, as well as the difficulties encountered, notably issues of terminology, the uneven distribution of sources, and the discrepancies observed between preserved objects and monumental representations. The preliminary results suggest the existence of recurrent associations between certain vessel types, specific materials, and particular ritual gestures, especially in contexts of purification, libation, and offering. These observations also point to the importance of temple contexts in shaping and standardising the forms and uses of metal vessels during the first millennium BCE.
This contribution aims to highlight the methodological and historiographical implications of such a cross-source approach, while opening broader perspectives on the materiality of ritual and the role of metals in the cultic practices of Late Egyptian temples.
</t>
  </si>
  <si>
    <t>Metal vessels</t>
  </si>
  <si>
    <t>Cultic practices</t>
  </si>
  <si>
    <t>Late Period Egypt</t>
  </si>
  <si>
    <t xml:space="preserve">Université Paul-Valéry Montpellier </t>
  </si>
  <si>
    <t>french</t>
  </si>
  <si>
    <t>curise951024@gmail.com</t>
  </si>
  <si>
    <t>Hinano Kosugi</t>
  </si>
  <si>
    <t>cruise951024@gmai.com</t>
  </si>
  <si>
    <t>An initial analysis of false doors and eye panels on Middle Kingdom rectangular wooden coffins</t>
  </si>
  <si>
    <t xml:space="preserve">During the First Intermediate Period, the power of local governors emerged, and also local distinctiveness was generated, in cultural elements. Even in the subsequent Middle Kingdom period, richly decorated rectangular wooden coffins were produced in local cemeteries as well as royal cemeteries. Previous research suggests that the worship of Osiris is reflected in the decoration of rectangular wooden coffins. Particularly false doors were gradually decorated beneath the “eye panel” that began to be depicted from the 6th Dynasty.  It is considered that it reflects changes in the concept of the afterlife and the metaphysical function of the wooden coffin.
Previous research about rectangular coffins in the Middle Kingdom has focused on typological classification, chronological studies, and textual analysis. However, studies focusing on individual iconography or distribution and production of coffins remain subject to debate. Therefore, master’s thesis research focuses on the decorative elements of the Middle Kingdom rectangular wooden coffins. This study represents the initial analysis as part of that research.
The purpose of this study is to classify the false doors and eye panels of Middle Kingdom rectangular wooden coffins from Deir el-Bersha and royal cemeteries Thebes and attempt to compare them. I present my analysis on the transmission of cultural elements. Bersha has numerous well-preserved early Middle Kingdom rectangular coffins. In my opinion, it is useful for examining local coffin decorations. </t>
  </si>
  <si>
    <t>coffin</t>
  </si>
  <si>
    <t>false door</t>
  </si>
  <si>
    <t>Pander24@aucegypt.edu</t>
  </si>
  <si>
    <t>Parker Anderson</t>
  </si>
  <si>
    <t>Queen Meresger: A Divine Invention or an Enigmatic Royal?</t>
  </si>
  <si>
    <t xml:space="preserve">This study examines the identity of “Queen” Meresger, exploring whether she was a historical “Great Royal Wife” of Senwosret III, or an early manifestation of the goddess Meretseger from Thebes. Although Meresger textually appears with Senwosret III at Semna West, the inscriptions are not originally from the Twelfth Dynasty, but date to Eighteenth Dynasty restorations under Thutmose III, complicating assumptions of a Middle Kingdom queen. At Semna West, Meresger receives annual offerings during the “Subduing of the Foreign Lands” festival and bears the title “Great Royal Wife,” despite the absence of contemporary attestations in Egypt. 
Additional evidence from Nubian fortresses — including an inscribed basin from Shalfak dating to the reign of Amenhotep III, a stela from Kumma, and a votive stela now in the Museum of Fine Arts, Boston (24-2-318) — demonstrates veneration of a deified Meresger across multiple sites past Egypt’s southern border during the New Kingdom. Analysis of the inscriptions, iconography, and titulary  adds to the ambiguity, with Meresger presented as a royal woman and as a divine figure. Of particular interest is British Museum stela EA 846, of unknown provenance, in which Meresger’s name appears within a cartouche, which would make her the earliest known royal woman to do so. 
The argument for Meresger as a real queen is complicated by a now-lost alabaster kohl jar inscribed “Great Royal Wife, Meresger”, the only object potentially consistent with a Middle Kingdom date. Therefore, emphasizing the fragmentary and retrospective nature of the evidence. By integrating epigraphic analysis with archaeological context, the identity of Meresger is ever evolving, situated between royal ancestor and divine entity, and highlights the need to consider both Theban and Nubian ritual networks — particularly regarding royal women and state-sponsored memory — when assessing the formation and transmission of her cult. </t>
  </si>
  <si>
    <t>Queen Meresger</t>
  </si>
  <si>
    <t>Cult</t>
  </si>
  <si>
    <t>Alumnus of American University in Cairo and Egyptology Volunteer at Carnegie Museum of Natural History</t>
  </si>
  <si>
    <t>a.yoko@moegi.waseda.jp</t>
  </si>
  <si>
    <t>Awata Yoko</t>
  </si>
  <si>
    <t>A Technological Analysis of "Qa’ab" Pottery from Abydos: "Routinization of Gestures" in Mass Production</t>
  </si>
  <si>
    <t xml:space="preserve"> Recent Egyptian ceramic studies highlight a diversity rooted in regional traditions, suggesting that uniformity does not always stem from centralized standardization. While understanding of production systems has improved, technological verification of this "uniformity" remains insufficient. Previous research has often focused on macro-level descriptions—like the use of the potter’s wheel—rather than the specific sequence of forming gestures that dictates vessel shape.
 To determine whether uniformity results from ingrained motor habits or superficial similarity, quantitative analysis is essential. This study examines 102 "qa’ab" pottery from Abydos, currently held at Waseda University. These miniature vessels, mass-produced items are ideal for analysis as they retain clear traces of efficient forming techniques due to their sheer quantity and intact preservation.
 Through macro-trace analysis and experimental archaeology, this presentation reconstructs the production process. Detailed observation indicates consistent features: a basal indentation and external finger-pinch marks. Replication experiments using a potter’s wheel also demonstrate that these seemingly distinct features—the basal indentation and the external pinch marks—are simultaneously reproduced through a single, standardized gesture: pressing the outer wall just before detaching the vessel from the rotating clay lump.
 The results suggest that the uniformity of qa’ab pottery was driven not only by rigid dimensional specifications (standardization), but also by the repetition of optimized forming gestures (routinization). In the Third Intermediate Period Abydos, the flourishing Osiris cult triggered an explosive demand for votive pottery. To meet this, potters may have developed streamlined techniques characterized by minimal, ingrained movements. Since the pursuit of maximum efficiency naturally converges into a single most-rational motion, these repetitive gestures inevitably produced highly uniform vessels. This study concludes that such “routinization of gestures” was the primary driver behind the autonomous standardization of these vessels, without direct central oversight, offering a behavioral and technological perspective on standardization in ancient craft production.(299 words)</t>
  </si>
  <si>
    <t>miniature vessel</t>
  </si>
  <si>
    <t>forming techniques</t>
  </si>
  <si>
    <t>experimental archaeology</t>
  </si>
  <si>
    <t>Waseda University,Tokyo,Janpan</t>
  </si>
  <si>
    <t>3065251t@komazawa-u.ac.jp</t>
  </si>
  <si>
    <t>Dimitrova Tsenka</t>
  </si>
  <si>
    <t xml:space="preserve">The Sarcophagus of Mastaba M17: The Oldest High‑Precision Hard‑Stone Sarcophagus in Ancient Egypt </t>
  </si>
  <si>
    <t xml:space="preserve"> Mastaba M17 finds itself right next to the northern side of Sneferu’s Meidum Pyramid. Its limestone burial chamber and sarcophagus, made from red granite, are the largest and most advanced ones registered until the beginning of the 4th Dynasty, possibly serving as one of the prototypes for those built inside the pyramids. The 12-ton sarcophagus, although a little less precise, has walls that are triple the size of those of Khufu’s sarcophagus. 
 Because the substructure of Mastaba M17 was completed in one go, and there is no entrance from the upper structure leading to the burial chamber, it is officially considered that the burial had to be carried out prematurely while the mastaba was still under construction. The one who was buried is supposed to be one of Sneferu’s princes or his father, Huni.
 However, several factors speak against this theory and are hinting at the possibility that the burial together with the burial chamber are quite older than Sneferu himself.
 The burial inside the red granite sarcophagus is unique to the whole history of ancient Egypt. The body was totally dismembered, the flesh left to rot away, and later the bones were individually wrapped in fabric. Being one-of-a-kind could be evaluated as pre-dynastic or foreign. Excavations have proven that the entrance corridor to the subterranean structure starts at the level of the bedrock, suggesting that this tomb was never meant to be a mastaba, which was later built over by Sneferu. Similar advanced level entirely subterranean tombs we could observe at the beginning of the 2nd dynasty: Gallery tombs A and B. The above explains why Sneferu’s son, Nefermaat’s tomb, was further away from the Pyramid of Meidum, with a lot more inferior and weaker construction.
 In this presentation I will use a 3D model of the sarcophagus to demonstrate its high precision and advanced level for that time. Also, I will present various information implicating the older, possibly 2nd Dynasty nature of mastaba 17. This would back one of my theories—the hardstone-cutting technique is not only inherited, but the sarcophagi, together with other hardstone works, were reused by dynastic Egyptians.</t>
  </si>
  <si>
    <t>Granite Sarcophagus</t>
  </si>
  <si>
    <t>Meidum</t>
  </si>
  <si>
    <t>Komazawa University, Tokyo</t>
  </si>
  <si>
    <t>Bulgarian</t>
  </si>
  <si>
    <t>laura.harris1@hdr.mq.edu.au</t>
  </si>
  <si>
    <t>Laura Harris</t>
  </si>
  <si>
    <t>Beasts of Burden: Ploughing in the New Kingdom Period</t>
  </si>
  <si>
    <t>Ancient Egypt was an agrarian society that heavily relied on cattle to serve a wide range of functions, including being employed for their draught power during the agricultural cycle, transportation of goods, and as an important source of food. Cattle were not only part of Egyptian society, but their culture as well, being integrated into religion and kingship, and as a result they are depicted frequently in art. In the New Kingdom period (c. 1550-1069 BCE), images of cows ploughing the fields are represented in “daily life” and afterlife scenes in elite tombs. Frequently, the ploughmen are depicted holding implements in their hands while they push the plough or are in various stages of hitting their cattle. This paper will examine whether the ploughmen employed implements as a tool to direct the cows’ movement and/or to inflict pain. Drawing on veterinary studies, the potential behaviour these animals are expressing in these scenes will be determined. Analysis of the scenes has found that half of the cattle are represented with behaviour indicative of stress, indicating implements were primarily utilised to inflict pain. Significantly, the majority of cattle ploughing in afterlife scenes were found to exhibit pain behaviour. In the Book of the Dead, the afterlife is described as an idyllic landscape, and so activities that are depicted in these scenes are shown in their accepted form. It is therefore likely that using implements to beat cattle was the norm and considered a necessary part of ploughing by the Egyptians.</t>
  </si>
  <si>
    <t>cattle</t>
  </si>
  <si>
    <t>animal welfare</t>
  </si>
  <si>
    <t>Macquarie University</t>
  </si>
  <si>
    <t>giulia.magnani@unito.it</t>
  </si>
  <si>
    <t>Giulia Magnani</t>
  </si>
  <si>
    <t>Mapping the Logistics of Ritual: Digital and Theoretical Approaches to Ceramic Circulation in the Fifth Dynasty Sun Temples</t>
  </si>
  <si>
    <t>This paper proposes an integrated approach to the study of Old Kingdom pottery, combining digital spatial analysis with the new theoretical framework of objectscapes (Pitts &amp; Versluys 2021). Drawing on the preliminary data of my PhD project, carried out at the University of Turin under the supervision of prof. Massimiliano Nuzzolo, the research explores the role of pottery in the ritual and economic logistics of royal solar cults and temple areas in the Memphite region during the Late Old Kingdom, with particular focus on the Sun Temple of Nyuserra (fifth king of the Fifth Dynasty, c. 2350–2320 BCE) at Abu Ghurab.
Using GIS-based mapping and contextual analysis, the study reconstructs the spatial organization of pottery deposits within the temple complex, examining patterns of production, use, and discard. These patterns are compared with those documented in contemporary funerary temples in the Memphite region, highlighting shared and divergent practices in cultic and administrative settings. The resulting spatial configurations point to cyclical processes of circulation, offering and deposition, understood here as material expressions of the performative dimension of solar cult rituals.
Within the objectscapes framework, pottery is interpreted not merely as functional containers but as active participants in a dynamic network of material relations. Its circulation, transformation, and deposition mediated both ritual practice and institutional organization, contributing to the logistics of cultic performance and resource management. By integrating empirical ceramic data with digital methodologies and theoretical reflection, this paper argues for a reassessment of the role of pottery in reconstructing the material infrastructure and sacred economy of the Old Kingdom.</t>
  </si>
  <si>
    <t xml:space="preserve">Old Kingdom </t>
  </si>
  <si>
    <t>Sun Temple of Nyuserra</t>
  </si>
  <si>
    <t xml:space="preserve">University of Turin </t>
  </si>
  <si>
    <t>Frankincense and Southern Trade in the Fourth Millennium BCE: Trade with Southern Arabia and the Formation of Egyptian Dynastic Society</t>
  </si>
  <si>
    <t>In Predynastic Egypt, imported exotic items embodied not only long-distance trade but also the restricted access to rare resources among emerging social strata. Goods acquired through long-distance maritime trade were particularly scarce, and aromatics constituted a prominent category. Among these, high-quality frankincense (Boswellia sacra) was exceptionally rare, as it grows only in regions of southern Arabia, notably eastern Hadramawt and Dhofar, and was highly valued in Egyptian ritual contexts for its fragrance. Despite its importance, the origins of frankincense importation and its role in Egyptian social transformation in Predynastic and Protodynastic periods have not been sufficiently examined. Archaeological evidence indicates that so-called ‘resin’ first appeared in Egyptian burial contexts during the Naqada IC period, where it is predominantly associated with richly-endowed graves and this ‘resin’ may have included frankincense. This suggests that access to such rare aromatics was confined to a limited segment of society prior to the mid-Predynastic period. However, the specific modes of ‘resin’ utilisation before the Naqada III period remain unclear, whereas the earliest confirmed appearance of incense burners dates to the Naqada IIIA–B period, coinciding with the Protodynastic phase. This phase also corresponds with the first firm evidence for incipient temples, suggesting an institutionalisation of aromatic use in cultic contexts and possibly in elite mortuary practices; at this stage, patterns of controlled access to frankincense comparable to those of the Dynastic period were likely established. Meanwhile, in southern Arabia, sedentary-oriented societies emerged during the Late Neolithic (mid to late fourth millennium BCE) and probably contributed to the export of frankincense to Mesopotamia and Egypt; thus, the Egyptian frankincense trade can be linked to contemporaneous social change in southern Arabia, as emerging elites in Predynastic Egypt incorporated this aromatic, whose circulation was probably increasing during this period, into a repertoire of prestige goods.</t>
  </si>
  <si>
    <t>Frankincense</t>
  </si>
  <si>
    <t>Southern Arabia</t>
  </si>
  <si>
    <t>marwan.kilani@unibas.ch</t>
  </si>
  <si>
    <t>Marwan Kilani</t>
  </si>
  <si>
    <t>Thinking in Groups: New Kingdom Group Writing and the Egyptian Mind</t>
  </si>
  <si>
    <t xml:space="preserve">Group Writing is a distinctive orthographic system that emerged in the New Kingdom, employing monosyllabic words and segments to transcribe loanwords, new Late Egyptian vocabulary, and possibly dialectal terms. It differs sharply from Middle Kingdom transcription practices and largely disappears after the New Kingdom. Beyond its structural novelty, Group Writing is remarkable for its apparent overcomplexity: hundreds of groups are attested, in contrast to the few dozen signs used in Middle Kingdom renderings of foreign names. Where does this complexity originate, and what factors led both to the development of Group Writing and to its abandonment after only a few centuries?
This paper will argue that Group Writing represents a rare instance of an incipient shift toward increased logographic organization. Whereas Middle Kingdom transcriptions suggest that individual signs constituted the primary cognitive units of the script, the New Kingdom use of monosyllabic words as groups implies that syllables, or even whole words, had come to function as the basic units of orthographic representation. This development is reminiscent of processes observed in East Asia, most notably in the formation of Chinese characters.
It will be argued that the motivation for this reconceptualization is best explained in phonological terms: The Late Egyptian dialect underlying Group Writing may have diverged from the phonology presupposed by Middle Kingdom orthography to such an extent that traditional sign–consonant correspondences were obscured, rendering spelling largely conventional rather than transparently phonetic. A comparable situation can be observed in English, where modern spellings often reflect medieval pronunciations and are no longer easily reconcilable with contemporary speech. At the same time, the emergence of Group Writing in a southern early 18th-Dynasty milieu, and its later disappearance as northern writing traditions culminating in Demotic came to dominate, suggest that these developments might have been dialect-specific rather than pan-Egyptian.
</t>
  </si>
  <si>
    <t>Linguistics</t>
  </si>
  <si>
    <t>Cognitive perception of writing</t>
  </si>
  <si>
    <t>New Kingdom Group Writing</t>
  </si>
  <si>
    <t>Switzerland</t>
  </si>
  <si>
    <t>Swiss</t>
  </si>
  <si>
    <t>jacqueline.huwyler@unibas.ch</t>
  </si>
  <si>
    <t>Dr. des. Jacqueline M. Huwyler</t>
  </si>
  <si>
    <t>To Each Their Own Style: Dress and “Foreign” (Syro-Palestinian) Identity in New Kingdom Egypt</t>
  </si>
  <si>
    <t xml:space="preserve">This presentation examines the close and ancient relationship between dress and cultural identity, exploring how clothing and personal adornment in New Kingdom Egypt served as a deliberate visual language through which individual and collective identities were articulated, regulated, and negotiated. The study begins with a brief overview of the clothing and adornment typically associated with standardized depictions of the Syro-Palestinian cultural “other” by the administration of New Kingdom Egypt, establishing a baseline against which artistic conventions and deviations may be assessed. These visual markers are then analyzed through the theoretical framework of topos and mimesis (A. Loprieno), alongside anthropological approaches to identity such as habitus (P. Bourdieu), in order to explore the relationships between artistic convention, personal intention, and social reality. What visual cues would have marked an individual as “foreign” in daily life? To what extent did the iconography of the administration reflect the lived realities of cultural diversity? By examining when, how, and by whom identity could be visually ascribed, this presentation contributes to ongoing research into the interplay between culture contact and identity construction, challenging portrayals of ancient Egypt as culturally homogeneous as well as concepts of a unified Syro-Palestinian cultural “other.” The presentation concludes with a brief reflection on the continued relevance of clothing and adornment as markers of individual and social identity today. </t>
  </si>
  <si>
    <t>Culture Contact</t>
  </si>
  <si>
    <t>Identity</t>
  </si>
  <si>
    <t>Clothing</t>
  </si>
  <si>
    <t>Universität Basel</t>
  </si>
  <si>
    <t>Switzerland and America</t>
  </si>
  <si>
    <t>sunliwann@gmail.com</t>
  </si>
  <si>
    <t>Liwan Sun</t>
  </si>
  <si>
    <t>Libyans before the Village: Libyan Groups in Western Thebes during the Late Ramesside Period</t>
  </si>
  <si>
    <t>From the late New Kingdom onward, contacts between Libyan groups and Egypt increased steadily. The most prominent manifestations of these interactions were the Libyan wars under Merneptah and Ramesses III. Although these campaigns successfully repelled the Libyan incursions and upheld Egyptian boundaries at that time, they failed to halt the large-scale migration of Libyans into Egypt. By contrast, the Egyptian tradition of incorporating prisoners of war into the army or service personnel appears to have facilitated this process, facilitating the settlement of a Libyan leadership in the Delta in the early first millennium BCE.
The details of this large-scale migratory movement have long remained obscured, since Libyans left no written records of their own and Egyptian textual sources tend to avoid explicit discussion of the entry of foreign groups into Egypt not directed by Egyptian authorities. Fortunately, a group of village journals and letters mostly related to Western Thebes, dating to the reigns of Ramesses IX–XI, show the presence of Libyans in southern Egypt far removed from their areas of origin, offering an opportunity to survey this immigration process at an early stage in southern Egypt.
Building on previous scholarship and newly identified material, this study reassesses the nature of the Libyans who appear in the Western Thebes archives of the late Ramesside period. While not excluding the presence of small-scale hostile groups, the Theban archives appear to suggest that a certain number of Libyans were absorbed into the Egyptian military system, or at least appeared in southern Egypt as members of regional caravans. The latter, in particular, may have functioned as a supplementary or fallback mechanism within the provisioning system of the workmen’s village.</t>
  </si>
  <si>
    <t>Libyans</t>
  </si>
  <si>
    <t>Migration Processes</t>
  </si>
  <si>
    <t>Northeast Normal University, Changchun, China</t>
  </si>
  <si>
    <t>yannick.wiechmann@web.de</t>
  </si>
  <si>
    <t>Yannick Alexander Wiechmann</t>
  </si>
  <si>
    <t>How good (or bad) is the Saitic redaction?</t>
  </si>
  <si>
    <t>One of the major bottlenecks in the textual history of ancient Egyptian funerary texts was the so-called Saitic redaction. Thereby the repertoire and the order of Book of the Dead spells got more standardized than ever before. Therefore, it is considered an important event (or process) not only for the textual history of this corpus but also for the intellectual history of Ancient Egypt and Antiquity, since it is compared to canonization phenomena like the Hebrew Bible especially since the Persian Period. 
But beyond the mere fact of some kind of standardization or even canonization, less attention is given to the actual texts, their textual quality and their meaning inflicted by that. Some spells were standardized in a rather strange shape, which could trigger a new understanding of them (e.g., BD 153). In other cases, even obviously fragmented text (marked by gmi̯-wš) could become standardized (e.g., BD 7). In contrast, other spells stayed more or less in the same form they already had in the New Kingdom (e.g., BD 44). 
Some scholars have linked the Saitic redaction to the royal court in Sais, since it is believed that only royal authority could establish a unified version of the Book of the Dead for all of Egypt. But this raises several questions: How actually “Saitic” was the Saitic redaction, when in many cases the Saitic form of the spells is already attested in the late Kushite period? Why was the obviously corrupt text standardized in some cases? Why did the carefully redacted (royal) Tanitic version of spells fall out of use? 
The paper raises these questions based on some case studies providing trial trenches for the complex textual history of the Book of the Dead.</t>
  </si>
  <si>
    <t>Textual History</t>
  </si>
  <si>
    <t>Rheinische Friedrich-Wilhelms-Universität Bonn</t>
  </si>
  <si>
    <t>Doctoral Student, Pre-Doc Researcher, Lecturer</t>
  </si>
  <si>
    <t>erik.kiesel@googlemail.com</t>
  </si>
  <si>
    <t>Erik Kiesel</t>
  </si>
  <si>
    <t>Secrets Beyond Visibility</t>
  </si>
  <si>
    <t>One of the “biggest accomplishments” differentiating humans from animals is according to the German sociologists Georg Simmel the ability to create and maintain secrets. In Ancient Egypt, these kinds of secrets occur in various forms. On the one hand, there are phenomena that are hidden by their very nature, on the other, forms of knowledge, that are systematically concealed by human individuals. This kind of distribution is mirrored trough the god Thot, who functions both as the revealer, as well as the concealer of knowledge. Closely associated with mystery and initiation, he grants access to hidden knowledge while simultaneously obscuring its full disclosure. 
Shaped by curiosity, humans tend not only to feel the necessity to know, but also to fantasize. This enabled secrets in Ancient Egypt to be instrumentalized, to create a productive field of possibilities for both, the knowing and the unknowing people. The mechanics underlying these structures can be observed in textual sources, showcasing the privilege of the writer having access to knowledge, which can be explicitly marked as secret, while the illiterate population would experience writing itself as a rather inaccessible form of information. 
Beyond textuality, the whole cultic and sacral apparatus represents an increased density of power structured through different degrees of initiation. While priests, depending on their ritual status, were able to approach the divine statue, regularly the ordinary non-initiated Egyptian could at best attempt to glimpse it from a distance, deep within the innermost spaces of the temple. This realm of just-beyond-visibility can be associated with the powerful image of the veiled Isis (of Sais), a figure that not only shaped philosophical ideas of the later western world (Schiller, Novalis) but also seems to exemplify the aesthetic force and the political efficacy of the structural opacity in Ancient Egyptian society.</t>
  </si>
  <si>
    <t>Scribal Practices</t>
  </si>
  <si>
    <t>Sociology</t>
  </si>
  <si>
    <t>Ludwig-Maximilians-Universität München</t>
  </si>
  <si>
    <t>Doctoral Student, Pre-Doc Researcher, Research Fellow</t>
  </si>
  <si>
    <t>Trent.Hugler@hertford.ox.ac.uk</t>
  </si>
  <si>
    <t>Trent Hugler</t>
  </si>
  <si>
    <t>ERASED TO BE SEEN? A REASSESSMENT OF THE EPIGRAPHIC INTERVENTIONS ON HATSHEPSUT’S OBELISKS AT KARNAK</t>
  </si>
  <si>
    <t xml:space="preserve">Erasure, modifications, and reuse—through means of restoration, recarving, and substitution—are stratigraphic and materially constrained phenomena. When multiple phases of epigraphic intervention  are identified on a particular monument, the nature of the carving, its sequence, and architectural context  are crucial for understanding the intention behind them. But what happens when two identical, adjacent monuments receive markedly different patterns of erasure and reuse over time?
This conundrum is most pertinently illustrated by Hatshepsut’s obelisks in Karnak’s Amun precinct. Two obelisk pairs were erected in her reign: the wꜢḏ.yt-obelisks between the fourth and fifth pylons, later partially concealed by a 20-metre retaining wall in Thutmose III’s sole reign; and the eastern obelisks, part of Hatshepsut’s easternmost Karnak monument, dismantled early in Thutmose III’s sole reign, although the obelisks remained standing. Despite their similarity in form and decoration, these obelisks experienced markedly different epigraphic interventions, significantly more complex than erasing scenes on temple walls.
This paper reconsiders the changes on Hatshepsut’s obelisks and how these relate to her damnatio memoriae and later restorations. I begin by discussing the architectural setting of Central Karnak during Hatshepsut and Thutmose III’s co-rule. The context of erasures and scenes targeted are then compared. Such analysis reveals that on the eastern obelisks, the erasure of Hatshepsut extended to the pyramidion, while on the southern wꜢḏ.yt-obelisk, it ceased just below the uppermost decorative register, while the northern wꜢḏ.yt-obelisk was left entirely intact. Later restorations under Tutankhamun and Seti I, following the Amarna period hacking out of Amun, reveal that these earlier constraints had been overcome, for these post-Amarna interventions extended the obelisks’ full shafts. Together, the obelisks demonstrate that Hatshepsut’s damnatio memoriae at Karnak was organised ergonomically with accessibility playing a key role, shaped by monumental height, surrounding architecture, and available workspace. 
</t>
  </si>
  <si>
    <t>Hatshepsut</t>
  </si>
  <si>
    <t>Obelisks</t>
  </si>
  <si>
    <t>damnatio memoriae</t>
  </si>
  <si>
    <t>hagar.a.hassan@alexu.edu.eg</t>
  </si>
  <si>
    <t>Hager Hassan Ahmed Ali</t>
  </si>
  <si>
    <t>gogo.hassanali@gmail.com</t>
  </si>
  <si>
    <t>“The Book of Kmyt” as a Witness to the School of Deir el-Madineh: This paper aims to investigate that whether or not there was a school for the training of young scribes at the site of the Great Well at Deir el-Madineh.</t>
  </si>
  <si>
    <t>The Kmyt was used as an educational text for young students, and the teacher was careful to include its general characteristics, in terms of writing in vertical columns, and he was careful to use red ink to write the beginning of paragraphs and punctuation marks, which usually indicate the completion of the meaning, and identification marks, which indicate the end of the lesson for the day, and the distinction and correction that the teacher made, according to what is usually done either by deleting or adding the mark. Thus, we find that all the sources of Kmyt date from the New Kingdom, but the general characteristics of the text that date from the Middle Kingdom are as follows. About 330 ostraca of Kmyt were established, most of them in Deir el-Madineh. Most of the Kmyt ostraca were found in the "Great Well", some ostraca came from the "Southern Kom", a very small number from the "Second Kom", and one or two others were found in a private burial chamber. On the basis of what has been published, the author noticed that the first and second paragraph were the most copied, compared to the rest of the paragraphs, the number of copies of which varied. This paper aims to investigate that whether or not there was a school for the training of young scribes at the site of the Great Well at Deir el-Madineh.</t>
  </si>
  <si>
    <t>kmyt</t>
  </si>
  <si>
    <t>ostraca</t>
  </si>
  <si>
    <t>deir el-madineh</t>
  </si>
  <si>
    <t>A curator and digital database administrator in Greco-Roman Museum - Ministry of Tourism and Antiquities</t>
  </si>
  <si>
    <t>diletta.pubblico@gmail.com</t>
  </si>
  <si>
    <t>Maria Diletta Pubblico</t>
  </si>
  <si>
    <t>Unwrapping New Insights: The Manufacture of Votive Animal Mummies</t>
  </si>
  <si>
    <t>From the New Kingdom onwards, millions of animals belonging to different species were mummified and sold to devotees as votive offerings to specific deities, in the hope of securing protection and favour. Votive animal mummies were often characterized by highly elaborate wrapping systems, executed with remarkable technical skill, which enhanced both their symbolic and economic value.
The wrappings constitute a crucial source for understanding the technological expertise of Egyptian craftsmen and the symbolic role attributed to textiles within religious practice. Wrapping was not merely decorative: it was the primary medium through which the animal body was transformed into a sacred entity and reshaped into an idealized form, visually and symbolically recognizable to both the donor and the deity to whom it was dedicated. In this sense, wrapping functioned as the key agent of the material and ritual transformation of these sacred offerings.
Despite their importance, wrapping systems on votive animal mummies have long remained marginal within Egyptological research. Recent studies have focused on limited samples drawn from specific cemeteries, museum collections, and/or animal species, and have largely relied on macroscopic visual observation. While valuable, this approach has often struggled to capture the technological complexity and symbolic logic underlying the construction of both bundle shapes and surface patterns.
This paper addresses this long-standing gap through the results of the SEAMS project (A Study of Egyptian Animal Mummy Styles), funded by a Marie Skłodowska-Curie Postdoctoral Fellowship. Through a holistic, multi-scalar methodology designed to produce measurable, shareable, and directly comparable results, the research enables a more meaningful understanding of the wrapping chaîne opératoire. It also highlights both substantial variability and recurrent technical solutions within wrapping practices, suggesting technological developments over time, distinctive regional traditions, and workshop-specific practices, thereby allowing previously unprovenanced specimens to be more securely recontextualized within their original cultural settings.</t>
  </si>
  <si>
    <t>votive animal mummies</t>
  </si>
  <si>
    <t>craftsmanship</t>
  </si>
  <si>
    <t>Museo Egizio in Turin/UCLA Cotsen Institute of Archaeology</t>
  </si>
  <si>
    <t>crindi@ucla.edu</t>
  </si>
  <si>
    <t>Carlo Rindi Nuzzolo</t>
  </si>
  <si>
    <t>From Fragments to Faces: Shape as Evidence in the Reassociation of Egyptian Funerary Cartonnage</t>
  </si>
  <si>
    <t>Fragmentary funerary cartonnage from late Pharaonic, Ptolemaic, and Roman Egypt poses enduring challenges for Egyptological interpretation. Once disarticulated from their original burial assemblages, fragments are difficult to reassociate reliably, particularly when potential comparanda are dispersed across museum collections and lack secure provenience. Traditional typological and visual approaches, while informative, often struggle to test reassociation hypotheses in a transparent and reproducible manner.
This paper builds on work developed within the CRAFT Project (www.craft-project.net) to propose a methodological shift in which shape is treated as archaeological evidence. High-resolution 3D models produced through structured light scanning and photogrammetry are analysed using 3D shape analysis to evaluate morphological compatibility between cartonnage fragments and candidate reference objects. Quantitative measures derived from surface geometry, curvature, and deviation mapping are employed to assess degrees of correspondence and to distinguish plausible reassociations from coincidental similarity.
Rather than focusing on classification or stylistic attribution alone, the proposed workflow foregrounds compatibility, uncertainty, and reproducibility, allowing morphological data to be integrated directly into archaeological reasoning. By reframing 3D shape analysis as evidential rather than illustrative, this approach contributes to current discussions on provenance, provenience, and material biography in Egyptian funerary archaeology, while offering a transferable framework for addressing fragmentation in other categories of archaeological material.</t>
  </si>
  <si>
    <t>Provenance and Provenience</t>
  </si>
  <si>
    <t>3D Shape Analysis</t>
  </si>
  <si>
    <t>Cotsen Institute of Archaeology, UCLA, Los Angeles, California</t>
  </si>
  <si>
    <t>jbaptiste.poussard@orange.fr</t>
  </si>
  <si>
    <t>Poussard</t>
  </si>
  <si>
    <t>Osiris-king: From a Local Mytheme to a National Legitimization of Royalty?</t>
  </si>
  <si>
    <t>During the Middle Kingdom, the myth of Osiris underwent new modes of transmission – such as the Coffin Texts, the construction of his temple at Abydos, as well as associated festivals and hymns – alongside innovations. One of these appears to be the increasing prominence and role of Nennysut (Heracleopolis Magna), the capital of the Ninth and Tenth Dynasties, within the Osirian myth. In an geographical hymn, dated formally from the 13th dynasty and which will know a remarkable diffusion and reuse thereafter – attested in 34 sources from the Middle Kingdoms to the Ptolemaic and Roman periods, including instances in which it is incorporate into BD 181, and with elements already traceable in CT 313 – relates that Osiris received the kingship’s regalia at Nennysut.
This mytheme may be connected, for instance, to the creation of the royal names of the god, during the Twelfth Dynasty. This specific innovation has already been discussed by P. Koemoth (GöttMisz 143, 1994, pp. 89-96) and later, in conjunction with the epithet nṯr nfr, by A. Tillier (RdE 62, 2011, pp. 159-174), both of whom interpret these royal names as a form of legitimization of Amenemhat I and Senusret I.
Connections between Osiris and royal power can, moreover, already be traced back to the Old Kingdom, through certain epithets and functions related to the decease, as well as through the geographical dissemination of his cult, supported by local high officials, royal priests and members of the royal family – such as the family of Weni at Abydos.
This paper aims to examine several of these aspects of the relationship between Osiris and royal power, and thereby to contribute new perspectives to the debate surrounding the so-called “Osirian Reform”, and the use of Osiris and his myth as instruments of social, judicial and royal legitimization.</t>
  </si>
  <si>
    <t>Osiris</t>
  </si>
  <si>
    <t>religion</t>
  </si>
  <si>
    <t>political</t>
  </si>
  <si>
    <t>hazem24122020@gmail.com</t>
  </si>
  <si>
    <t xml:space="preserve">hazem24122020@gmail.com </t>
  </si>
  <si>
    <t>Carrying the God in Motion: A Walking Theophorous Statue as a Living Ritual Strategy in Ptolemaic Thebes</t>
  </si>
  <si>
    <t xml:space="preserve">This poster presents a new interpretive reading of the Ptolemaic statue JE 37139 (Egyptian Museum, Cairo), identifying it not merely as a theophorous image, but as a deliberately dynamic ritual device designed for visibility, movement, and permanent liturgical action within the Karnak temple complex.
Unlike conventional naophorous or static votive statues, JE 37139 depicts a donor walking while openly carrying Osiris, establishing a rare visual theology in which the human body itself becomes a mobile ritual instrument. The combination of a striding pose, hard black granite, free-standing Osiris figure, and Cachette provenance suggests that this statue was intended for public temple space, functioning as an eternal, visible act of service rather than a passive commemorative image.
Through iconographic, stylistic, and comparative analysis, the poster argues that JE 37139 represents a Ptolemaic Theban strategy of religious self-representation, in which priestly elites reaffirmed traditional Egyptian identity by transforming personal devotion into a perpetual ritual performance in motion. The statue thus challenges the notion of late private sculpture as conservative repetition and instead reveals a sophisticated visual response to political change, cult continuity, and the negotiation of sacred presence.
By reframing the statue as a “living ritual” rather than a static object, this study highlights its exceptional value within the Karnak Cachette and demonstrates why this statue demands renewed attention in discussions of Ptolemaic religious practice and temple space dynamics.
</t>
  </si>
  <si>
    <t>Living Ritual</t>
  </si>
  <si>
    <t>Ritual Agent</t>
  </si>
  <si>
    <t>Transformation</t>
  </si>
  <si>
    <t>yukaito0628@gmail.com</t>
  </si>
  <si>
    <t>Yuka Ito</t>
  </si>
  <si>
    <t>Collecting Egyptian Antiquities in Pre-War Japan: Art, Specimens, and Cultural Reception</t>
  </si>
  <si>
    <t xml:space="preserve">　　The collection of Egyptian antiquities in Japan began before the establishment of Egyptology and the emergence of professional Egyptologists. This paper examines the reception of ancient Egypt in the pre-war period of Japan, from the late nineteenth century to the 1930s, by tracing the history of collections of Egyptian antiquities located in the Chūgoku region. Through this approach, it demonstrates that ancient Egypt was perceived as one of the sources of Western art. 
　　In particular, this study focuses on the human networks connected to the Tokyo Fine Arts School (currently Tokyo University of the Arts), where the first lecture on Egyptian archaeology in Japan was delivered in 1896.
　　One key figure in this context is the Western-style painter Torajiro Kojima, who collected Japan's first large-scale private collection of Egyptian antiquities. His collection, which is now split between the Ohara Museum of Art and the Nariwa Museum in Okayama Prefecture, was actually used by fellow artists as specimens. This paper reports on other examples of artists’ use of Egyptian antiquities as specimens, based on previously unreported materials from another museum in Okayama Prefecture.</t>
  </si>
  <si>
    <t>Reception of Ancient Egypt</t>
  </si>
  <si>
    <t>History of Collecting</t>
  </si>
  <si>
    <t>Waseda University/Okayama Orient Museum</t>
  </si>
  <si>
    <t>walidegyptology22@gmail.com</t>
  </si>
  <si>
    <t>Walid Elsayed</t>
  </si>
  <si>
    <t>El-Qariah bil Dueir: News from a nearly lost Monastic Community from the Byzantine Period</t>
  </si>
  <si>
    <t xml:space="preserve">This paper presents first results from the ongoing fieldwork by the Egyptian Ministry of Antiquities at El-Qariah bil Dueir, which identified an extensive, previously undocumented monastic complex. Located 6 km west of Kom Ishqaw in the North of Sohag Province, the site contains an extensive antiquity area which has been known for a century. But while the toponym El-Qariah bil Dueir – literally “the Village in the Monasteries” – has long suggested a significant cenobitic history, the site remained an archaeological terra incognita until recent excavations.
Following a 2023 survey by the Tahta Inspectorate, excavations in 2025 revealed a sophisticated monastic complex. Oriented on an east-west axis, the site comprises at least 80 mud-brick structures composed of a rectangular hall and a smaller room with a vaulted ceiling, all featuring plastered walls. These units likely served as monk cells and oratories. Several buildings open onto southern courtyards containing circular installations, possibly communal dining tables. At the center of the site lies a large tripartite church featuring a domed nave, a choir, and a semi-circular sanctuary.
Ceramological evidence dates the complex to the 6th–8th centuries CE. Additional finds, including tools, ostraca inscribed with names and numbers, and fragments of Coptic limestone stelae, offer vital insights into the community's daily life and social structure. This evidence provides a significant new dataset for assessing early monasticism in the Sohag region. Furthermore, it offers a crucial archaeological counterpart to the neighboring community of Aphrodito, famously documented in the 6th-century Dioscorus Archive, thereby enriching our understanding of the rural landscape of Byzantine and Early Islamic Egypt.
</t>
  </si>
  <si>
    <t>El-Qariah bil Dueir</t>
  </si>
  <si>
    <t>Monastic archaeology</t>
  </si>
  <si>
    <t xml:space="preserve"> Byzantine Period </t>
  </si>
  <si>
    <t>Director of Tahta Antiquities Inspectorate, Egyptian Ministry of Antiquities and Tourism</t>
  </si>
  <si>
    <t>jerabekd@gmail.com</t>
  </si>
  <si>
    <t>David Jerabek</t>
  </si>
  <si>
    <t>A Group of Sun Temple Priests Attested on Sealings from the Pyramid Complex of Raneferef</t>
  </si>
  <si>
    <t>Revision study of the corpus of more than one thousand clay sealings from the Old Kingdom pyramid complex of King Raneferef in Abusir is approaching its concluding phase. Thanks to new, detailed documentation of the whole corpus, new epigraphic details have been recognized, including those on sealings that were published earlier. In addition, the initial suggestions of the excavator Miroslav Verner concerning the replication of certain motifs (cf. Verner et al. 2006) have been expanded and refined. As a result, approximately one third of all sealings in the corpus have been associated with the repeated use of about sixty theoretical seals. 
These theoretical seals attest to the activities of a diverse group of individuals associated with several institutions. Some of them may have operated outside the pyramid complex or served merely as contributors to cult offerings (for example those who sealed portable jars only). Some probably worked on-site, as they participated in sealing of presumably stationary objects or containers. 
The talk focuses on a case study of seal-holders bearing titles related to the Sun Temples within the corpus under study. Approximately eighteen theoretical seals belonging to such individuals can be identified, with several additional examples attested on sealings not attributed to replicating seals. This group of seal-holders will be discussed with respect to their distribution across reign periods, their association with specific Sun Temples, their titles and additional offices, and their overall sealing activities.
While the previously published sealings relevant to the group were thoroughly discussed individually (Nuzollo 2018), the present study makes it possible not only to incorporate the unpublished material, but also to shift the focus from individual sealings to individual seal-holders, allowing a broader consideration of their careers.</t>
  </si>
  <si>
    <t>sealings</t>
  </si>
  <si>
    <t>Sun Temples</t>
  </si>
  <si>
    <t>Old Kingdom Abusir</t>
  </si>
  <si>
    <t>plorenz7@uni-koeln.de</t>
  </si>
  <si>
    <t>Pia Lorenz</t>
  </si>
  <si>
    <t>From Calipers to Laser Scanning: Methodological Advances in Anthropology and Their Application to Ancient Egyptian Human Remains of a Subaltern Community in Zawyet Sultan</t>
  </si>
  <si>
    <t>The field of funerary archaeology in Egyptology has been dominated by the analysis of iconographic scenes, texts, architecture, and the rich evidence of extant material culture. The focus on this source material has favoured the investigation of elite populations, while the assessment of subaltern individuals has been limited to their physical remains and questions relating to biological factors such as biological sex, age, and pathologies. However, new methods of (digital) bioarchaeology now offer an opportunity to shed fresh light on the lives of lower-status individuals.
This paper will discuss current technological developments of anthropological methods within Egyptology and how they have been implemented in the field. It will provide insight into avenues for future research focusing on reconstruction of labour and habitual activities as a key component of lifestyles in disempowered groups which might be at variance with those of ancient Egyptian elites. 
The early Old Kingdom cemetery of Zawyet Sultan (ancient Hebenu) is used as a case study in the talk. It is currently excavated as part of the project ‘Subalternegy’ of the University of Cologne funded by the European Research Council. Most individuals of this cemetery are buried with few or no grave goods and were likely part of middle- to lower-status social groups. One important analytical component of the project is the application of the VERA (Validated Entheses-Based Reconstruction of Activity) method to human remains, a recently developed non-invasive multivariate 3D method to infer labour activities and lifestyles in an ancient Egyptian context.</t>
  </si>
  <si>
    <t>Subalternity</t>
  </si>
  <si>
    <t>Interdisciplinary</t>
  </si>
  <si>
    <t>Anthropology</t>
  </si>
  <si>
    <t>University of Cologne, Institute for African Studies and Egyptology</t>
  </si>
  <si>
    <t>emilie.sarrazin@yale.edu</t>
  </si>
  <si>
    <t>Émilie Sarrazin</t>
  </si>
  <si>
    <t>Buried Close to Home: The Development of the Tell Edfu Necropolis</t>
  </si>
  <si>
    <t>Between 1932 and 1939, more than one hundred monumental and modest tombs were uncovered at the foot of the tell of Edfu, capital of the Second Upper Egyptian nome. Although ravaged by decades of sebbakh digging, excavations conducted by the IFAO and the University of Warsaw revealed an extensive provincial necropolis that flourished primarily between the Old and Middle Kingdoms, in close proximity to the ancient settlement. While our knowledge of the cemetery still largely relies on the results of these 1930s campaigns, more than six decades would pass before contemporaneous archaeological layers would be excavated in the adjacent town. Work carried out by the Tell Edfu Project over the past twenty years has since brought to light settlement remains dating from the late Fifth to the early Eighteenth Dynasty. Although chronologically aligned, the two datasets have never been systematically integrated, and the development of the necropolis has not yet been reassessed in light of the renewed understanding of the settlement. This paper aims to re-examine the evolution of the Tell Edfu cemetery in conjunction with the results of recent urban excavations. Focusing on the spatial organization of the necropolis and its relationship to the town, it addresses questions regarding the geographical and chronological extent of the burial ground, as well as its shifting use over time. By doing so, this study seeks to highlight the dynamic occupation of this funerary landscape and to identify distinctive features in the development of this Upper Egyptian necropolis.</t>
  </si>
  <si>
    <t>Settlement archaeology</t>
  </si>
  <si>
    <t>Tell Edfu</t>
  </si>
  <si>
    <t xml:space="preserve">Provincial cemetery </t>
  </si>
  <si>
    <t>Canadian</t>
  </si>
  <si>
    <t>svenja.dirksen@uni-wuerzburg.de</t>
  </si>
  <si>
    <t>Svenja Dirksen</t>
  </si>
  <si>
    <t>Rain, rain, go away! - Water-related catastrophes and preventive measures in ancient Egypt</t>
  </si>
  <si>
    <t xml:space="preserve">Despite its hyperarid climate, Egypt suffered regularly from natural disasters, such as heavy rainfalls, thunderstorms and resulting wadi flash floods that posed a threat to the ancient Egyptian population. Therefore, from as early as the Old Kingdom, the Egyptians developed preventive measures to protect themselves from the damage caused by extensive flooding and rainfall. Basins, canals and other constructions to divert rainwater were developed over time, as were roof drainage systems, which were used in prestigious buildings as well as in residential houses and fortifications.
In addition to the archaeological remains, a surprisingly diverse corpus of textual evidence has been preserved that provides interesting insights into the perception and interpretation of such extreme natural events. Almost 20 different terms for rain and thunderstorms survive in the Egyptian vocabulary, which shows us that the phenomenon was not only well known, but also played an important role. By analysing the contexts of use of these terms, their semantics and determinatives throughout various periods of time, a clearer picture of the relationship between the Egyptians and extreme weather phenomena emerges.
Considering the historical development of Egypt’s climate, it is thus possible to gain a more comprehensive impression of water-related natural catastrophes that occurred in ancient Egypt, their management and interpretation.
</t>
  </si>
  <si>
    <t>Natural catastrophes</t>
  </si>
  <si>
    <t>Rain</t>
  </si>
  <si>
    <t>Disaster management</t>
  </si>
  <si>
    <t>University of Würzburg, Germany</t>
  </si>
  <si>
    <t>maydanasf@gmail.com</t>
  </si>
  <si>
    <t>Sebastián Francisco Maydana</t>
  </si>
  <si>
    <t>Rock art, climate change and the origins of the State in ancient Egypt</t>
  </si>
  <si>
    <t>Following Karl Wittfogel’s 1957 “hydraulic hypothesis”, climatic and ecological explanations of the emergence of a state society in the Nile Valley enjoyed a period of remarkable popularity but were all but abandoned by the 1990s. A new generation of scholars criticised the older approaches as speculative and environmentally deterministic, favouring more sociopolitical explanations instead. More recently, however, the development of computer modelling tools, together with a better understanding of climate change events in the Late Holocene, made it increasingly difficult to ignore the certain influence of said events in the development of complex societies. Species Distribution Models (SDMs) are one such tool, and a relatively new technology that has never been used in the study of ancient Egyptian evidence. In this paper, I wish to present the preliminary results of a cross-disciplinary investigation that integrates species distribution modelling, archaeozoological data and pictorial evidence from rock art to establish likely scenarios for past changes in biodiversity, human-animal relations and societal organisation in response to climate change. In this sense, I will focus particularly on the Predynastic Period of Egypt (ca. 5300-3000 BCE), which was a time of profound climatic and societal changes leading to the formation of the Pharaonic civilisation. I contend that pairing rock art studies with species distribution models provides a more nuanced, non-deterministic understanding of the ecological and social processes that facilitated the formation of the Pharaonic State. In particular, environmental and rock art evidence show a preference for depicting hunting scenes at a time when this was not only a largely unusual economic activity, but an increasingly exotic one. As climate change pushed many of the depicted species away from Upper Egypt, the act of hunting gained new significance. This suggests that hunters remained pivotal agents in the sociopolitical developments of the Late Predynastic period.</t>
  </si>
  <si>
    <t>Predynastic Period</t>
  </si>
  <si>
    <t>Upper Egypt</t>
  </si>
  <si>
    <t>Argentinian</t>
  </si>
  <si>
    <t>miyagawa.so.kb@u.tsukuba.ac.jp</t>
  </si>
  <si>
    <t>Mona Sawy, Magdy Elwan, and So Miyagawa</t>
  </si>
  <si>
    <t>Recent Developments in the Coptic Graffiti Documentation Project: Digital Preservation of Egypt's Christian Heritage in Pharaonic Tombs and Temples</t>
  </si>
  <si>
    <t xml:space="preserve">The Coptic Graffiti Documentation Project (CGDP) addresses a critical gap in the documentation and preservation of Egypt's Christian epigraphic heritage. Thousands of historical Coptic graffiti across archaeological sites—including the Temple of Seti I at Abydos, the Valley of the Kings (KV9, KV2), Philae, and the Temple of Hatshepsut—face deterioration without systematic documentation. These graffiti, dating from the 4th to 12th centuries CE, represent invaluable testimony to early Christian monasticism, particularly female monastic communities, during Egypt's religious transformation following the 391 CE Theodosian edict.
This interdisciplinary project employs advanced digital methodologies to create a comprehensive, cloud-based database built on Omeka S architecture with five interconnected modules. Our unique cataloging system (e.g., ABY-STI-H2-E-037) provides scalable site identification from individual locations to national corpus integration. The multimedia repository uses seven imaging modalities, including DStretch processing for faded pigments, Reflectance Transformation Imaging (RTI) for surface topography, multispectral photography for palimpsests, and 3D modeling, integrated through IIIF protocols and Linked Open Data principles.
The Conservation Assessment Module features standardized damage categorization (salt efflorescence, pigment migration, and delamination), severity indices for resource allocation, temporal change detection through comparative imaging, and priority ranking systems. Our custom Archeo-Vision Pro software enhances graffiti visualization and analysis capabilities.
Preliminary findings reveal distinct Christian appropriation strategies: respectful avoidance of pharaonic imagery at Abydos, systematic defacement at Philae, and strategic clustering around specific iconographic scenes at KV9. These patterns illuminate gender-specific conversion strategies and the evolution from ritual visitation to permanent monastic occupation.
The three-phase process begins with an Abydos pilot documenting all Seti I temple inscriptions, expands to five major sites using crowdsourcing platforms, and culminates in predictive conservation modeling. This project transforms fragmented documentation into a unified digital resource, preserving indigenous Christian voices and helping explain Egypt's cultural transformation from the 4th to 12th centuries.
</t>
  </si>
  <si>
    <t>Coptic Graffiti</t>
  </si>
  <si>
    <t>Digital Humanities</t>
  </si>
  <si>
    <t>Religious Landscape</t>
  </si>
  <si>
    <t>Assiut University (Mona Sawy and Magdy Elwan), the University of Tsukuba (Mona Sawy and So Miyagawa), Japan Society for the Promotion of Science (Mona Sawy)</t>
  </si>
  <si>
    <t>Post-Doc Researcher, Associate Professor</t>
  </si>
  <si>
    <t>Japan (Mona Sawy and So Miyagawa), Egypt (Magdy Elwan)</t>
  </si>
  <si>
    <t>Egyptian (Mona Sawy and Magdy Elwan), Japanese (So Miyagawa)</t>
  </si>
  <si>
    <t>sek462@nyu.edu</t>
  </si>
  <si>
    <t>Sophia Kroft</t>
  </si>
  <si>
    <t>UNEXPECTED ENCOUNTERS: FINDING HIPPOPOTAMUS IMAGERY ON SOME FORGOTTEN PREDYNASTIC OBJECTS</t>
  </si>
  <si>
    <t>This paper highlights five previously overlooked decorated ceramic objects dating from the Predynastic Period by presenting a new evaluation of their imagery. It not only elucidates their individual motifs and decorative schemes but also introduces a link between them, providing cohesion within the long-lasting trajectory of a favored motif, the hippopotamus. 
These intriguingly decorated ceramics include a theriomorphic ‘gaming’ table, three Fancy Ware vessels, and an early Decorated Ware vessel dating between Naqada I – Naqada IIC. The pieces, comprising painted and modeled ornamentation, are considered as both sculptural and functional objects, yet scholars have so far been unable to determine their uses or a consensus on the imagery. Though well-provenanced, they remained enigmatic and little studied, with few parallels in the corpus of Predynastic ceramics, and the absence of complete documentation via photographs, line drawings, or written descriptions proved challenging to further scholarship.
This research applies an art historical analysis via first-hand close examination of the objects’ painted imagery and sculptural ornamentation with high-resolution photography to record surface details. The methodology gives particular attention to motif designs and formal qualities of the images and relies only on excavated Predynastic comparanda to draw conclusions and interpretations. The findings suggest the imagery on these remarkable objects all relates to a preferred Predynastic motif, the hippopotamus, yet the hippopotamus is an unexpected discovery in these pieces. The curious flat mode used for its depiction and its challenge to scholars’ long-held belief in the absence of hippopotamus imagery after Naqada IIB make it an unlikely candidate. This paper discusses how a hippopotamus reading in fact offers cohesion to the trajectory of hippopotamus imagery throughout the Predynastic Period and is one that may further illuminate how the hippopotamus motif was used to communicate ideas in periods from which it was believed to have disappeared.</t>
  </si>
  <si>
    <t>hippopotamus imagery</t>
  </si>
  <si>
    <t>decorated ceramics</t>
  </si>
  <si>
    <t>Independent Scholar (recent graduate of Institute of Fine Arts, NYU)</t>
  </si>
  <si>
    <t>alicia.tellelghaba@gmail.com</t>
  </si>
  <si>
    <t>Alicia Flores Martín</t>
  </si>
  <si>
    <t>Models of Tower Houses: The Contribution of Photogrammetry to Architectural Understanding</t>
  </si>
  <si>
    <t>This paper presents a new stage in the study of tower houses within the framework of the Archaeological Mission at Tell el-Ghaba. After fifteen years of restricted access to Northern Sinai, activities at the site resumed in April 2025. The mission, directed by Dr. Eva Calomino and Dr. Agustina Scaro under the auspices of the University of Granada (Spain), was able to return to Tell el-Ghaba to continue excavation, documentation, and analysis.
During earlier field campaigns conducted between 1995 and 2010 by the Argentine mission, two examples of tower-house structures were identified at the site. These findings prompted a comparative study of this architectural type in the Nile Delta and Northern Sinai, with particular attention to their formal characteristics and potential functions within their historical and social contexts.
The present work examines several figurines representing tower houses dated to the Ptolemaic and Roman periods. The archaeological remains of these multi-storey buildings are largely limited to their foundations, which constrains the reconstruction of their original elevation and architectural elements. In this context, figurines become a valuable source of information, as they offer visual evidence for verticality and features that cannot be inferred solely from preserved remains.
The results of the photogrammetric analysis performed on these tower-house models are presented through the current research. Photogrammetry provides a non-invasive methodology that allows the creation of highly accurate three-dimensional models. These digital reconstructions not only enhance visualization, but also serve as analytical tools through which architectural hypotheses derived from the archaeological record can be tested and refined.
By integrating digital photogrammetry with comparative architectural study, this research contributes to a deeper understanding of the form, function, and variability of tower-houses in the Nile Delta and Northern Sinai.</t>
  </si>
  <si>
    <t>Tower-Houses</t>
  </si>
  <si>
    <t>Photogrammetry</t>
  </si>
  <si>
    <t>Architectural models</t>
  </si>
  <si>
    <t>Archaeological Mission at Tell el-Ghaba</t>
  </si>
  <si>
    <t>julian.posch@oeaw.ac.at</t>
  </si>
  <si>
    <t>Julian Posch</t>
  </si>
  <si>
    <t>Are you my Ancestor?  Re-evaluating the Chambre des ancêtres</t>
  </si>
  <si>
    <t>Kinglists are the backbone of chronological studies in Egyptology. These lists of kings are by no means homogenous and offer different orders of kings, leave some of them out, and are chronologicaly limited by the point at which they were created. While Redford has rightfully criticised the inflation usage of kinglists and suggested to only view the Royal Canon of Turin as an actual kinglist, this has not been adopted by the majority of Egyptology. A particularly interesting case is the Chambre des ancêtres (Louvre E 13481 bis) erected by Thutmoses III in the Akhmenu at Karnak. Several kings of this offering list to Thutmoses’ III ancestors date to the otherwise often omitted section of Second Intermediate Period kings. Their order doesn’t follow any chronological order and various hypotheses have been put forward concerning the selection of kings.
The publication of photographs of this monument on the Louvre Database allows to study this inscription at great detail. Especially damaged parts of the cartouches led to different reconstructions of royal names in older publications. By combining old and new resources, this paper will offer a new perspective on this document, enhance the reconstruction of mentioned kings, and provide an improved understanding of this list. 
Due to the selective character and anachronistic naming of kings, this source has mostly been neglected for historical chronological studies. This paper will present a holistic study of this document, highlighting important chronological information from it and offer a detailed discussion on the possible selection process(es).</t>
  </si>
  <si>
    <t>Chambre des ancêtres</t>
  </si>
  <si>
    <t>Kinglists</t>
  </si>
  <si>
    <t>University of Innsbruck/Austrian Academy of Sciences</t>
  </si>
  <si>
    <t>jpn32@alu.ua.es</t>
  </si>
  <si>
    <t>Dr. José Pérez Negre</t>
  </si>
  <si>
    <t xml:space="preserve">ANALYSIS OF THE MIDDLE KINGDOM NECROPOLIS LOCATED IN THE AREA OF THE MILLIONS OF YEARS TEMPLE OF TUTMOSIS IV. STRUCTURAL TYPOLOGY AND CONSTRUCTIVE REUSE DURING THE NEW KINGDOM. </t>
  </si>
  <si>
    <t xml:space="preserve">In 2024, a new research project was launched within the IEEC's Egyptology Seminar, focusing on the spatial study of the vast Middle Kingdom necropolis located in the rocky outcrop known as the Tarawan Chalk Formation, in the area historically known as Memnonia. In this regard, and under the academic supervision of the University of Alicante (Spain), a research stay was carried out at Le Collezioni Egittologiche ‘Edda Bresciani’ dell'Università di Pisa. Thanks to the expertise of the Pisan professionals and the kindness of Dr. F. Silvano, we were able to study, photograph and draw various materials from the interventions that were carried out under the academic and technical direction of Dr. E. Bresciani in the area of Qurna, in the Temple of Millions of Years of Thutmose IV.
Through the study of materials and planimetric backgrounds, this work has allowed us to carry out a spatial and topographical restoration of the necropolis, establishing a chrono-cultural sequence that is probably very close to the original process in which the hypogeums known as ‘Petrie Tomb’, ‘Tomb 73’ and ‘Tomb 81’ were built. ‘Tomb 79’ and ‘Tomb 81’ were built.
The opportunity to analyse the drawings (elevations, sections, plans and ceramic material) first-hand, together with the review of the archaeological materials, has enabled us to establish when the hypogeums were built and when they fell into disuse. 
The new sections obtained allow us to carefully consider how the Temple of Millions of Years of Thutmose IV was established, its phases, and the relationship between the temple and its nearest hinterland and the agricultural domains of the Oasis and the Delta.
</t>
  </si>
  <si>
    <t xml:space="preserve">MIDDLE KINGDOM NECROPOLIS </t>
  </si>
  <si>
    <t>TUTMOSIS IV</t>
  </si>
  <si>
    <t>MILLIONS OF YEARS TEMPLE</t>
  </si>
  <si>
    <t>Spanish Institute of Egyptology and Coptology / University of Alicante (Spain)</t>
  </si>
  <si>
    <t>ivan.ramos@uib.eu</t>
  </si>
  <si>
    <t>Ramos Arcos, Ivan</t>
  </si>
  <si>
    <t>Diplomatic Spaces and Contexts of Interaction between Ptolemaic Egypt and Republican Rome (III-I BC)</t>
  </si>
  <si>
    <t>This paper explores diplomacy between Ptolemaic Egypt and the Roman Republic through the analysis of diplomatic spaces and contexts of interaction, understood as key frameworks in which negotiation, communication, and power relations were articulated. Rather than focusing exclusively on treaties or political outcomes, the study examines how specific spaces conditioned diplomatic practice and structured access to decision-making.
The research situates Ptolemaic diplomacy within the wider Hellenistic system while emphasising the persistence of earlier Egyptian traditions and their adaptation to new geopolitical circumstances. Particular attention is paid to the royal court as a central diplomatic arena, alongside urban, ritual, and semi-formal spaces where encounters between Egyptian and Roman agents took place. These settings are approached as active components of diplomacy, shaping hierarchies, performative practices, and the balance between visibility and control.
Methodologically, the paper combines historical and philological analysis of literary sources with epigraphic and papyrological evidence and a preliminary prosopographical classification of diplomatic agents. This interdisciplinary approach allows for the identification of recurring patterns in Romano-Ptolemaic interaction, such as regulated access to the ruler, ritualised hospitality, and the strategic use of informal negotiation contexts.
By analysing diplomatic spaces as instruments of political interaction, this contribution highlights the progressive transformation of the Ptolemaic diplomatic model under increasing Roman pressure. More broadly, it aims to contribute to current discussions on Hellenistic diplomacy by foregrounding space as a fundamental dimension of international relations in the ancient Mediterranean.</t>
  </si>
  <si>
    <t>Hellenistic Diplomacy</t>
  </si>
  <si>
    <t>Roman Republic</t>
  </si>
  <si>
    <t>Universitat de les Illes Balears (UIB)</t>
  </si>
  <si>
    <t>Maegan.hanway@yale.edu</t>
  </si>
  <si>
    <t>Maegan Hanway</t>
  </si>
  <si>
    <t>Soul Houses': A New Strategy for Interpretation of Model Architecture</t>
  </si>
  <si>
    <t>Early excavators of so-called 'soul houses’ of the First Intermediate Period and Middle
Kingdom compared the small ceramic objects to Egyptian domestic architecture. However, close comparison of ‘soul houses’ with Middle Kingdom domestic architecture and existing typologies of domestic structures from Elephantine and Tell el-Dab’a show clear structural differences, thus revealing flaws with the traditional domestic interpretation of ‘soul houses’. This paper aims to outline Middle Kingdom typologies of domestic structures as they are relevant to an interpretation of the architectural features of ‘soul houses’ to suggest that, rather than having an explicitly domestic form, ‘soul houses’ are architecturally ambiguous. In my own examination of a small corpus of ‘soul houses’ and pottery offering trays in the Royal Ontario Museum in Toronto, Ontario suggests a level of architectural ambiguity, much like what Dorothea Arnold found in the Meketre model of a slaughterhouse. Ultimately, any interpretation of the architectural features of ‘soul houses’ should acknowledge their architectural ambiguity and focus on specific aspects represented in the models. This could be a more fruitful analytical approach than trying to fit them into a household typology. paper calls for a more nuanced approach to this category of object, suggesting that ‘soul houses’ likely reflect small-scale and regional aspects of private religion rather than a broad Middle Kingdom conceptualization of “domestic afterlife” for the soul. This paper raises broader issues concerning the validity of etic definitions of ritual objects, social variability, and how museums present these objects to the public.</t>
  </si>
  <si>
    <t>soul houses</t>
  </si>
  <si>
    <t>ceramic models</t>
  </si>
  <si>
    <t>middle kingdom</t>
  </si>
  <si>
    <t>js11376@nyu.edu</t>
  </si>
  <si>
    <t>Jasmine Smith</t>
  </si>
  <si>
    <t>The Art of Religious Entanglement in the Kharga Oasis: An Unpublished Domestic Wall Scene</t>
  </si>
  <si>
    <t xml:space="preserve">During the Metropolitan Museum of Art’s 1909 Kharga Oasis excavations, Herbert Winlock produced a tracing of a painted wall scene in a Roman period house at Ain et Turba. This unpublished scene exists in the expedition’s archive in the form of Winlock’s tracing, a photograph, and a handwritten description of the scene by Charles Wilkinson. The scene features three figures armed with lances and mounted on horseback as they attack a serpent. While no inscriptions were recorded in relation to the scene, Wilkinson suggests that the figures likely represent a Christian saint, Horus, and either Thoth or Seth. According to his identifications, the scene could provide a significant example of Christian and traditional Egyptian religious figures interacting in a domestic context. 
While Wilkinson's description and hypotheses are useful, the identity of the figures remains a mystery. The scene lends itself to additional inquiry, including: how did the scene function in a domestic context; where does its “extraordinarily crude-ness”, as Wilkinson put it, lie on the spectrum of painting vs graffiti; what other evidence exists to support or dispel Wilkinson’s theories regarding the identity of the mounted figures; and finally, where does the scene fit within the visual evidence we have from Late Antique Ain et Turba and the Kharga Oasis? To explore these questions this paper will take a comparative approach that places the rendering of the figures (including the horses and serpent) in conversation with contemporary images on coffins and tomb walls at the nearby necropolis of Bagawat.
</t>
  </si>
  <si>
    <t>Cultural Entanglement</t>
  </si>
  <si>
    <t>Kharga Oasis</t>
  </si>
  <si>
    <t>mohamedyosri88@gmail.com</t>
  </si>
  <si>
    <t>Mohamed Yosri Ramadan Hussien</t>
  </si>
  <si>
    <t>Textile Mounts: An Integrated Approach to the Preservation and Exhibition of Museum Collections</t>
  </si>
  <si>
    <t>Textile mounting constitutes a fundamental component of conservation practice and plays a decisive role in the physical stabilization, interpretive presentation, and long-term preservation of museum collections. Well-designed textile mounts provide essential structural support, distribute weight evenly, and minimize mechanical stress on fragile fibers, seams, and decorative elements. Mounting systems are therefore no longer regarded as purely display accessories but are increasingly recognized as integral tools of preventive conservation.Historically, the development of mounts was linked to museum exhibition practices of the eighteenth and nineteenth centuries. During this period, objects were often attached to rigid backings or suspended using permanent and invasive methods that prioritized visual impact over material compatibility and reversibility. The widespread use of rigid boards, metallic fixings, and unsuitable adhesives resulted in deformation, tension, fiber breakage, and irreversible damage.At the Grand Egyptian Museum, textile mounting techniques and customized museum support systems have been implemented on an unprecedented scale in Egypt. These systems address a wide range of archaeological materials, including textiles, armor, cartonnage, jewelry, and composite objects, particularly from the Tutankhamun collection. This collection includes an exceptional variety of fragile, multilayered, and ornamented artifacts that require tailored mounting solutions. These mounting systems are applied not only for exhibition purposes but also as integral components of preventive conservation strategies for safe handling, storage, and long-term preservation.This study focuses on textile mounts as a core conservation tool, examining their structural and functional properties, the conservation-grade materials used in their fabrication, and the criteria guiding their selection according to object type and condition. The research also discusses challenges encountered during implementation, particularly those related to large dimensions, irregular forms, complex structures, and weight distribution. By documenting these challenges and the solutions adopted, the study highlights textile mounting as a critical interface between conservation ethics, preventive care, and sustainable museum display practice.</t>
  </si>
  <si>
    <t>Textile Mount</t>
  </si>
  <si>
    <t>Preservation</t>
  </si>
  <si>
    <t xml:space="preserve">Co-author (Hend Yassin, Menna Allah Mohamed, Enas Mohamed, Sara Ismael) The Grand Egyptian Museum </t>
  </si>
  <si>
    <t>Pre-Doc Researcher, Others</t>
  </si>
  <si>
    <t>fdonn@gradcenter.cuny.edu</t>
  </si>
  <si>
    <t>Fenfang DONG</t>
  </si>
  <si>
    <t>Consuming Egypt at Home: Visual Possession, Status, and David Roberts’ Prints in mid Nineteenth-Century Britain</t>
  </si>
  <si>
    <t>This article examines how David Roberts’ Egypt and Nubia prints functioned in mid-nineteenth-century Britain as more than travel images: they were commodities through which viewers consumed and claimed Egypt as cultural possession. While Grand Tour scholarship has richly described travel practices, the afterlife of travel—how experience was converted into lasting social value—has received less attention. Bringing together reception-oriented art history and material culture studies, the article reads Roberts’ subscription prints (in both luxury and cheaper editions) as status-bearing objects whose portability allowed owners to re-situate Egyptian monuments within domestic interiors and personal narratives of cultivation. 
Methodologically, it combines close visual analysis—particularly of the detailed renderings of Egyptian monuments that make Egyptian imagery visually compelling, whether leafed through in the hand or mounted in frames on the wall—with a contextual study of print formats, marketing, and display practices, demonstrating how reproducible images acquired authority and sufficient vividness to sustain “armchair” appreciation and distinction. 
This article argues that owning Roberts’ prints enabled middle-class “new money” households to perform refined taste and historical knowledge in competition with “old money” classicism oriented toward Greece and Rome. At the same time, these domestic displays resonated with broader Victorian currents that incorporated Egypt into national narratives of origins and civilization, reinforcing an ideology that ancient Egypt could be claimed as ancestral while modern Egypt appeared in need of “restoration.” By reframing Roberts’ prints as instruments of consumption, social differentiation, and historical imagination, this study shows how Egyptian visual culture was domesticated in Britain and how print ownership helped translate travel, empire, and antiquarian knowledge into everyday moral legitimacy.</t>
  </si>
  <si>
    <t>print culture</t>
  </si>
  <si>
    <t>The Graduate Center, City University of New York</t>
  </si>
  <si>
    <t>bethanyreayx@hotmail.com</t>
  </si>
  <si>
    <t>Bethany Reay</t>
  </si>
  <si>
    <t>Ptolemaic Cartonnage: An analysis of geographic motif distribution and potential regional workshops</t>
  </si>
  <si>
    <t xml:space="preserve">This study examines iconography and stylistic variations in motifs on funerary cartonnage in Ptolemaic Egypt (332-30 B.C.), with a focus on the broad collar and extended torso panels as primary locations for motif circulation and adaptation. The research aims to identify regionally distinct workshop traditions and local adaptations of widely distributed motifs. A multidisciplinary methodology integrates archaeological context, archival research, iconographic cataloguing, and comparative visual analysis. This study builds on Clarke’s Analytical Archaeology framework, using attribute and attribute states to code all motifs present within the corpus, and Willem’s application of attribute analysis for coffin classification. Craftsmanship indicators, such as material choice (papyrus or linen), application of paint, complexity of colour choice and linework, use of gilding, evidence of preplanning (such as underdrawing), and the structural composition of cartonnage, are also recorded and evaluated.
Although the present corpus does not allow for a definitive attribution of cartonnage to distinct regional workshops due to its small sample size, three key arguments begin to emerge within the locations analysed (Thebes, Akhmim, Abydos, Hawara, El-Lahun, &amp; Gurob). First, structural frameworks, such as register organisation and framing devices, tend to cluster geographically, although there is still considerable variability within regions. Second, widely diffused motifs appear to be stylistically adapted to reflect regional aesthetic preferences. Third, this variability may result from a mix of shared practices and local theological or aesthetic influences. 
</t>
  </si>
  <si>
    <t>Ptolemaic</t>
  </si>
  <si>
    <t xml:space="preserve">Iconography </t>
  </si>
  <si>
    <t xml:space="preserve">University of Manchester </t>
  </si>
  <si>
    <t>England</t>
  </si>
  <si>
    <t>maia.nolan@icloud.com</t>
  </si>
  <si>
    <t>Maia Nolan</t>
  </si>
  <si>
    <t xml:space="preserve"> Displaying the Forgotten Agents of the Petrie Museum: Indigenous Agency and Photographs in Museums Displays  </t>
  </si>
  <si>
    <t>This study examines the development of displays featuring workforces in archaeological museums. Despite a growth in literature examining the stories of the local people who carried out archaeological excavations in the Middle East and North Africa in recent years, there is still a limited number of displays in Western museums that actually present this information to the public. This paper analyses the application of theory of indigenous agency and decolonisation museological literature in displays focusing on the contributions of Egyptian workforces in Western museums. It posits that one path forward to address the gap in representation is the use of photographs in curation.
In order to examine viability of such a solution and how it may be applied to museum display curation, a case study of one of the oldest displays in the United Kingdom, The Petrie Museum of Egyptian and Sudanese Archaeology, is constructed through a series of interviews with former and current museum staff. The past, present, and future of the project is evaluated for flaws, advantages, and challenges. In addition, this display is compared across others in the National Museum of Scotland, The Penn Museum and the Museo Egizio in Turin, to contrast approaches and depth of the integration of the workforces within the narrative of the galleries. 
This study concludes that in order to prevent the reinforcement of colonialism within displays, a project needs collaboration and an understanding of the negative history of these photographs, as well as a plan for respecting and humanizing the people within them. When properly carried out, such a project may restore heritage and recentre the narrative of a collection onto previously unseen people.</t>
  </si>
  <si>
    <t>decolonisation</t>
  </si>
  <si>
    <t>museology</t>
  </si>
  <si>
    <t>photographs</t>
  </si>
  <si>
    <t>N/A</t>
  </si>
  <si>
    <t>Irish</t>
  </si>
  <si>
    <t>norahesham937@yahoo.com</t>
  </si>
  <si>
    <t>Nora Hesham Abd El Hay</t>
  </si>
  <si>
    <t>Creative Industries as Interpretive Systems: Puppet Theatre and Analog In-suite Game Design for Museum Collection Interpretation</t>
  </si>
  <si>
    <t>Museums around the world faces some challenges in interpretation collection-based knowledge into meaningful visitor experience and understanding, especially for younger audiences and non-specialist publics. traditional interpretive tools—such as labels, guided texts, and audiovisual media may hinders the transfer of knowledge and emotional connection with the collection. This paper argues that selected creative industries, specifically puppet theatre and analog in-suite game design, which can function as structured interpretive systems rather than supplementary educational activities.
The paper examines two applied case studies in the Egyptian context. The first explores the use of puppet-led online video narratives developed for heritage education, where puppetry operates as a form of narrative embodiment, presenting historical perspectives through dialogue, character, and performance. The second case explores “Boats in Ancient Egypt”, an analog educational game implemented at the Egyptian Museum in Tahrir, it allows players to understand more about ancient Egyptian boats through the museum collection, enabling visitors to construct meaning.
Together, these cases illustrate how non-digital creative practices activate interpretation with procedural engagement and embodied storytelling, enabling cognitive, cognitive-affective-social facets of learning without mediation on screen-based mediation. Rather than considering these practices as localized inventions, the paper proposes a prototypical approach which is transferable in terms of an interpretive framework based on narrative embodiment and procedural meaning-making, applicable across different categories of museum, cultural context, or heritage site.
By reframing puppet theatre and analog games as scalable, this paper contributes to museum interpretation discourse, providing an alternative model for heritage institutions seeking sustainable, participatory, and narrative-driven engagement strategies.</t>
  </si>
  <si>
    <t>creative industries</t>
  </si>
  <si>
    <t>heritage education</t>
  </si>
  <si>
    <t>puppet theatre; analog games</t>
  </si>
  <si>
    <t>nashwa.gamal@gem.eg</t>
  </si>
  <si>
    <t xml:space="preserve">Nashwa Gamal El Dien Diab ElBohi </t>
  </si>
  <si>
    <t>Digital Museums for Children with Autism: A Case Study of the Children’s Museum</t>
  </si>
  <si>
    <t xml:space="preserve">
Introduction
Museums have evolved significantly from their origins as private collections into public institutions dedicated to the preservation and display of cultural artifacts. The contemporary digital transformation has given rise to the virtual museum, a digital entity that leverages the core properties of a physical museum to enhance visitor experience through personalization, interactivity, and enriched content. As public institutions, museums are committed to accessibility for all individuals, including those with autism spectrum disorder (ASD). To design effective and inclusive digital exhibits, it is essential to understand autism and its impact on sensory processing and social interaction, thereby tailoring content to meet specific user needs.
Critical Issue
A primary challenge in the digital shift is that many virtual museums inadvertently create barriers for autistic visitors. Common design elements, such as loud, unexpected sounds and rapid visual flashes, can cause sensory overload and distress, effectively excluding this segment of the audience.
Innovation in Practice: The Children’s Museum
The Children’s Museum presents a forward-thinking model of inclusivity. A central tenet of its mission is the application of advanced information technology to develop online virtual museums and archaeological reconstructions. This commitment extends to creating digital environments that are accessible to visitors with disabilities, including children with autism.
Methodology
This case study employs a qualitative research approach, utilizing in-depth interviews with key stakeholders to gather rich, descriptive data on the design and user experience of the museum's digital exhibitions.
Findings and Conclusion
The study's findings yield critical design guidelines for digital exhibits targeting autistic children. Key recommendations include:
•	Target Audience: Content is most effective when designed for children in the early stages of autism.
•	Display Duration: To maintain engagement and prevent overstimulation, individual exhibit segments should not exceed three minutes.
•	Sensory Design: A carefully controlled sensory palette is crucial. This involves using preferred, calming colors (e.g., blue and white) and eliminating auditory side effects, such as sudden or loud sounds, to create a comfortable and focused learning environment.
</t>
  </si>
  <si>
    <t>Digital museum</t>
  </si>
  <si>
    <t xml:space="preserve">Interaction </t>
  </si>
  <si>
    <t xml:space="preserve">Autistic children </t>
  </si>
  <si>
    <t xml:space="preserve">Head of digital and logistics at Tut Ankh Amun training center at Grand Egyptian museum </t>
  </si>
  <si>
    <t>demagistris.francescoignazio@gmail.com</t>
  </si>
  <si>
    <t>Francesco Ignazio De Magistris</t>
  </si>
  <si>
    <t>Rethinking the Egypt–Mittani Border through the Amarna and Idanda Archives</t>
  </si>
  <si>
    <t>The location of the border between Egypt and Mittani during the 18th Dynasty is a long-debated question. While the Orontes valley is often invoked as the general zone of contact, the precise extent of each kingdom’s political reach is still poorly defined. This presentation re-examines the border question through a previously unexplored angle: the chronology of the Amarna Letters and of the archive of Idanda of Qatna. Taken together, the chronological implications of these contemporary sources provide three under-appreciated indicators for reconstructing the political geography of the region. First, the early-Amarna Mittanian campaign against Amurru presupposes direct Mittanian access to the area of the Lebanon mountains, placing the border at least as far south as Amurru itself. Second, the correspondence from the city of Qatna indicate that Qatna only entered the Egyptian sphere of influence relatively late, and imply that before year 7 of Amenhotep IV/Akhenaten they were under Mittanian authority. Third, Amarna letters written by cities located in the Beqaa Valley strongly suggests that they were under Egyptian control possibly already at the time of Amenhotep III, placing the border therefore somewhere in the northern end of the valley. Taken together, these lines of evidence point to a frontier located south of Qatna and to the likelihood that the Beqaa was integrated into the Egyptian network by the mid-18th Dynasty. This approach not only refines the map of Egyptian–Mittanian interaction, but highlights the value of chronological synchronisation in resolving long-standing historical debates.</t>
  </si>
  <si>
    <t>Amarna letters</t>
  </si>
  <si>
    <t>Egyptian border</t>
  </si>
  <si>
    <t>Idanda Archive</t>
  </si>
  <si>
    <t>University of Lausanne</t>
  </si>
  <si>
    <t>mahmoud.amer@arc.aswu.edu.eg</t>
  </si>
  <si>
    <t xml:space="preserve">Mahmoud Amer Ahmed Mohamed </t>
  </si>
  <si>
    <t>Abydos Beyond Inscription: Rethinking Associative Value and Cultural Continuity in a Prospective World Heritage Nomination</t>
  </si>
  <si>
    <t>Abydos is one of the most ancient and symbolically charged sacred landscapes in Egypt, continuously revered from the Early Dynastic Period through the Greco-Roman era. Despite its exceptional archaeological richness and profound religious significance—particularly as a cult center of Osiris—Abydos has not yet been inscribed on the UNESCO World Heritage List. This proposal advances a new interpretive approach to Abydos’ potential nomination by foregrounding its associative value and long-term cultural continuity as core attributes of Outstanding Universal Value (OUV), rather than focusing solely on monumental architecture or isolated archaeological components.
The study examines Abydos as a living sacred landscape, where funerary, ritual, and pilgrimage practices evolved yet retained symbolic coherence over more than three millennia. By integrating textual evidence (royal inscriptions, Pyramid Texts, and Osirian liturgies), archaeological data, and landscape analysis, the research demonstrates how Abydos embodies UNESCO criteria (iii) and (vi), representing both an exceptional testimony to ancient Egyptian civilization and a site directly associated with beliefs of universal significance. The proposal also evaluates comparative cases on the World Heritage List—such as Luxor and Memphis—to highlight gaps in representing early sacred landscapes and ritual geographies.
In addition, the study addresses contemporary challenges relevant to nomination, including site integrity, boundaries, buffer zones, and management frameworks, aligning them with the Operational Guidelines for the Implementation of the World Heritage Convention. By proposing a values-based and landscape-oriented nomination strategy, this research contributes to broader debates on how early religious centers and intangible dimensions of heritage can be more effectively recognized within the World Heritage system. Ultimately, it positions Abydos as a strong and distinctive candidate for future inscription, capable of enriching the global narrative of sacred heritage.</t>
  </si>
  <si>
    <t xml:space="preserve">World Heritage List </t>
  </si>
  <si>
    <t>World Heritage nominations</t>
  </si>
  <si>
    <t xml:space="preserve">Lecturer at the faculty of archeology, Aswan University </t>
  </si>
  <si>
    <t>madolynh@berkeley.edu</t>
  </si>
  <si>
    <t xml:space="preserve">Madolyn Hyytiainen-Jacobson </t>
  </si>
  <si>
    <t>Hosting the Dead: Mortuary Feasting and Commensality New Kingdom Saqqara</t>
  </si>
  <si>
    <t xml:space="preserve">Scholarship on ancient Egyptian mortuary feasting emphasizes the provision of food and drink as both a practical and social strategy: offerings ensured the deceased’s sustenance in the afterlife while simultaneously sustaining their presence within the memory and rituals of the living community. Architectural features such as offering tables and ka statues functioned as tangible focal points for this exchange, anchoring interactions between the living and the dead within the tomb space. In parallel, painted and carved representations of offerings operated as symbolic and eternally renewable resources, guaranteeing perpetual nourishment even in the absence of ongoing ritual activity.
In this perspective, the deceased is conventionally understood as the recipient of mortuary feast, but scholarship has largely overlooked how these practices also constructed the dead as a perpetual host, thus coding the deceased as both host and guest.  Drawing on Dietler’s feasting typologies, I examine the forms of feasting encoded within tomb architecture and decoration to show how commensality functioned as a religious, social, and  political strategy simultaneously at Saqqara during the New Kingdom. Thus, mortuary feasting not only sought to appease the dead and secure reciprocal benefits for the living, but also served to continuously reaffirm the deceased’s social and political agency beyond death.
</t>
  </si>
  <si>
    <t>feasting</t>
  </si>
  <si>
    <t>Commensality</t>
  </si>
  <si>
    <t xml:space="preserve">Mortuary archaeology </t>
  </si>
  <si>
    <t xml:space="preserve">UC Berkeley </t>
  </si>
  <si>
    <t>United Staes of America</t>
  </si>
  <si>
    <t xml:space="preserve">American </t>
  </si>
  <si>
    <t>emanabdelhamid.msa@gmail.com</t>
  </si>
  <si>
    <t>Eman Abdel Hamid</t>
  </si>
  <si>
    <t xml:space="preserve"> Temporary Exhibitions in Egyptian Museums as Instruments of Audience Engagement and Professional Training over the Past Twelve Years</t>
  </si>
  <si>
    <t xml:space="preserve">Over the last 12 years, temporary exhibitions in Egyptian museums have been on the increase and have gradually changed from descriptive to complex meaning. They have developed from adjuncts to fixed displays into types of exhibition in their own right with appeal for wider audiences. This change has played a part in framing temporary exhibitions as a field of specialisation that necessitates professional expertise and education, but provides pedagogical tools for the acquisition of museum skills during the use value of short-term exhibition projects.
In this paper, we examine the evolving role of temporary exhibitions in Egyptian museums, particularly examining how its value as a tool for engaging with audiences has grown and evolved alongside its parallel use as an opportunity for training and inspiration among museum professionals and scholars. The analysis is qualitative and utilizes case studies of sample temporary exhibitions organized in a number of key Egyptian museums between 2014-2026.
The cases studies are investigated with reference to the documentation of exhibitions, the analysis of visitor engagement strategies, relevant educational programmes and the nature of professional resistance to planning for and delivery of exhibitions. The study also addresses the effects of cooperation in the area of institutions and research with both internal museum departments and external organizations dealing with heritage and archaeology.
The study shows that temporary exhibitions are increasingly significant in shaping the relationship between museums and visitors, playing a key role in establishing interactive and interpretive settings which increases visitor satisfaction especially as forms of exhibition media and design evolve. In addition, these exhibitions have offered a training ground for museum research, curatorship, and exhibition design; indeed the exhibitions have effectively served as “museum academies” in situ and help contribute to building capacity for both museum professionals/volunteers and emerging researchers.
The paper asserts that temporary exhibitions are strategically used in order to strengthen sustainability and social relevance of Egyptian museums through linking audiences’ development with professional training, and by employing flexible exhibition paradigms suitable for coping with contemporary museological challenges.
</t>
  </si>
  <si>
    <t xml:space="preserve">temporary exhibitions </t>
  </si>
  <si>
    <t>Egyptian museums</t>
  </si>
  <si>
    <t xml:space="preserve">museum skills </t>
  </si>
  <si>
    <t>Egyptian Museum - Ministry of Tourism and Antiquities</t>
  </si>
  <si>
    <t>noursmn2007@gmail.com</t>
  </si>
  <si>
    <t>Nour</t>
  </si>
  <si>
    <t>The Mechanism of Statuary Distribution in Egyptian Temples during the New Kingdom</t>
  </si>
  <si>
    <t xml:space="preserve">Egyptian temples during the New Kingdom were characterized by their vast size, serving multiple purposes, primarily those of the king and the gods. This expansiveness necessitated management, organization, and coordination in the display of statues. Statues of kings, goddesses, priests, and high-ranking officials were of particular importance. It is noteworthy that the arrangement within these temples was periodically rearranged. This research focuses on this topic, identifying the mechanisms for statue distribution, which varied according to importance, chronological context, social status, and surrounding architectural style. Given the loss of much archaeological evidence due to the destruction of most temples, and considering that statues were movable artifacts that were either moved or lost, this research will also examine textual evidence to create a more accurate picture.
</t>
  </si>
  <si>
    <t>Ancient Egyptian Statues</t>
  </si>
  <si>
    <t xml:space="preserve">New kingdom </t>
  </si>
  <si>
    <t xml:space="preserve">Dr. Nour Galal Professor of Ancient Egyptian Archaeology  Ain Shams University Cairo Egypt </t>
  </si>
  <si>
    <t>gehad.mohamed@mu.edu.eg</t>
  </si>
  <si>
    <t>Gehad Mohamed Ibrahim Bakr</t>
  </si>
  <si>
    <t xml:space="preserve">Drawn with Intelligence: Representation the too much Objects in Ancient Egyptian Tomb Walls </t>
  </si>
  <si>
    <t>The ancient Egyptian artists used various methods and artistic techniques in displaying the objects, whether they are furniture, offerings, jewellery, or even daily life objects. They executed the required items in a perfect way, not only fitting the space of the wall but also the representation of the full composition theme. These techniques were the frontal picturing, repeating, or overlapping. They were attested in Old, Middle, and New Kingdom wall tombs for example Saqqara, Gizah, and Deir el Bersha tombs and so on. The ancient Egyptian artists were cleverest in using the tricky artistic ways indicating the advancement of teaching pictorial aspects. Many previous studies dealt with paintings, iconography and colors in ancient Egypt. This paper will discuss the above-mentioned techniques from an artistic perspective. The primary aim of this research is to tackle the definition of plenty in art and its silent symbols behind art, and the various ways of expressing. The methodology will be achieved through surveying the artistic techniques in old kingdom tombs and analysing the depicted items corpora and their significance.</t>
  </si>
  <si>
    <t>Art of Visualization</t>
  </si>
  <si>
    <t>Artistic techniques</t>
  </si>
  <si>
    <t>Methods of representation</t>
  </si>
  <si>
    <t>Faculty of Tourism and Hotels, Minia University</t>
  </si>
  <si>
    <t>rsprice@brynmawr.edu</t>
  </si>
  <si>
    <t>Robyn Price</t>
  </si>
  <si>
    <t>Secrets Sealed in Stone: Retinking Alabaster in Ancient Egyptian Offering Formulae</t>
  </si>
  <si>
    <t xml:space="preserve">English translations of ancient Egyptian offering formulae have long privileged visual and object-centered readings. One persistent example is the translation of ḥtp dj nsw formulae that include the alabaster vessel (Gardiner Sign ??) as references to “alabaster,” rather than to the aromatic substances those vessels conventionally contained. This paper argues that such translations reflect modern visual biases rather than ancient ritual priorities, and that re-centering scent and substance offers a more accurate understanding of ancient Egyptian religious practice.
Building on recent work in sensory archaeology and olfactory studies of ancient Egypt, this paper revisits select occurrences of the ḥtp dj nsw formula in which the alabaster vessel appears as part of the proffered offerings. Rather than reading these instances as references to stone material or vessel type, I propose interpreting them as shorthand for unguents—substances whose efficacy depended on smell, texture, and bodily application. This reframing aligns with archaeological, textual, and iconographic evidence that situates unguents as active mediators in ritual exchange, enabling divine presence, transformation, and renewal through sensory engagement.
By shifting the focus from container to content, this paper highlights how translation practices shape modern reconstructions of ancient religion, particularly by marginalizing non-visual modes of knowing. The proposed reinterpretation does not claim a definitive retranslation of all occurrences, but instead offers a methodological intervention: a call to treat scent as a primary analytic category in the study of ritual language. In doing so, the paper contributes to broader conversations in religious studies about embodiment, material religion, and the sensory dimensions of devotional practice, demonstrating how attention to olfactory experience can productively unsettle long-standing textual conventions.
</t>
  </si>
  <si>
    <t>Alabaster</t>
  </si>
  <si>
    <t>Sensory</t>
  </si>
  <si>
    <t>Bryn Mawr College</t>
  </si>
  <si>
    <t>matthieu.goetz@fu-berlin.de</t>
  </si>
  <si>
    <t>Matthieu Götz</t>
  </si>
  <si>
    <t>The Painted Decoration of the Senebnebef-Mastaba in Dahshur</t>
  </si>
  <si>
    <t>A mastaba excavated by the German Archaeological Institute (DAI) in spring 2024 at Dahshur revealed painted wall decoration, a relatively rare feature within the Dahshur necropolis.
The mastaba dates to the late Old Kingdom and is located in the extensive cemetery east of the Red Pyramid. It comprises eight shafts, a chapel, a corridor with cult niches, and a serdab. Based on the false door found in the chapel, the tomb can be attributed to a man named Senebnebef and his wife, Idut. The painted decoration of the cult chapel has almost completely disappeared. However, the lower registers of the corridor decoration are well preserved, depicting burial equipment, boats, offering bearers, agricultural and market scenes, as well as parts of an offering-table scene showing the tomb owner and his wife.
The mastaba’s location on the southern slope of the wadi east of the Red Pyramid, its proximity to the so-called White Pyramid of Amenemhat II, and its architectural features and decorative style closely associate it with the Mastabas de l’Ancien Empire excavated by Jacques de Morgan between 1894 and 1895. However, de Morgan’s 1903 publication of these excavations is unfortunately superficial and contains errors. Many questions regarding this important cemetery remain unanswered.
This paper, based on the author’s master’s thesis, aims to answer some of these questions by providing an iconographic and stylistic overview of the painted decoration of the tomb of Senebnebef and thus adding context to de Morgan’s Mastabas de l’Ancien Empire.</t>
  </si>
  <si>
    <t>Tomb Decoration</t>
  </si>
  <si>
    <t>Dahshur</t>
  </si>
  <si>
    <t>irena.kalfas.benesova@gmail.com</t>
  </si>
  <si>
    <t>Irena Kalfas Benešová</t>
  </si>
  <si>
    <t>Female Tomb Ownership in the Old Kingdom: Evidence from the Memphite Necropoleis</t>
  </si>
  <si>
    <t xml:space="preserve">Despite the long-standing perception that the majority of Old Kingdom tombs belonged to men, evidence demonstrates that a small but significant group of women acted as primary tomb owners. This paper examines Old Kingdom burials from the Memphite necropoleis in which women appear not merely as wives or secondary figures, but as the central focus of commemoration, monument construction, and funerary cult provision.
The study addresses two interrelated questions: under what social, economic, and institutional conditions could women commission tombs for themselves or become the principal recipients of funerary cults, and how was this status articulated through architecture, decoration, and titulary? Previous research has identified a limited corpus of tombs in which women are explicitly named as owners or are the sole or dominant figures in the funerary decorative programme. These cases are frequently associated with priestly titles, particularly within temple cults, or with landholding roles that may have generated independent income, while in other instances tombs appear to have been provided by close family members, often male relatives.
Through a comparative and integrative analysis of tomb location, architectural features, decorative programmes, and titulary across a defined corpus of female-owned tombs, incorporating reassessed and newly re-excavated material, this paper explores how female ownership was visually and spatially constructed within private funerary monuments. It demonstrates that although limited in number, these tombs can provide a clearer understanding of how women’s social position, institutional roles, and access to resources shaped their ability to commission tombs or to become primary recipients of funerary cults.
This paper forms part of an ongoing PhD project entitled "Iconography of Royal and Non-Royal Women in the Old Kingdom Tombs", which investigates female representation across royal and private funerary contexts, focusing on how iconography, titulary, spatial organisation, and monumentality reflect women’s roles within mortuary cults and social structures.
</t>
  </si>
  <si>
    <t>Female-owned tombs</t>
  </si>
  <si>
    <t>Memphite necropoleis</t>
  </si>
  <si>
    <t>Charles University, Prague</t>
  </si>
  <si>
    <t>alaas1312@gmail.com</t>
  </si>
  <si>
    <t>Alaa Shams</t>
  </si>
  <si>
    <t>Lost on the Wall, Found in Pixels: Reassessing TT75 through Digital Archaeological Illustration</t>
  </si>
  <si>
    <t>Early records of Theban tombs are very important for studying ancient Egyptian art, especially when original wall paintings have been damaged or lost over time. This paper looks again at Norman de Garis Davies’ facsimile drawings of Tomb TT75 (Amenhotep Sise) using digital archaeological illustration, focusing on both analysis and heritage preservation.
Davies carefully recorded the tomb’s painted scenes in 1923, but some of these elements are no longer visible on the walls due to natural decay over the last century. Today, these decorations survive only in Davies’ facsimile drawings. By creating high-resolution digital illustrations (pixels) from these facsimiles, we can analyze, reconstruct, and preserve these lost images. This method not only recovers important visual information but also provides a permanent record for research and conservation.
The digital illustrations do more than copy Davies’ drawings. They are analytical tools that help study workshop practices, artistic sequences, and the overall design of the tomb’s decoration. Combining historical facsimiles with modern digital techniques improves our understanding while creating a record that protects information at risk of being lost forever.
TT75 is used as a case study to show how archaeological illustration has evolved from simple recording to a modern research method that connects historical data, digital reconstruction, and conservation. This paper argues that combining classical facsimiles with digital methods is essential for recovering, studying, and preserving lost visual heritage, giving new insights into both the art and material history of New Kingdom elite tombs.</t>
  </si>
  <si>
    <t>Digital Archaeological Illustration</t>
  </si>
  <si>
    <t>Lost Wall Paintings</t>
  </si>
  <si>
    <t>Tomb TT75</t>
  </si>
  <si>
    <t>Ministry of Tourism and Antiquities, Egypt</t>
  </si>
  <si>
    <t>lukukvk@gmail.com</t>
  </si>
  <si>
    <t>Luqman Mandayi</t>
  </si>
  <si>
    <t>Experiencing Ancient Egypt as Knowledge Formation: A Survey-Based Study of Indian Tourists</t>
  </si>
  <si>
    <t xml:space="preserve">In this paper, I examine how visiting Egypt transforms the historical understanding of Indian casual tourists through direct engagement with ancient sites and museums. I present this study from my position as an amateur enthusiast of Egyptian history, living in Cairo for two years. I have attended Egyptology-related academic conferences in Egypt and completed a short course on Ancient Egypt at the Netherlands–Flemish Institute in Cairo, which informed my approach to historical interpretation and research design.
During this period, I accompanied approximately 300 Indian visitors across 65 independent travel groups to major locations, including museums in Cairo, the temple complexes of Luxor and Aswan, Alexandria, and Siwa Oasis. For structured analysis, I selected 20 participants from different travel groups and conducted a questionnaire-based survey.
The questionnaire examined participants’ perceptions of Egyptian history before and after their visit, their understanding of ancient knowledge systems, and their views on the relationship between ancient and modern civilizations. Prior to travel, most participants associated Egypt mainly with pyramids and royal mummies. After visiting multiple regions and museum collections—particularly the funerary objects of Tutankhamun—responses showed a clear shift toward recognizing Egypt as a highly sophisticated and influential civilization.
Survey results indicate that many participants reconsidered linear ideas of historical progress and modern superiority, expressing greater respect for ancient Egyptian craftsmanship, scientific knowledge, and social organization. Using a structured survey supported by observational insights, this study contributes to public Egyptology and heritage studies by demonstrating how firsthand engagement with Egypt reshapes popular historical understanding among South Asian visitors
</t>
  </si>
  <si>
    <t>Public Reception of Ancient Egypt</t>
  </si>
  <si>
    <t>Heritage Tourism</t>
  </si>
  <si>
    <t>Historical Perception</t>
  </si>
  <si>
    <t>Completed a short term course on Ancient Egypt at Netherland Flemish Institute,Cairo</t>
  </si>
  <si>
    <t>mary.curwen@yale.edu</t>
  </si>
  <si>
    <t>Mary Curwen</t>
  </si>
  <si>
    <t>Making Gods: The Divine Alchemy of Egypt’s Metallurgical Cult Statues</t>
  </si>
  <si>
    <t xml:space="preserve">Ancient Egyptians long had a well-formed and sophisticated conception of the natural world, cosmic unity and the inherent, divine qualities of different materials, which informed and pervaded their craft technologies. Cult statues can be understood as a capstone that culminates this connection between Egyptian modes of thought and their material practices: rather than simply being images of gods, they were embodiments of the divine imbued with the efficacy of the materials from which they were fashioned. Moreover, they reflect the nature of the divine body as being made of noble metals. In a variety of sources, we encounter the idea that the gods’ skin was made of gold, their bones silver and their hair lapis lazuli.
This paper uses the solid-cast silver cult statue of a falcon-headed deity from the Shumei Collection housed in the Miho Museum as a case study for how the literary description of the composition of Egyptian gods was manifested as concrete physical entities. In doing so, this paper aims to recontextualise this statue within the framework of ancient alchemy. As it is the only surviving example of a gilded silver cult statue of this size, it is instructive for gaining a deeper understanding of the ways in which the ancient Egyptians conceived of the cosmos and its materiality. I thus argue that the sphere of Egyptian religion represented a nexus of materiality, symbolic meaning, and transformation that would form a key aspect to later ‘alchemical’ practice.
As a result, this paper offers an alternative to the scholarly cliché that ancient Egyptians only contributed untheorised ‘base craft technologies’ to the development of ancient ‘alchemy’. Instead, ancient Egyptian conceptions of the divine and natural worlds underpinned the spiritual motivations of Graeco-Egyptian alchemical practice as expressed by Zosimos of Panopolis. 
</t>
  </si>
  <si>
    <t>Divine</t>
  </si>
  <si>
    <t>Alchemy</t>
  </si>
  <si>
    <t>Ana Belen</t>
  </si>
  <si>
    <t>beingabe@gmail.com</t>
  </si>
  <si>
    <t>Constructing Continuity: Ptolemaic Urban Foundations and the Performance of Pharaonic Kingship</t>
  </si>
  <si>
    <t>The consolidation of Ptolemaic rule in Egypt relied not only on military power or administrative control, but also on the strategic use of urban space. This paper examines Ptolemaic city-building as a deliberate engagement with pharaonic traditions of kingship, arguing that urban foundations and architectural interventions functioned as material performances of royal legitimacy.
Focusing on cities founded or substantially reorganized during the late fourth and early third centuries BC—such as Ptolemais, Philadelphia, and Arsinoe (Euergetis)—this study explores how Ptolemaic rulers adopted established Egyptian models of urbanism while simultaneously introducing new administrative and spatial frameworks. The placement of these cities, their monumental programs, and their integration of religious infrastructure reflect a conscious negotiation between innovation and tradition.
By comparing these Ptolemaic foundations with earlier pharaonic practices of city construction, this paper demonstrates that continuity in urban form and symbolic landscape played a crucial role in presenting the Ptolemies as legitimate successors to Egypt’s long-standing royal tradition. Rather than representing a rupture with the past, Ptolemaic cities emerge as carefully constructed sites through which dynastic authority was made visible, durable, and intelligible to diverse populations.
This approach shifts the discussion of Ptolemaic legitimacy away from ethnic presence or economic networks, highlighting instead the political significance of architecture and urban planning in the formation of royal power.</t>
  </si>
  <si>
    <t>Pharaonic</t>
  </si>
  <si>
    <t xml:space="preserve"> legitimacy</t>
  </si>
  <si>
    <t xml:space="preserve">Student </t>
  </si>
  <si>
    <t>klaudia.kornas1@gmail.com</t>
  </si>
  <si>
    <t>Klaudia Kornas</t>
  </si>
  <si>
    <t xml:space="preserve">klaudia.kornas1@gmail.com </t>
  </si>
  <si>
    <t xml:space="preserve">Thoth from the Met – Many Lives of Egyptian Bronzes. Between Art History, Curatorial and Conservation Practices. </t>
  </si>
  <si>
    <t xml:space="preserve">This paper is a case study of a seated figurine depicting Thoth (46.2.3) from the collection of Metropolitan Museum of Art in New York. This object is made of bronze and dates back to the Late Period. Its history – because of modern alterations – points out very interesting aspects of studying Egyptian metal figurines. 
Shortly after being acquired by the Met, it was discovered in the conservation lab that the object consists of several parts that were dated differently. It turned out that the headdress, part of a right hand and legs below the knees were added to the original, ancient figurine. Moreover, the surfaces were covered with modern materials. This discovery led to the questions connected to conservation and museum practices – what should be done with modern alterations? Why were they made in the first place? What is the best and safest in terms of preservation, for the figurine? How should this object be exhibited? 
This presentation focuses on better understanding of this particular case and decisions that were made regarding the best interest of the figurine but also a deeper dive that could help us to better understand, both modern and ancient alterations. This practice, in a way, draws an interesting parallel between ancient Egyptian customs – alterations made because of religious and political reasons or simply caused by damages – and curatorial and conservation decisions in the last century and nowadays. In addition to that, an art historical approach – formal description, stylistic and iconographical analysis will be conducted to convey a more interdisciplinary perspective on the topic. 
It seems that, to a certain extent, bronze figurines were and still are very active and are subjected to different kinds of rituals. </t>
  </si>
  <si>
    <t>figurine</t>
  </si>
  <si>
    <t xml:space="preserve">bronzes </t>
  </si>
  <si>
    <t xml:space="preserve">Adam Mickiewicz University in Poznan, Poland  </t>
  </si>
  <si>
    <t xml:space="preserve">Polish </t>
  </si>
  <si>
    <t>kawasakie@kashikoken.jp</t>
  </si>
  <si>
    <t>Emi Kawasaki, Toshiya Matsui, Tokihisa Higo, Ashraf Youssef Ewais</t>
  </si>
  <si>
    <t>Condition and Environmental Assessment for Conservation of the Tomb of Irukaptah, Saqqara</t>
  </si>
  <si>
    <t>The tomb of Irukaptah at Saqqara archaeological site and dating to the 5th Dynasty, is renowned for its finely carved reliefs distinctive rock-cut statues of its owner. In 2020, heavy rains caused substantial water infiltration, the lower wall inscriptions and statues suffered severe damage, requiring urgent restoration. Given the increasing risk of extreme weather events due to climate change, it is critical to assess the impact of flooding on the tomb's wall paintings and to implement preventive measures that must be addressed across the entire site for its future protection. This has provided an opportunity to review the future conservation management system.
To consider the conservation management systems, we first assessed the current condition of the reliefs and statues and the environment of the chapel. The current condition assessment utilized a digital microscope, a colorimeter, and infrared imaging. Environmental assessment involved continuous recording of temperature, humidity, and carbon dioxide concentration over time, analysis of salts precipitated on the bedrock, and analysis of sulfate ions in powder fallen from the bedrock.
Digital microscope observations revealed cracks and powdering in some areas below the pigment layer (possibly the ground layer). Environmental assessment confirmed fluctuations in temperature, humidity, and CO2 concentration, likely caused by door openings and human traffic. Recrystallization and precipitation of gypsum contained in the bedrock were confirmed, which may also be related to the deterioration of the ground layer. No sulfate ions were detected in the powder shed from the bedrock, suggesting no salt weathering due to soluble salts has occurred.
Based on these findings, the significance of investigating the overall chapel conditions and examining deterioration factors and countermeasures is presented.</t>
  </si>
  <si>
    <t>Reliefs and Statues</t>
  </si>
  <si>
    <t>Rock-cut Tomb</t>
  </si>
  <si>
    <t>Archaeological Institute of Kashihara, University of Tsukuba, Saqqara Restoration and Conservation</t>
  </si>
  <si>
    <t>Applicant NO</t>
  </si>
  <si>
    <t>Preliminary Notes</t>
  </si>
  <si>
    <t xml:space="preserve">        Shabtis were to become one of the most important categories of the tomb`s furnishings during the Middle kingdom period as it replaced the servant statuettes. The shabtis were mummification in shape, acting as a personal substitute for its master. The shabti had many uses, placed in tombs to provide an additional home for the ka, and to receive nourishment in the afterlife. The current study tackles four unpublished shabtis statuettes preserved in the storage of the Leiden Museum in the Netherlands. The paper also discusses, investigates and analyses the techniques of the four shabtis manufacture. Moreover, the paper conducts a comparison with other known-dated examples from other museums collections in order to determine their provenance and approximate date.
</t>
  </si>
  <si>
    <t xml:space="preserve">"jj.n.j dj.j tjtj.k tA jmntj kftiw jsy hr SfSft.k dj.j mA.sn Hm.k m kA rnpt mn-jb spd ʿbwj nj hA.n.tw.f" (Urk IV 615, 17; 616, 1-4)
"I came so I could enable you to trample the western land; Keftiu (Crete) and Isy (Cyprus) are in awe of you. I enabled them to see your majesty as a young bull; firm of heart, sharp of horns, one who cannot cease (invincible)" 
In this passage Thutmose III made a deliberate, brazen, and perhaps culturally informed choice; transforming into a formidable, domineering bull. While the bull’s strength and virility were important ideological components to the image of kingship in ancient Egypt, the bull was also highly symbolic, and cultural significant to the peoples of Late Bronze Age Cyprus and Crete (and by extension, the Mainland of Greece). This raises several interesting questions. How well informed were the Egyptian upper echelons of the cultural values of Crete and Cyprus? Can we identify further Cretan and or Cypriot cultural values - bovine or other – in the Egyptian archaeological and textual records? And what more can we say about the relationship between Crete and Cyprus, from the Egyptian perspective, in the 15th century BCE? We endeavor to address these questions from the Egyptian archaeological and textual records while also providing an interdisciplinary review of Cypriot and Aegean scholarship, concerning their commercial reach and shared cultural milieu in the Late Bronze Age.
</t>
  </si>
  <si>
    <t xml:space="preserve">
Introduction
Museums have evolved significantly from their origins as private collections into public institutions dedicated to the preservation and display of cultural artifacts. The contemporary digital transformation has given rise to the virtual museum, a digital entity that leverages the core properties of a physical museum to enhance visitor experience through personalization, interactivity, and enriched content. As public institutions, museums are committed to accessibility for all individuals, including those with autism spectrum disorder (ASD). To design effective and inclusive digital exhibits, it is essential to understand autism and its impact on sensory processing and social interaction, thereby tailoring content to meet specific user needs.
Critical Issue
A primary challenge in the digital shift is that many virtual museums inadvertently create barriers for autistic visitors. Common design elements, such as loud, unexpected sounds and rapid visual flashes, can cause sensory overload and distress, effectively excluding this segment of the audience.
Innovation in Practice: The Children’s Museum
The Children’s Museum presents a forward-thinking model of inclusivity. A central tenet of its mission is the application of advanced information technology to develop online virtual museums and archaeological reconstructions. This commitment extends to creating digital environments that are accessible to visitors with disabilities, including children with autism.
Methodology
This case study employs a qualitative research approach, utilizing in-depth interviews with key stakeholders to gather rich, descriptive data on the design and user experience of the museum's digital exhibitions.
Findings and Conclusion
The study's findings yield critical design guidelines for digital exhibits targeting autistic children. Key recommendations include:
•        Target Audience: Content is most effective when designed for children in the early stages of autism.
•        Display Duration: To maintain engagement and prevent overstimulation, individual exhibit segments should not exceed three minutes.
•        Sensory Design: A carefully controlled sensory palette is crucial. This involves using preferred, calming colors (e.g., blue and white) and eliminating auditory side effects, such as sudden or loud sounds, to create a comfortable and focused learning environment.
</t>
  </si>
  <si>
    <t>No.</t>
  </si>
  <si>
    <t>Prefix</t>
  </si>
  <si>
    <t>Given Name</t>
  </si>
  <si>
    <t>Middle Name</t>
  </si>
  <si>
    <t>Sure Name</t>
  </si>
  <si>
    <t>Posotion</t>
  </si>
  <si>
    <t>Requester</t>
  </si>
  <si>
    <t xml:space="preserve">☑ Reviewred Abstracts </t>
  </si>
  <si>
    <t>preliminary
approval</t>
  </si>
  <si>
    <t>Early
Carrier</t>
  </si>
  <si>
    <t>Contact</t>
  </si>
  <si>
    <t>Request Email</t>
  </si>
  <si>
    <t>Approval Status</t>
  </si>
  <si>
    <t>Abstract email sent</t>
  </si>
  <si>
    <t>Evaluation</t>
  </si>
  <si>
    <t>1★</t>
  </si>
  <si>
    <t>Prof.</t>
  </si>
  <si>
    <t>Nozomu</t>
  </si>
  <si>
    <t>Kawai</t>
  </si>
  <si>
    <t>Professor</t>
  </si>
  <si>
    <t>Higo</t>
  </si>
  <si>
    <t>Shindo</t>
  </si>
  <si>
    <t>Kingship</t>
  </si>
  <si>
    <t>〇</t>
  </si>
  <si>
    <t>nozomu.kawai@gmail.com</t>
  </si>
  <si>
    <t>2★</t>
  </si>
  <si>
    <t>Dr.</t>
  </si>
  <si>
    <t>Keiko</t>
  </si>
  <si>
    <t>Tazawa</t>
  </si>
  <si>
    <t>Ancient Orient Museum, Tokyo</t>
  </si>
  <si>
    <t>Chief Curator</t>
  </si>
  <si>
    <t>Shindo_肥後修正済</t>
  </si>
  <si>
    <t>Mythology</t>
  </si>
  <si>
    <t>Syrio-Palrstine Culture</t>
  </si>
  <si>
    <t>tazawa@orientmuseum.com</t>
  </si>
  <si>
    <t>4★</t>
  </si>
  <si>
    <t>Nobuyuki</t>
  </si>
  <si>
    <t>Fuji</t>
  </si>
  <si>
    <t>Kansai University</t>
  </si>
  <si>
    <t>History</t>
  </si>
  <si>
    <t>cacov136@hcn.zaq.ne.jp</t>
  </si>
  <si>
    <t>6★</t>
  </si>
  <si>
    <t>Koichiro</t>
  </si>
  <si>
    <t>Wada</t>
  </si>
  <si>
    <t>Kokugakuin University</t>
  </si>
  <si>
    <t>Yamazaki</t>
  </si>
  <si>
    <t>〇（承諾）</t>
  </si>
  <si>
    <t>koichiro.wada@gmail.com</t>
  </si>
  <si>
    <t>7★</t>
  </si>
  <si>
    <t>Kazumitsu</t>
  </si>
  <si>
    <t>Takahashi</t>
  </si>
  <si>
    <t>Kindai University</t>
  </si>
  <si>
    <t>Assosiate Professor</t>
  </si>
  <si>
    <t>△</t>
  </si>
  <si>
    <t>kazumitsut@hotmail.com</t>
  </si>
  <si>
    <t>8★</t>
  </si>
  <si>
    <t>Ryosuke</t>
  </si>
  <si>
    <t>Tokyo Metropolitan University</t>
  </si>
  <si>
    <t>Kuronuma</t>
  </si>
  <si>
    <t>Takenouchi</t>
  </si>
  <si>
    <t>Hellenism–Roman Egypt</t>
  </si>
  <si>
    <t>r_takahashi@tmu.ac.jp</t>
  </si>
  <si>
    <t>9★</t>
  </si>
  <si>
    <t>Olaf</t>
  </si>
  <si>
    <t>E.</t>
  </si>
  <si>
    <t>Kaper</t>
  </si>
  <si>
    <t>Leiden University</t>
  </si>
  <si>
    <t>Temple Cult</t>
  </si>
  <si>
    <t>Greco-Roman Period</t>
  </si>
  <si>
    <t>o.e.kaper@hum.leidenuniv.nl</t>
  </si>
  <si>
    <t>10★</t>
  </si>
  <si>
    <t>Ben</t>
  </si>
  <si>
    <t>J.</t>
  </si>
  <si>
    <t>Haring</t>
  </si>
  <si>
    <t>Economy</t>
  </si>
  <si>
    <t>Deir el Medina</t>
  </si>
  <si>
    <t>b.j.j.haring@hum.leidenuniv.nl</t>
  </si>
  <si>
    <t>11★</t>
  </si>
  <si>
    <t>Huw</t>
  </si>
  <si>
    <t>T.</t>
  </si>
  <si>
    <t>Davies</t>
  </si>
  <si>
    <t>Manchester University</t>
  </si>
  <si>
    <t>huw.twistondavies@manchester.ac.uk</t>
  </si>
  <si>
    <t>12★</t>
  </si>
  <si>
    <t>Vincent</t>
  </si>
  <si>
    <t>Morel</t>
  </si>
  <si>
    <t>Postdoctoral Associate</t>
  </si>
  <si>
    <t>Landscape</t>
  </si>
  <si>
    <t>vincent.morel@yale.edu</t>
  </si>
  <si>
    <t>13★</t>
  </si>
  <si>
    <t>Matthias</t>
  </si>
  <si>
    <t>Müller</t>
  </si>
  <si>
    <t>Miyagawa</t>
  </si>
  <si>
    <t>反応待ち</t>
  </si>
  <si>
    <t xml:space="preserve">matthias.mueller@unibas.ch </t>
  </si>
  <si>
    <t>14★</t>
  </si>
  <si>
    <t>Sami</t>
  </si>
  <si>
    <t>Uljas</t>
  </si>
  <si>
    <t>Uppsala University</t>
  </si>
  <si>
    <t>MIyagawa</t>
  </si>
  <si>
    <t>〇（承諾,少な目）</t>
  </si>
  <si>
    <t xml:space="preserve">sami.uljas@egyptologi.uu.se </t>
  </si>
  <si>
    <t>15★</t>
  </si>
  <si>
    <t>Toon</t>
  </si>
  <si>
    <t>Sykora</t>
  </si>
  <si>
    <t>National Museum of Antiquities, Leiden</t>
  </si>
  <si>
    <t>Curator</t>
  </si>
  <si>
    <t>Epigraphy</t>
  </si>
  <si>
    <t>t.sykora@rmo.nl</t>
  </si>
  <si>
    <t>16★</t>
  </si>
  <si>
    <t>Gianluca</t>
  </si>
  <si>
    <t>Miniaci</t>
  </si>
  <si>
    <t>University of Pisa</t>
  </si>
  <si>
    <t>g.miniaci@gmail.com</t>
  </si>
  <si>
    <t>17★</t>
  </si>
  <si>
    <t>Robert</t>
  </si>
  <si>
    <t>Kade</t>
  </si>
  <si>
    <t>Freie University Berlin</t>
  </si>
  <si>
    <t>Philology</t>
  </si>
  <si>
    <t>Demotic</t>
  </si>
  <si>
    <t xml:space="preserve">robert.alexander.kade@hu-berlin.de </t>
  </si>
  <si>
    <t>18★</t>
  </si>
  <si>
    <t>Marzena</t>
  </si>
  <si>
    <t>A.</t>
  </si>
  <si>
    <t>Ożarek-Szilke</t>
  </si>
  <si>
    <t>Mummy Research Center</t>
  </si>
  <si>
    <t>President</t>
  </si>
  <si>
    <t>Physical antholopology</t>
  </si>
  <si>
    <t>Mummy</t>
  </si>
  <si>
    <t>Dynastic and Greco-Roman</t>
  </si>
  <si>
    <t>marzena@mummyresearch.center</t>
  </si>
  <si>
    <t>19★</t>
  </si>
  <si>
    <t>Joachim</t>
  </si>
  <si>
    <t>Quack</t>
  </si>
  <si>
    <t>Egyptian Linguistics</t>
  </si>
  <si>
    <t>Egyptian Philology</t>
  </si>
  <si>
    <t xml:space="preserve">joachim_friedrich.quack@urz.uni-heidelberg.de </t>
  </si>
  <si>
    <t>20★</t>
  </si>
  <si>
    <t>Uroš</t>
  </si>
  <si>
    <t>Matić</t>
  </si>
  <si>
    <t>Violence</t>
  </si>
  <si>
    <t>Gender</t>
  </si>
  <si>
    <t>Ethnicity</t>
  </si>
  <si>
    <t xml:space="preserve">uros_arheo@yahoo.com </t>
  </si>
  <si>
    <t>21★</t>
  </si>
  <si>
    <t>Marwan</t>
  </si>
  <si>
    <t>Kilani</t>
  </si>
  <si>
    <t>Late Egyptian</t>
  </si>
  <si>
    <t>22★</t>
  </si>
  <si>
    <t>Martin</t>
  </si>
  <si>
    <t>Odler</t>
  </si>
  <si>
    <t>Newcastle University</t>
  </si>
  <si>
    <t>Pos-Doc</t>
  </si>
  <si>
    <t>Material Culture</t>
  </si>
  <si>
    <t>martin.odler@newcastle.ac.uk</t>
  </si>
  <si>
    <t>23★</t>
  </si>
  <si>
    <t>Katarzyna</t>
  </si>
  <si>
    <t>Kapiec</t>
  </si>
  <si>
    <t>Institute of Mediterranean and Oriental Cultures, Polish Academy of Science</t>
  </si>
  <si>
    <t>Cypriot archaeology</t>
  </si>
  <si>
    <t>katarzyna.kapiec@gmail.com</t>
  </si>
  <si>
    <t>24★</t>
  </si>
  <si>
    <t>Grazia</t>
  </si>
  <si>
    <t>Di Pietro</t>
  </si>
  <si>
    <t>University College London</t>
  </si>
  <si>
    <t>Takenouchi, S.済</t>
  </si>
  <si>
    <t>Predynasty</t>
  </si>
  <si>
    <t>graziadipietro@yahoo.it</t>
  </si>
  <si>
    <t>25★</t>
  </si>
  <si>
    <t>Paweł</t>
  </si>
  <si>
    <t>L.</t>
  </si>
  <si>
    <t>Polkowski</t>
  </si>
  <si>
    <t>Institute of Archaeology and Ethnology Polish Academy of Sciences / Poznań Archaeological Museum</t>
  </si>
  <si>
    <t>Rock-art</t>
  </si>
  <si>
    <t>〇（一応承諾、ただし内容は限定）</t>
  </si>
  <si>
    <t>p.polkowski@iaepan.edu.pl</t>
  </si>
  <si>
    <t>26★</t>
  </si>
  <si>
    <t>Maria</t>
  </si>
  <si>
    <t xml:space="preserve">Carmela </t>
  </si>
  <si>
    <t>Gatto</t>
  </si>
  <si>
    <t>Nubian studies</t>
  </si>
  <si>
    <t>Landscape archaeology</t>
  </si>
  <si>
    <t>Prehsitoric archaeology</t>
  </si>
  <si>
    <t>mcgatto@iksio.pan.pl</t>
  </si>
  <si>
    <t>27★</t>
  </si>
  <si>
    <t>Andrew</t>
  </si>
  <si>
    <t>Connor</t>
  </si>
  <si>
    <t>Hellenistic Egypt, Greek Philology</t>
  </si>
  <si>
    <t>Papyrology</t>
  </si>
  <si>
    <t xml:space="preserve">andrew.connor@monash.edu </t>
  </si>
  <si>
    <t>28★</t>
  </si>
  <si>
    <t>Carlos</t>
  </si>
  <si>
    <t>Gracia Zamacona</t>
  </si>
  <si>
    <t>University of Alcalá</t>
  </si>
  <si>
    <t>Pyramid Texts</t>
  </si>
  <si>
    <t>Coffin Texts</t>
  </si>
  <si>
    <t>carlos.gracia@uah.es</t>
  </si>
  <si>
    <t>29★</t>
  </si>
  <si>
    <t>Kuhn</t>
  </si>
  <si>
    <t>Ägyptisches Museum und Papyrussammlung</t>
  </si>
  <si>
    <t>Early Dynasty</t>
  </si>
  <si>
    <t>r.kuhn@smb.spk-berlin.de</t>
  </si>
  <si>
    <t>30★</t>
  </si>
  <si>
    <t>Filip</t>
  </si>
  <si>
    <t>Taterka</t>
  </si>
  <si>
    <t>Ancient Egyptian literature</t>
  </si>
  <si>
    <t>Ideology of kingship</t>
  </si>
  <si>
    <t>ftaterka@iksio.pan.pl</t>
  </si>
  <si>
    <t>Katarína</t>
  </si>
  <si>
    <t>Arias Kytnarová</t>
  </si>
  <si>
    <t>katarina.arias@ff.cuni.cz</t>
  </si>
  <si>
    <t>32★</t>
  </si>
  <si>
    <t>Camilla</t>
  </si>
  <si>
    <t>Di Biase-Dyson</t>
  </si>
  <si>
    <t>Macquarie U</t>
  </si>
  <si>
    <t>Determinative (Classifier)</t>
  </si>
  <si>
    <t>Metephor (Cognitive Semantics)</t>
  </si>
  <si>
    <t xml:space="preserve">camilla.dibiasedyson@mq.edu.au </t>
  </si>
  <si>
    <t>33★</t>
  </si>
  <si>
    <t>Jennifer</t>
  </si>
  <si>
    <t>Cromwell</t>
  </si>
  <si>
    <t>Manchester Metropolitan University</t>
  </si>
  <si>
    <t>Coptic philology</t>
  </si>
  <si>
    <t>Ancient Education</t>
  </si>
  <si>
    <t>Greek philology</t>
  </si>
  <si>
    <t xml:space="preserve">J.Cromwell@mmu.ac.uk </t>
  </si>
  <si>
    <t>34★</t>
  </si>
  <si>
    <t>Aleksandra</t>
  </si>
  <si>
    <t>Hallmann</t>
  </si>
  <si>
    <t>Dress</t>
  </si>
  <si>
    <t>ahallmann@iksio.pan.pl</t>
  </si>
  <si>
    <t>35★</t>
  </si>
  <si>
    <t xml:space="preserve">Jose Manuel </t>
  </si>
  <si>
    <t>Alba Gómez</t>
  </si>
  <si>
    <t>Universidad de Jaén, Facultad de Humanidades y Ciencias de la Educación</t>
  </si>
  <si>
    <t>jalba@ujaen.es</t>
  </si>
  <si>
    <t>36★</t>
  </si>
  <si>
    <t>Carlo</t>
  </si>
  <si>
    <t>Rindi Nuzzolo</t>
  </si>
  <si>
    <t xml:space="preserve">Monash University </t>
  </si>
  <si>
    <t>Late - Ptolemaic</t>
  </si>
  <si>
    <t>carlo.rindi.nuzzolo@gmail.com</t>
  </si>
  <si>
    <t>37★</t>
  </si>
  <si>
    <t>Marleen</t>
  </si>
  <si>
    <t>De Meyer</t>
  </si>
  <si>
    <t>Netherlands-Flemish Institute in Cairo</t>
  </si>
  <si>
    <t>Director</t>
  </si>
  <si>
    <t>m.j.c.de.meyer@nvic.leidenuniv.nl</t>
  </si>
  <si>
    <t>38★</t>
  </si>
  <si>
    <t>Miriam</t>
  </si>
  <si>
    <t>Shindo＿肥後修正済</t>
  </si>
  <si>
    <t>Second Intermediate Period</t>
  </si>
  <si>
    <t>m.muller@hum.leidenuniv.nl</t>
  </si>
  <si>
    <t>39★</t>
  </si>
  <si>
    <t>Tsubasa</t>
  </si>
  <si>
    <t>Sakamoto</t>
  </si>
  <si>
    <t>Kyoto University</t>
  </si>
  <si>
    <t>Research Administrator</t>
  </si>
  <si>
    <t>Archaeology, Nubiology, Meroë</t>
  </si>
  <si>
    <t>Christianising</t>
  </si>
  <si>
    <t>Greco-Roman</t>
  </si>
  <si>
    <t>sakamototsubasa@gmail.com</t>
  </si>
  <si>
    <t>40★</t>
  </si>
  <si>
    <t>Yoshinari</t>
  </si>
  <si>
    <t>Abe</t>
  </si>
  <si>
    <t>Tokyo Denki University</t>
  </si>
  <si>
    <t>Analytical Chemistry</t>
  </si>
  <si>
    <t>y.abe@mail.dendai.ac.jp</t>
  </si>
  <si>
    <t>41★</t>
  </si>
  <si>
    <t>Daisuke</t>
  </si>
  <si>
    <t>Igarashi</t>
  </si>
  <si>
    <t>Takenouchi, S.（作成竹野内さん）</t>
  </si>
  <si>
    <t>Islamic Egypt</t>
  </si>
  <si>
    <t>igarashidai@nifty.com</t>
  </si>
  <si>
    <t>42★</t>
  </si>
  <si>
    <t>Julia</t>
  </si>
  <si>
    <t>Hamilton</t>
  </si>
  <si>
    <t>Art history</t>
  </si>
  <si>
    <t>julia.hamilton@mq.edu.au</t>
  </si>
  <si>
    <t>43★</t>
  </si>
  <si>
    <t>Jaromír</t>
  </si>
  <si>
    <t>Krejčí</t>
  </si>
  <si>
    <t>Charles University</t>
  </si>
  <si>
    <t>jaromir.krejci@ff.cuni.cz</t>
  </si>
  <si>
    <t>44★</t>
  </si>
  <si>
    <t>Susanne</t>
  </si>
  <si>
    <t>Bickel</t>
  </si>
  <si>
    <t>New Kungdom</t>
  </si>
  <si>
    <t>s.bickel@unibas.ch</t>
  </si>
  <si>
    <t>45★</t>
  </si>
  <si>
    <t>Antonio</t>
  </si>
  <si>
    <t>Morales</t>
  </si>
  <si>
    <t>Funerary Texts</t>
  </si>
  <si>
    <t>antonioj.morales@uah.es</t>
  </si>
  <si>
    <t>46★</t>
  </si>
  <si>
    <t>Emily</t>
  </si>
  <si>
    <t>Teeter</t>
  </si>
  <si>
    <t>?</t>
  </si>
  <si>
    <t xml:space="preserve">Temple cult </t>
  </si>
  <si>
    <t>eteeter55@gmail.com</t>
  </si>
  <si>
    <t>47★</t>
  </si>
  <si>
    <t>Silvia</t>
  </si>
  <si>
    <t>Einaudi</t>
  </si>
  <si>
    <t>University of Cagliari</t>
  </si>
  <si>
    <t>einaudis@gmail.com</t>
  </si>
  <si>
    <t>48★</t>
  </si>
  <si>
    <t>Daniel</t>
  </si>
  <si>
    <t>Soliman</t>
  </si>
  <si>
    <t>University of Leiden</t>
  </si>
  <si>
    <t>Deir el Medinia</t>
  </si>
  <si>
    <t>Social History</t>
  </si>
  <si>
    <t>D.Soliman@rmo.nl</t>
  </si>
  <si>
    <t>49★</t>
  </si>
  <si>
    <t>Tom</t>
  </si>
  <si>
    <t>Hardwick</t>
  </si>
  <si>
    <t>-</t>
  </si>
  <si>
    <t>hardwicktom@hotmail.com</t>
  </si>
  <si>
    <t>50★</t>
  </si>
  <si>
    <t>Toshiya</t>
  </si>
  <si>
    <t>Matsui</t>
  </si>
  <si>
    <t>Conservation Science</t>
  </si>
  <si>
    <t>matsui.toshiya.fu@u.tsukuba.ac.jp</t>
  </si>
  <si>
    <t>51★</t>
  </si>
  <si>
    <t>Takuzo</t>
  </si>
  <si>
    <t>Onozuka</t>
  </si>
  <si>
    <t>Tokyo National Museum</t>
  </si>
  <si>
    <t>onozuka-t6u@nich.go.jp</t>
  </si>
  <si>
    <t>Reviewer/ Applicant no</t>
  </si>
  <si>
    <t>Fujii</t>
  </si>
  <si>
    <t>Takahashi K.</t>
  </si>
  <si>
    <t>Takahashi R.</t>
  </si>
  <si>
    <t>Miriam Müller</t>
  </si>
  <si>
    <t>計</t>
  </si>
  <si>
    <t>Reviewer 1</t>
  </si>
  <si>
    <t>Reviewer 2</t>
  </si>
  <si>
    <t>To be sent to the reviewers?</t>
  </si>
  <si>
    <t>Comment</t>
  </si>
  <si>
    <t>運営委員の中でチェックをして欲しい人の名前</t>
  </si>
  <si>
    <t xml:space="preserve"> Takahashi R.</t>
  </si>
  <si>
    <t>結論なし、要旨短い。独自性が不明瞭。</t>
  </si>
  <si>
    <t>竹野内（世）、進藤</t>
  </si>
  <si>
    <t>進藤：発表内容の具体性には乏しいですが、ライデン資料かつ未発表という点には言及しているので落とすほどではないかもしれません。
竹野内（世）：たしかに資料報告みたいな内容ですが、私が担当した他のYES要旨よりは具体性があるかも。これは個人的にはYES判定かなと思いました。
肥後：最低限に情報は含まれているので、査読には回していいかもしれません。Leiden資料なので調整が必要であれSykola ばSolimanも査読できるかもしれません。</t>
  </si>
  <si>
    <t>：</t>
  </si>
  <si>
    <t>重複のため除外</t>
  </si>
  <si>
    <t>肥後</t>
  </si>
  <si>
    <t>Sakamto</t>
  </si>
  <si>
    <t>独自性なし</t>
  </si>
  <si>
    <t>竹野内：当たり前のことしか記載していない
竹野内（世）：ただの概説っぽくは読めるけど、これをNOとすると他のYES要旨の多くが不可になってしまうかも？NO候補を並べて比較する必要があるかも。
肥後：短くかつ弱いながらも、支流の重要性を強調するという結果？のようなものが記されているので、査読には回してもいいかもしれません。</t>
  </si>
  <si>
    <t>Ozonoka</t>
  </si>
  <si>
    <t>結論なし。</t>
  </si>
  <si>
    <t>結論なし</t>
  </si>
  <si>
    <t>wtの決定符などでも使用される膿の文字と考えられている象形文字について、エジプト学の視点に組み合わせて病理学の視点から考え直すという点でとても興味深いと思います。査読者は今の候補者の他にKilaniも関心の対象かもしれません。</t>
  </si>
  <si>
    <t>重複</t>
  </si>
  <si>
    <t>30と重複</t>
  </si>
  <si>
    <t>no</t>
  </si>
  <si>
    <t>結論なし、具体性なし。短すぎる</t>
  </si>
  <si>
    <t>竹野内（世）：死者の書などの用語は出てくるものの、一切の具体性がないためでNOでいいかも。一般的な「要旨」という基準さえクリアしていない。
肥後 Noでいいと思います！</t>
  </si>
  <si>
    <t xml:space="preserve"> </t>
  </si>
  <si>
    <t>査読者先送り</t>
  </si>
  <si>
    <t>独自性なし。</t>
  </si>
  <si>
    <t>竹野内：当然のことしか記載していない。何が独自の成果か不明。
竹野内（世）：判然としない要旨であることは確か。テーマが大きすぎて何もわからない。ただ、これをNOとすると他のYES要旨の多くが不可になってしまうかも？NO候補を並べて比較する必要があるかも。
肥後：冗長で説明的ではありますが、もっとひどいのがあるこを考えると、一応査読には回してもよいかもしれません。</t>
  </si>
  <si>
    <t>Yes?</t>
  </si>
  <si>
    <t>明確な結論なし</t>
  </si>
  <si>
    <t>Preliminary Notes. Meeting the conditions of the Abstract?</t>
  </si>
  <si>
    <t>Preliminary Notes. Contents?</t>
  </si>
  <si>
    <t>Sami Uljas</t>
  </si>
  <si>
    <t>結論部分に関する言及なし</t>
  </si>
  <si>
    <t>理論系・エミックとエティック</t>
  </si>
  <si>
    <t>若手ではない?</t>
  </si>
  <si>
    <t>学術的背景に関する言及なし
肥後：すみません。若手の基準が曖昧なので、一応審査対象にしてあげてください。査読者は松井・阿部でいいと思います。</t>
  </si>
  <si>
    <t>調査報告系・古王国・墓</t>
  </si>
  <si>
    <t>Keiko Tazawa</t>
  </si>
  <si>
    <t>Toon Sykora</t>
  </si>
  <si>
    <t>博物館コレクション系・学際的研究</t>
  </si>
  <si>
    <t>Katarzyna Kapiec</t>
  </si>
  <si>
    <t>Susanne Bickel</t>
  </si>
  <si>
    <t>学術的背景弱い・結論部分に関する言及なし</t>
  </si>
  <si>
    <t>キプロス・クレタとの交流史・新王国</t>
  </si>
  <si>
    <t>上記と重複のため選定なし</t>
  </si>
  <si>
    <t>神殿構造の再検討・新王国</t>
  </si>
  <si>
    <t>水準：上の下・結論部分に関する言及なし</t>
  </si>
  <si>
    <t>Nobuyuki Fujii</t>
  </si>
  <si>
    <t>学術的背景に関する言及なし・結論部分弱い</t>
  </si>
  <si>
    <t>第3中間期カルトナージュ棺の供給について</t>
  </si>
  <si>
    <t>ガラス製作・パイロテクノロジー・技術的遺産</t>
  </si>
  <si>
    <t>Robert Kuhn</t>
  </si>
  <si>
    <t>要旨の要件を満たさない。</t>
  </si>
  <si>
    <t>要旨の要件を満たさない。修正の上、改善されればポスターなら可能かもしれない</t>
  </si>
  <si>
    <t>マーケットに流れるエジプトの遺物の保護・管理
肥後：Noでいいと思います。要旨の書き方もPhDでこれでは良くはないかと。</t>
  </si>
  <si>
    <t>136とほぼ重複</t>
  </si>
  <si>
    <t>水準比較的高い・結論部分に関する言及なし</t>
  </si>
  <si>
    <t>トゥト・アンク・アムン、ハエ払い</t>
  </si>
  <si>
    <t>Andrew Connor</t>
  </si>
  <si>
    <t>Vincent Morel</t>
  </si>
  <si>
    <t>水準比較的中の高・学術的背景に関する言及なし。10分枠むき?</t>
  </si>
  <si>
    <t>発掘報告系・アレクサンドリア、水道システム</t>
  </si>
  <si>
    <t>Maria Carmela Gatto</t>
  </si>
  <si>
    <t>博物館コレクション・ヌビア</t>
  </si>
  <si>
    <t>学術的背景が弱いが…</t>
  </si>
  <si>
    <t>調査報告系・グレコローマン、アレクサンドリア、10分向きではある</t>
  </si>
  <si>
    <t>Ryosuke Takahashi</t>
  </si>
  <si>
    <t>途中までは水準高い、ただ結論部分が言及されていない。</t>
  </si>
  <si>
    <t>プトレマイオス、墓、職業集団</t>
  </si>
  <si>
    <t>Mathias Müller</t>
  </si>
  <si>
    <t>Camilla Di Biase-Dyson</t>
  </si>
  <si>
    <t>カー、用法、表記</t>
  </si>
  <si>
    <t>概ね満たす?</t>
  </si>
  <si>
    <t>博物館学</t>
  </si>
  <si>
    <t>Kazumitsu Takahashi</t>
  </si>
  <si>
    <t>学術的背景弱い（オリジナリティを判別できない…）</t>
  </si>
  <si>
    <t>レヴァントとの交流史・アンフォラ</t>
  </si>
  <si>
    <t>Uroš Matić</t>
  </si>
  <si>
    <t>概ね満たす? 結論部分が薄い?</t>
  </si>
  <si>
    <t>人類学としてのエジプト宗教学</t>
  </si>
  <si>
    <t>Joachim Quack</t>
  </si>
  <si>
    <t>Huw T. Davies</t>
  </si>
  <si>
    <t>結論部分が言及されていない。</t>
  </si>
  <si>
    <t>エジプト社会におけるゴーストと現代の受容</t>
  </si>
  <si>
    <t>Gianluca Miniaci</t>
  </si>
  <si>
    <t>Marleen De Meyer</t>
  </si>
  <si>
    <t>資料報告系・棺・中王国</t>
  </si>
  <si>
    <t>Nozomu Kawai</t>
  </si>
  <si>
    <t>古王国・マスタバ、</t>
  </si>
  <si>
    <t>水準高い、この要旨は日本人が評価すべき</t>
  </si>
  <si>
    <t>エジプトにおけるエジプト学研究の歴史</t>
  </si>
  <si>
    <t>Jose Manuel Alba Gómez</t>
  </si>
  <si>
    <t>結論部分について言及がない?</t>
  </si>
  <si>
    <t>トゥト・アンク・アムン墓出土遺物</t>
  </si>
  <si>
    <t>Grazia Di Pietro</t>
  </si>
  <si>
    <t>結論部分なし</t>
  </si>
  <si>
    <t>先王朝・ナカダ</t>
  </si>
  <si>
    <t>Koichiro Wada</t>
  </si>
  <si>
    <t>単語数超過、アーギュメント見当たらず</t>
  </si>
  <si>
    <t>単語数超過、結論なし、アーギュメントらしきものが散見
肥後：数語ならともかく50語以上超過しているんで、「説明を読んでいない」としてNoで判断していいと思います。</t>
  </si>
  <si>
    <t>ミイラ、工人</t>
  </si>
  <si>
    <t>儀礼、行為</t>
  </si>
  <si>
    <t>交易、アンフォラ</t>
  </si>
  <si>
    <t>Jennifer Cromwell</t>
  </si>
  <si>
    <t>基準満たす</t>
  </si>
  <si>
    <t>アウグストゥス</t>
  </si>
  <si>
    <t>Aleksandra Hallmann</t>
  </si>
  <si>
    <t>服飾、装飾</t>
  </si>
  <si>
    <t>博物館展示、棺</t>
  </si>
  <si>
    <t>編み物</t>
  </si>
  <si>
    <t>Ben J. Haring</t>
  </si>
  <si>
    <t>結論なし、多分AIを使って文章生成している。似たような言い回しの容姿が他にもある</t>
  </si>
  <si>
    <t>Filip Taterka</t>
  </si>
  <si>
    <t>基準満たす?</t>
  </si>
  <si>
    <t>デイル・エル＝マディーナ、オストラカ</t>
  </si>
  <si>
    <t>一応基準満たす? ポスター向けかも</t>
  </si>
  <si>
    <t>Late Period, wooden statue</t>
  </si>
  <si>
    <t>Robert Kade</t>
  </si>
  <si>
    <t>OCR、文字資料、パピルス</t>
  </si>
  <si>
    <t>Sykola</t>
  </si>
  <si>
    <t>結論なし、ポスター向きの内容</t>
  </si>
  <si>
    <t>テクスタイル、プトレマイオス</t>
  </si>
  <si>
    <t>結論弱いあるいはなし</t>
  </si>
  <si>
    <t>人形棺、エジプト美術</t>
  </si>
  <si>
    <t>一応基準を満たす</t>
  </si>
  <si>
    <t>マアト、初期王朝</t>
  </si>
  <si>
    <t>Marleen de Meyer</t>
  </si>
  <si>
    <t>下ヌビア、後期中王国</t>
  </si>
  <si>
    <t>結論なし、ポスター向けの内容で合致する</t>
  </si>
  <si>
    <t>ブラーク、解剖学的資料</t>
  </si>
  <si>
    <t>資料調査系・棺・ミイラ</t>
  </si>
  <si>
    <t>Olaf Kaper</t>
  </si>
  <si>
    <t>一応要件を満たす? 多分AIを使って文章生成している。似たような言い回しの要旨が他にもある</t>
  </si>
  <si>
    <t>資料調査系・棺</t>
  </si>
  <si>
    <t>Pawel Polkowski</t>
  </si>
  <si>
    <t>Martin Odler</t>
  </si>
  <si>
    <t>結論なし・20分発表には厳しそう</t>
  </si>
  <si>
    <t>ミイラ研究</t>
  </si>
  <si>
    <t>オントロジー、セクメト、シンクレティズム</t>
  </si>
  <si>
    <t>Carlos Gracia Zamacona</t>
  </si>
  <si>
    <t>要件満たす</t>
  </si>
  <si>
    <t>シェズム、ピラミッド・コフィンテクスト</t>
  </si>
  <si>
    <t>Jose Manuel Alba Gómez or Nozomu Kawai?</t>
  </si>
  <si>
    <t>結論部分が不明瞭、あるいはなし??</t>
  </si>
  <si>
    <t>服飾、新王国</t>
  </si>
  <si>
    <t>学術的背景少し弱い、結論なし</t>
  </si>
  <si>
    <t>後期先史、実験考古、土器</t>
  </si>
  <si>
    <t>Müller(13)</t>
  </si>
  <si>
    <t>重複のため対象外</t>
  </si>
  <si>
    <t>ー</t>
  </si>
  <si>
    <t>YES</t>
  </si>
  <si>
    <t>７件重複応募者の最後の要旨のため要検討。具体性には欠けるがこのレベルの要旨は他にも散見される。ただあまりに重複した応募をしている者であることから対象外にすべき？</t>
  </si>
  <si>
    <t>全員</t>
  </si>
  <si>
    <t>120語のみ。QRコードに関する極めて当然の利便性のみ述べられている。</t>
  </si>
  <si>
    <t>宮川、全員</t>
  </si>
  <si>
    <t>進藤：具体的な話(博物館名や遺物)がないため、Noでも良いかもしれません。</t>
  </si>
  <si>
    <t>博物館の展示技術が趣旨であり、エジプト関連ではない。また、結論が最後に記載されているが、結論になっていない、</t>
  </si>
  <si>
    <t>肥後：文量は多いですが具体性が皆無でテーマも広すぎて明確ではないので、Noでいいと思います。</t>
  </si>
  <si>
    <t>博物館系。</t>
  </si>
  <si>
    <t>具体性乏しい</t>
  </si>
  <si>
    <t>3件重複応募者の最後の要旨のため要検討。具体性には欠けるがこのレベルの要旨は他にも散見される。これを対象外にしてしまうと公平ではなくなる？</t>
  </si>
  <si>
    <t>肥後：内容は薄いですが、研究対象がTalatat、目的が資料保存の在り方の再検討と議論と最低限は読み取れるので、Yesでもよいかと思います。</t>
  </si>
  <si>
    <t>Takahashi, R.</t>
  </si>
  <si>
    <t>エジプトに関係しないのでは？CREの方針に沿わない内容である可能性</t>
  </si>
  <si>
    <t>肥後：さすがにエジプトの要素が（意図的なのか）全く見られないのでNOでいいと思います。</t>
  </si>
  <si>
    <t>日本との合同発掘調査の成果について。研究倫理的に問題では？</t>
  </si>
  <si>
    <t>黒沼、竹野内（恵）、進藤</t>
  </si>
  <si>
    <t>進藤：日本隊から合意が取れていれば良いかと思いますが…確かめようがないですね。</t>
  </si>
  <si>
    <t>2件重複応募者の最後の要旨のため要検討。具体性には欠けるがこのレベルの要旨は他にも散見される。これを対象外にしてしまうと公平ではなくなる？</t>
  </si>
  <si>
    <t>肥後：ギリギリ回して</t>
  </si>
  <si>
    <t>現代のエジプト人との関わり。査読者検討後回し
肥後：好意的に捉えれば、エジプト学史にもとれるかなと思います。</t>
  </si>
  <si>
    <t>具体性はなし</t>
  </si>
  <si>
    <t>結論なし。趣旨が不明瞭。博物館がもつ当然の役割を述べているだけ？</t>
  </si>
  <si>
    <t>肥後：ここまで抽象的だとNoでもいいと思います。共通認識としての線引きは難しいかもしれませんが…
竹野内：最終的にわれわれがポスターにする？</t>
  </si>
  <si>
    <t>結論なし。趣旨が不明瞭。具体性なし。短い。</t>
  </si>
  <si>
    <t>肥後：「紹介する」は学会発表として相応しくないと思います。
竹野内：最終的にわれわれがポスターにする？</t>
  </si>
  <si>
    <t>保存修復系。査読者検討後回し
肥後：松井先生が対応可能です。</t>
  </si>
  <si>
    <t>M. Müller</t>
  </si>
  <si>
    <t>Takahashi, K.</t>
  </si>
  <si>
    <t>Tier</t>
  </si>
  <si>
    <t>Reviewer 1 2</t>
  </si>
  <si>
    <t>Reviewer 2 2</t>
  </si>
  <si>
    <t>R</t>
  </si>
  <si>
    <t>A</t>
  </si>
  <si>
    <t>HA</t>
  </si>
  <si>
    <t>K. Takahashi</t>
  </si>
  <si>
    <t>HR</t>
  </si>
  <si>
    <t>Not Yet</t>
  </si>
  <si>
    <t>1 or 2</t>
  </si>
  <si>
    <t>Representation, Mortuary domain</t>
  </si>
  <si>
    <t>タイトルが意味不明：同じ内容の繰り返し</t>
  </si>
  <si>
    <t>竹野内（世）：タイトルは最初のMilitary duties, responsibilities and an assassination plot: the extra dimension found in ancient Egyptian personal correspondence. ですかね？本人に確認する必要がありますね。要旨としては、結論はないものの、査読に回すレベルではあるかなと思います。少なくともどのような研究が発表されるのかという内容自体は少し推測が可能でした。ただ、「タイトルが正しく入力されていない」という理由で対象外にすることは否定しません。</t>
  </si>
  <si>
    <t>内容が抽象的：「古代の社会実践を現代の博物館活動に活かす」という発想は既知のもの。</t>
  </si>
  <si>
    <t>竹野内（世）：確かに当然のことしか言っていませんね。ただ、これをNOとすると他の博物館系YES要旨の多くも不可になってしまう？NO候補を並べて比較する必要があるかも。全体的にレベルが非常に低いため線引きが難しいです
進藤：博物館系はこういう感じが多いので、ひとまずYesでよいかと思います</t>
  </si>
  <si>
    <t>, Pottery Mythology in Greco-Roman</t>
  </si>
  <si>
    <t>要旨は短いが端的にまとめられている。</t>
  </si>
  <si>
    <t>19世紀のイスラーム建築。古代エジプトとの接点がない。</t>
  </si>
  <si>
    <t>Conservation
竹野内（世）：恥ずかしながら全然知らないのですが、この建築物自体はカイロにあるようですよね。古代エジプトだけでなく、イスラームも範囲に含めるのであれば査読に回す必要がありますか？
竹野内（恵）：カイロにあるイスラーム建築なので対象でよいかと思います。</t>
  </si>
  <si>
    <t>KIlani</t>
  </si>
  <si>
    <t>Linguistic</t>
  </si>
  <si>
    <t>Historiography</t>
  </si>
  <si>
    <t>判断不可</t>
  </si>
  <si>
    <t>竹野内（世）：YESでしょう
竹野内（恵）：YESで</t>
  </si>
  <si>
    <t>Zamakona</t>
  </si>
  <si>
    <t>Takerka</t>
  </si>
  <si>
    <t>Chlonology</t>
  </si>
  <si>
    <t>結論が不明瞭　100語</t>
  </si>
  <si>
    <t>竹野内（世）：具体的な対象資料は明示していますが、内容的にはかなり薄そうですね。ただの紹介になりそうな内容。他のNO候補と比べて同レベルならNOでいいと思います。</t>
  </si>
  <si>
    <t>Harwick</t>
  </si>
  <si>
    <t>Modern Egyptology</t>
  </si>
  <si>
    <t>研究目的や研究課題がなく報告したのみ。新規性が見えない　154語　技術・活動報告に留まる</t>
  </si>
  <si>
    <t>竹野内（世）：ミイラのCT画像とかを使って何か独自の分析をするような内容ではなく博物館の活動紹介のよう。であればCREの対象外になると思うのでNOか。</t>
  </si>
  <si>
    <t>前回の会議でCRE担当・どうするか再検討が必要</t>
  </si>
  <si>
    <t>竹野内（世）：これはエジプト学関係ないように見える...一般的な博物館の話では。対象外。NOでいいと思う。</t>
  </si>
  <si>
    <t>Matic</t>
  </si>
  <si>
    <t xml:space="preserve">Influenced by the pervasive effects of global capitalism, museums in general, and Egyptian museums specifically, face significant pressure to balance the preservation of tangible and intangible heritage with the need to demonstrate social impact. To achieve social innovation and impact, Egyptian museums require effective social enterprise models. This research paper investigates the concept of social enterprise within the Egyptian cultural context by balancing the main mission of museums as pedagogical, educational, and cultural institutions with the need to generate revenue.
This framework proposes transitioning Egyptian museums into social enterprises by combining social missions with commercial investment. This strategy reduces state financial burdens and fosters self-sufficiency. However, the transition faces significant challenges, including legislative hurdles, cultural barriers, and a deficit in human capital necessary for such a shift.
We can summarize the key points as follows:
1.        The Concept of Social Enterprise
This section will discuss the concept of social enterprise in the Egyptian museum sector and its relation to other concepts such as social innovation and cultural innovation.
2.        Transition Framework
This section will investigate the creation of a transition framework that includes generating revenue from cultural products, digital investments, and tourism services.
3.        Institutional Challenges
We will explore resolutions for amending laws and regulations to empower us to achieve our goals. Additionally, we will develop a mechanism to convince stakeholders and heritage advocates that museums can function as social enterprise organizations without neglecting scientific research.
4.        Conclusion
The primary objective is to transition the museum into a self-sufficient institution. By doing so, the museum can generate internal revenue to reinvest in its mission as a pedagogical, educational, and cultural center. These funds will support programs designed for the local community, allowing the museum to achieve a greater social impact while maintaining its status as a non-profit organization.
</t>
  </si>
  <si>
    <t>全体的に難あり　エジプト学と無関係 分野が博物館教育・社会学・経営
古代エジプト研究との接点がほぼない</t>
  </si>
  <si>
    <t>竹野内（世）：肥後さんのコメントに同感。NOで良い。これをNOにするなら239もNOで良い。</t>
  </si>
  <si>
    <t>資料紹介・研究目的のみ記載　研究課題・意義や成果が不明瞭</t>
  </si>
  <si>
    <t>黒沼</t>
  </si>
  <si>
    <t>Tkahashi, K.</t>
  </si>
  <si>
    <t>マスタバM17の石棺の年代と製作技術</t>
  </si>
  <si>
    <t>新王国時代の図像における牛の誘導・苦痛を与える道具の使用について</t>
  </si>
  <si>
    <t>古王国時代の土器の空間分析と儀礼・経済的サイクル</t>
  </si>
  <si>
    <t>紀元前4千年紀の乳香と南アラビアとの交易</t>
  </si>
  <si>
    <t>New Kingdom Group Writingの系統</t>
  </si>
  <si>
    <t>Hallman</t>
  </si>
  <si>
    <t>新王国時代の衣服と外国人(シリア・パレスティナ)のアイデンティティ、結論なし</t>
  </si>
  <si>
    <t>ラメセス朝後期のリビア人の動態、文献史</t>
  </si>
  <si>
    <t>Saitic redactionの良さ、死者の書、結論なし</t>
  </si>
  <si>
    <t>古代エジプトの「秘密」の機能、知識の啓示者であると同時に隠蔽者としての役割を担う神トートなど</t>
  </si>
  <si>
    <t>ハトシェプスト女王オベリスクにおける碑文改変の再評価</t>
  </si>
  <si>
    <t>“The Book of Kmyt” ディル・エル＝マディーナ学派</t>
  </si>
  <si>
    <t>Ozarek-Szilke</t>
  </si>
  <si>
    <t>供物用動物ミイラの製作法、包帯</t>
  </si>
  <si>
    <t>グレコ・ローマンのカルトナージュの製作法、査読者</t>
  </si>
  <si>
    <t>オシリス神の国家的正当化へ、中王国</t>
  </si>
  <si>
    <t>プトレマイオス朝の移動式彫像の儀礼的役割</t>
  </si>
  <si>
    <t>戦前日本のエジプト古物収集 小島虎次郎</t>
  </si>
  <si>
    <t>ビザンツ時代の修道院発掘</t>
  </si>
  <si>
    <t>古王国時代の粘土封印による太陽神官団</t>
  </si>
  <si>
    <t>ザヴィエト・スルタンにおける非エリート人骨の3D計測の方法</t>
  </si>
  <si>
    <t>テル・エドフの発掘と墓地と集落論、景観、結論なし</t>
  </si>
  <si>
    <t>古代エジプトの雨とその予防、文献、考古</t>
  </si>
  <si>
    <t>先王朝の岩絵、気候変動、国家の起源</t>
  </si>
  <si>
    <t>Muller</t>
  </si>
  <si>
    <t>コプト語の落書きとエジプト文化の受容</t>
  </si>
  <si>
    <t>先王朝期の遺物におけるカバの意匠とその伝達</t>
  </si>
  <si>
    <t>Lindi Nuzzolo</t>
  </si>
  <si>
    <t>Tell el-Ghabaの発掘報告とTower House Model Kaper,</t>
  </si>
  <si>
    <t>王名リスト、結論無し</t>
  </si>
  <si>
    <t>Alba-Gomez</t>
  </si>
  <si>
    <t>Memnoniano THE MILLIONS OF YEARS TEMPLE OF TUTMOSIS IV. と中王国時代の墓域調査</t>
  </si>
  <si>
    <t>Taterca</t>
  </si>
  <si>
    <t>グレコ・ローマン時代の外交と都市・儀礼空間</t>
  </si>
  <si>
    <t>第一中間期から中王国期のSoul Houses'の建築的あいまいさ</t>
  </si>
  <si>
    <t>ハルが・オアシスの未発表の図像資料とキリストとエジプトの交流</t>
  </si>
  <si>
    <t>Textile Mounts 博物館学</t>
  </si>
  <si>
    <t>エジプト・マニア David Roberts の作品所有</t>
  </si>
  <si>
    <t>プトレマイオス朝のカルトナージュの地域差と工房</t>
  </si>
  <si>
    <t>博物館学、脱植民地化、発掘におけるエジプト人労働者への言及</t>
  </si>
  <si>
    <t>博物館学、人形劇とアナログゲーム</t>
  </si>
  <si>
    <t>博物館学、障がい児とデジタル展示</t>
  </si>
  <si>
    <t>Amarna and Idanda Archivesと国境問題</t>
  </si>
  <si>
    <t>アビドゥスと世界遺産登録</t>
  </si>
  <si>
    <t>サッカラ新王国時代の饗宴Kawai</t>
  </si>
  <si>
    <t>博物館学、エジプト関連博物館と観客増加、専門職養成</t>
  </si>
  <si>
    <t>新王国時代の神殿における彫像配置、結論無し</t>
  </si>
  <si>
    <t>器物の図像表現と空間構図</t>
  </si>
  <si>
    <t>供物文におけるアラバスター容器</t>
  </si>
  <si>
    <t>古王国時代のセネブネベフ墓の彩色壁画、結論無し</t>
  </si>
  <si>
    <t>Zamacona</t>
  </si>
  <si>
    <t>古王国時代の女性による墓所有、称号、装飾、建築</t>
  </si>
  <si>
    <t>18王朝TT75の文化財保護・記録</t>
  </si>
  <si>
    <t>発表要件にあてはまる？エジプト文化の受容という意味では学史？また、アンケート結果の取り扱いは？</t>
  </si>
  <si>
    <t>インド人観光客を対象としたエジプト体験
竹野内（世）：インド人観光客にアンケートを行った結果として、「ピラミッドや王家の谷しか知らなかった人たちが現地訪問を経て古代エジプト文明は高度だったと認識した」という結論はあまりに稚拙。個人的には学史とも言えないと思う。観光学のようなテーマはさすがにCREの対象外では？個人的にはNOが適切かと。
竹野内（恵）；たしかに観光学であれば発表テーマの種別にはないと思いますので対象外でよいと思います。
肥後：Noでいいかなと。</t>
  </si>
  <si>
    <t>Takahashi. R</t>
  </si>
  <si>
    <t>エジプトの冶金技術・錬金術とギリシア・ローマへ</t>
  </si>
  <si>
    <t>プトレマイオス朝の都市景観と王権の正当化</t>
  </si>
  <si>
    <t>MMA末期王朝のトト神像の修復</t>
  </si>
  <si>
    <t>サッカラ、イルカプタフ墓の保存修復</t>
  </si>
  <si>
    <t>CRE</t>
  </si>
  <si>
    <t>宮川</t>
  </si>
  <si>
    <t>肥後・竹野内</t>
  </si>
  <si>
    <t>除外</t>
  </si>
  <si>
    <t>竹野内（恵）</t>
  </si>
  <si>
    <t>坂本さん?</t>
  </si>
  <si>
    <t>山崎</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</si>
</sst>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9">
    <font>
      <sz val="10.0"/>
      <color rgb="FF000000"/>
      <name val="Arial"/>
      <scheme val="minor"/>
    </font>
    <font>
      <color theme="1"/>
      <name val="Arial"/>
      <scheme val="minor"/>
    </font>
    <font>
      <sz val="11.0"/>
      <color theme="1"/>
      <name val="Arial"/>
      <scheme val="minor"/>
    </font>
    <font>
      <sz val="11.0"/>
      <color theme="1"/>
      <name val="Arial"/>
    </font>
    <font>
      <sz val="10.0"/>
      <color theme="1"/>
      <name val="Arial"/>
    </font>
    <font>
      <sz val="9.0"/>
      <color theme="1"/>
      <name val="Arial"/>
    </font>
    <font>
      <color theme="1"/>
      <name val="Arial"/>
    </font>
    <font>
      <sz val="10.0"/>
      <color theme="1"/>
      <name val="Arial"/>
      <scheme val="minor"/>
    </font>
    <font>
      <sz val="9.0"/>
      <color rgb="FF242424"/>
      <name val="Arial"/>
    </font>
    <font>
      <sz val="11.0"/>
      <color theme="1"/>
      <name val="Segoe UI"/>
    </font>
    <font>
      <sz val="11.0"/>
      <color rgb="FF111111"/>
      <name val="Roboto"/>
    </font>
    <font>
      <sz val="11.0"/>
      <color rgb="FF1F1F1F"/>
      <name val="Google Sans"/>
    </font>
    <font>
      <sz val="11.0"/>
      <color rgb="FF980000"/>
      <name val="Arial"/>
      <scheme val="minor"/>
    </font>
    <font>
      <strike/>
      <color rgb="FF434343"/>
      <name val="Arial"/>
      <scheme val="minor"/>
    </font>
    <font>
      <color rgb="FF0000FF"/>
      <name val="Arial"/>
      <scheme val="minor"/>
    </font>
    <font>
      <b/>
      <color theme="1"/>
      <name val="Arial"/>
      <scheme val="minor"/>
    </font>
    <font>
      <color rgb="FF000000"/>
      <name val="Arial"/>
      <scheme val="minor"/>
    </font>
    <font>
      <color theme="1"/>
      <name val="&quot;游明朝&quot;"/>
    </font>
    <font>
      <sz val="11.0"/>
      <color theme="1"/>
      <name val="&quot;游明朝&quot;"/>
    </font>
  </fonts>
  <fills count="18">
    <fill>
      <patternFill patternType="none"/>
    </fill>
    <fill>
      <patternFill patternType="lightGray"/>
    </fill>
    <fill>
      <patternFill patternType="solid">
        <fgColor rgb="FFDD7E6B"/>
        <bgColor rgb="FFDD7E6B"/>
      </patternFill>
    </fill>
    <fill>
      <patternFill patternType="solid">
        <fgColor rgb="FFFCE5CD"/>
        <bgColor rgb="FFFCE5CD"/>
      </patternFill>
    </fill>
    <fill>
      <patternFill patternType="solid">
        <fgColor rgb="FFE6B8AF"/>
        <bgColor rgb="FFE6B8AF"/>
      </patternFill>
    </fill>
    <fill>
      <patternFill patternType="solid">
        <fgColor rgb="FFFFFFFF"/>
        <bgColor rgb="FFFFFFFF"/>
      </patternFill>
    </fill>
    <fill>
      <patternFill patternType="solid">
        <fgColor rgb="FFD9D2E9"/>
        <bgColor rgb="FFD9D2E9"/>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000000"/>
        <bgColor rgb="FF000000"/>
      </patternFill>
    </fill>
    <fill>
      <patternFill patternType="solid">
        <fgColor rgb="FFFFFF00"/>
        <bgColor rgb="FFFFFF00"/>
      </patternFill>
    </fill>
    <fill>
      <patternFill patternType="solid">
        <fgColor rgb="FFC9DAF8"/>
        <bgColor rgb="FFC9DAF8"/>
      </patternFill>
    </fill>
    <fill>
      <patternFill patternType="solid">
        <fgColor rgb="FFFFD966"/>
        <bgColor rgb="FFFFD966"/>
      </patternFill>
    </fill>
    <fill>
      <patternFill patternType="solid">
        <fgColor rgb="FF00FF00"/>
        <bgColor rgb="FF00FF00"/>
      </patternFill>
    </fill>
    <fill>
      <patternFill patternType="solid">
        <fgColor theme="0"/>
        <bgColor theme="0"/>
      </patternFill>
    </fill>
    <fill>
      <patternFill patternType="solid">
        <fgColor rgb="FFFFF2CC"/>
        <bgColor rgb="FFFFF2CC"/>
      </patternFill>
    </fill>
    <fill>
      <patternFill patternType="solid">
        <fgColor rgb="FFFF0000"/>
        <bgColor rgb="FFFF0000"/>
      </patternFill>
    </fill>
  </fills>
  <borders count="2">
    <border/>
    <border>
      <bottom style="thin">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0"/>
    </xf>
    <xf quotePrefix="1" borderId="0" fillId="0" fontId="1" numFmtId="0" xfId="0" applyAlignment="1" applyFont="1">
      <alignment readingOrder="0" shrinkToFit="0" vertical="center" wrapText="1"/>
    </xf>
    <xf borderId="0" fillId="0" fontId="1" numFmtId="0" xfId="0" applyAlignment="1" applyFont="1">
      <alignment horizontal="center" shrinkToFit="0" vertical="center" wrapText="0"/>
    </xf>
    <xf borderId="0" fillId="0" fontId="1" numFmtId="0" xfId="0" applyAlignment="1" applyFont="1">
      <alignment readingOrder="0" shrinkToFit="0" vertical="center" wrapText="1"/>
    </xf>
    <xf borderId="0" fillId="0" fontId="1" numFmtId="0" xfId="0" applyAlignment="1" applyFont="1">
      <alignment horizontal="center"/>
    </xf>
    <xf borderId="0" fillId="0" fontId="1" numFmtId="0" xfId="0" applyAlignment="1" applyFont="1">
      <alignment shrinkToFit="0" wrapText="1"/>
    </xf>
    <xf borderId="0" fillId="0" fontId="3" numFmtId="0" xfId="0" applyAlignment="1" applyFont="1">
      <alignment horizontal="center"/>
    </xf>
    <xf borderId="0" fillId="2" fontId="3" numFmtId="0" xfId="0" applyAlignment="1" applyFill="1" applyFont="1">
      <alignment horizontal="center"/>
    </xf>
    <xf borderId="0" fillId="2" fontId="4" numFmtId="0" xfId="0" applyAlignment="1" applyFont="1">
      <alignment horizontal="center" readingOrder="0"/>
    </xf>
    <xf borderId="0" fillId="0" fontId="5" numFmtId="0" xfId="0" applyAlignment="1" applyFont="1">
      <alignment horizontal="center"/>
    </xf>
    <xf borderId="0" fillId="0" fontId="6" numFmtId="0" xfId="0" applyAlignment="1" applyFont="1">
      <alignment horizontal="center"/>
    </xf>
    <xf borderId="0" fillId="0" fontId="7" numFmtId="0" xfId="0" applyAlignment="1" applyFont="1">
      <alignment horizontal="center" readingOrder="0"/>
    </xf>
    <xf borderId="0" fillId="0" fontId="1" numFmtId="0" xfId="0" applyAlignment="1" applyFont="1">
      <alignment horizontal="center" readingOrder="0"/>
    </xf>
    <xf borderId="0" fillId="0" fontId="3" numFmtId="0" xfId="0" applyAlignment="1" applyFont="1">
      <alignment horizontal="center" readingOrder="0" vertical="bottom"/>
    </xf>
    <xf borderId="0" fillId="0" fontId="3" numFmtId="0" xfId="0" applyAlignment="1" applyFont="1">
      <alignment horizontal="center" vertical="bottom"/>
    </xf>
    <xf borderId="0" fillId="0" fontId="3" numFmtId="0" xfId="0" applyAlignment="1" applyFont="1">
      <alignment vertical="bottom"/>
    </xf>
    <xf borderId="0" fillId="0" fontId="6" numFmtId="0" xfId="0" applyAlignment="1" applyFont="1">
      <alignment vertical="bottom"/>
    </xf>
    <xf borderId="0" fillId="3" fontId="3" numFmtId="0" xfId="0" applyAlignment="1" applyFill="1" applyFont="1">
      <alignment vertical="bottom"/>
    </xf>
    <xf borderId="0" fillId="4" fontId="3" numFmtId="0" xfId="0" applyAlignment="1" applyFill="1" applyFont="1">
      <alignment readingOrder="0" vertical="bottom"/>
    </xf>
    <xf borderId="0" fillId="5" fontId="8" numFmtId="0" xfId="0" applyAlignment="1" applyFill="1" applyFont="1">
      <alignment vertical="bottom"/>
    </xf>
    <xf borderId="0" fillId="0" fontId="6" numFmtId="0" xfId="0" applyAlignment="1" applyFont="1">
      <alignment horizontal="center" vertical="bottom"/>
    </xf>
    <xf borderId="0" fillId="6" fontId="3" numFmtId="0" xfId="0" applyAlignment="1" applyFill="1" applyFont="1">
      <alignment vertical="bottom"/>
    </xf>
    <xf borderId="0" fillId="4" fontId="3" numFmtId="0" xfId="0" applyAlignment="1" applyFont="1">
      <alignment vertical="bottom"/>
    </xf>
    <xf borderId="0" fillId="7" fontId="9" numFmtId="0" xfId="0" applyAlignment="1" applyFill="1" applyFont="1">
      <alignment vertical="bottom"/>
    </xf>
    <xf borderId="0" fillId="0" fontId="4" numFmtId="0" xfId="0" applyAlignment="1" applyFont="1">
      <alignment vertical="bottom"/>
    </xf>
    <xf borderId="0" fillId="8" fontId="3" numFmtId="0" xfId="0" applyAlignment="1" applyFill="1" applyFont="1">
      <alignment vertical="bottom"/>
    </xf>
    <xf borderId="0" fillId="3" fontId="3" numFmtId="0" xfId="0" applyAlignment="1" applyFont="1">
      <alignment readingOrder="0" vertical="bottom"/>
    </xf>
    <xf borderId="0" fillId="0" fontId="3" numFmtId="0" xfId="0" applyAlignment="1" applyFont="1">
      <alignment readingOrder="0" vertical="bottom"/>
    </xf>
    <xf borderId="0" fillId="0" fontId="9" numFmtId="0" xfId="0" applyAlignment="1" applyFont="1">
      <alignment vertical="bottom"/>
    </xf>
    <xf borderId="0" fillId="6" fontId="9" numFmtId="0" xfId="0" applyAlignment="1" applyFont="1">
      <alignment vertical="bottom"/>
    </xf>
    <xf borderId="0" fillId="9" fontId="3" numFmtId="0" xfId="0" applyAlignment="1" applyFill="1" applyFont="1">
      <alignment vertical="bottom"/>
    </xf>
    <xf borderId="0" fillId="7" fontId="9" numFmtId="0" xfId="0" applyAlignment="1" applyFont="1">
      <alignment vertical="bottom"/>
    </xf>
    <xf borderId="0" fillId="8" fontId="9" numFmtId="0" xfId="0" applyAlignment="1" applyFont="1">
      <alignment vertical="bottom"/>
    </xf>
    <xf borderId="0" fillId="6" fontId="3" numFmtId="0" xfId="0" applyAlignment="1" applyFont="1">
      <alignment readingOrder="0" vertical="bottom"/>
    </xf>
    <xf borderId="0" fillId="4" fontId="9" numFmtId="0" xfId="0" applyAlignment="1" applyFont="1">
      <alignment vertical="bottom"/>
    </xf>
    <xf borderId="0" fillId="9" fontId="3" numFmtId="0" xfId="0" applyAlignment="1" applyFont="1">
      <alignment readingOrder="0" vertical="bottom"/>
    </xf>
    <xf borderId="0" fillId="5" fontId="10" numFmtId="0" xfId="0" applyAlignment="1" applyFont="1">
      <alignment vertical="bottom"/>
    </xf>
    <xf borderId="0" fillId="7" fontId="3" numFmtId="0" xfId="0" applyAlignment="1" applyFont="1">
      <alignment vertical="bottom"/>
    </xf>
    <xf borderId="0" fillId="0" fontId="4" numFmtId="0" xfId="0" applyAlignment="1" applyFont="1">
      <alignment readingOrder="0" vertical="bottom"/>
    </xf>
    <xf borderId="0" fillId="10" fontId="3" numFmtId="0" xfId="0" applyAlignment="1" applyFill="1" applyFont="1">
      <alignment horizontal="center" vertical="bottom"/>
    </xf>
    <xf borderId="0" fillId="10" fontId="3" numFmtId="0" xfId="0" applyAlignment="1" applyFont="1">
      <alignment vertical="bottom"/>
    </xf>
    <xf borderId="0" fillId="10" fontId="6" numFmtId="0" xfId="0" applyAlignment="1" applyFont="1">
      <alignment vertical="bottom"/>
    </xf>
    <xf borderId="0" fillId="10" fontId="9" numFmtId="0" xfId="0" applyAlignment="1" applyFont="1">
      <alignment vertical="bottom"/>
    </xf>
    <xf borderId="0" fillId="10" fontId="3" numFmtId="0" xfId="0" applyAlignment="1" applyFont="1">
      <alignment readingOrder="0" vertical="bottom"/>
    </xf>
    <xf borderId="0" fillId="10" fontId="4" numFmtId="0" xfId="0" applyAlignment="1" applyFont="1">
      <alignment vertical="bottom"/>
    </xf>
    <xf borderId="0" fillId="5" fontId="11" numFmtId="0" xfId="0" applyAlignment="1" applyFont="1">
      <alignment vertical="top"/>
    </xf>
    <xf borderId="1" fillId="0" fontId="3" numFmtId="0" xfId="0" applyAlignment="1" applyBorder="1" applyFont="1">
      <alignment horizontal="center" readingOrder="0" vertical="bottom"/>
    </xf>
    <xf borderId="1" fillId="0" fontId="3" numFmtId="0" xfId="0" applyAlignment="1" applyBorder="1" applyFont="1">
      <alignment horizontal="center" vertical="bottom"/>
    </xf>
    <xf borderId="1" fillId="0" fontId="3" numFmtId="0" xfId="0" applyAlignment="1" applyBorder="1" applyFont="1">
      <alignment vertical="bottom"/>
    </xf>
    <xf borderId="1" fillId="0" fontId="6" numFmtId="0" xfId="0" applyAlignment="1" applyBorder="1" applyFont="1">
      <alignment vertical="bottom"/>
    </xf>
    <xf borderId="1" fillId="3" fontId="3" numFmtId="0" xfId="0" applyAlignment="1" applyBorder="1" applyFont="1">
      <alignment vertical="bottom"/>
    </xf>
    <xf borderId="1" fillId="0" fontId="4" numFmtId="0" xfId="0" applyAlignment="1" applyBorder="1" applyFont="1">
      <alignment vertical="bottom"/>
    </xf>
    <xf borderId="0" fillId="0" fontId="2" numFmtId="0" xfId="0" applyAlignment="1" applyFont="1">
      <alignment horizontal="center" readingOrder="0"/>
    </xf>
    <xf borderId="0" fillId="0" fontId="2" numFmtId="0" xfId="0" applyAlignment="1" applyFont="1">
      <alignment readingOrder="0"/>
    </xf>
    <xf borderId="0" fillId="0" fontId="2" numFmtId="0" xfId="0" applyFont="1"/>
    <xf borderId="0" fillId="0" fontId="12" numFmtId="0" xfId="0" applyAlignment="1" applyFont="1">
      <alignment readingOrder="0"/>
    </xf>
    <xf borderId="0" fillId="0" fontId="7" numFmtId="0" xfId="0" applyAlignment="1" applyFont="1">
      <alignment readingOrder="0"/>
    </xf>
    <xf borderId="0" fillId="6" fontId="3" numFmtId="0" xfId="0" applyAlignment="1" applyFont="1">
      <alignment readingOrder="0" shrinkToFit="0" vertical="bottom" wrapText="0"/>
    </xf>
    <xf borderId="0" fillId="0" fontId="6" numFmtId="0" xfId="0" applyAlignment="1" applyFont="1">
      <alignment readingOrder="0" vertical="bottom"/>
    </xf>
    <xf borderId="0" fillId="3" fontId="2" numFmtId="0" xfId="0" applyAlignment="1" applyFont="1">
      <alignment readingOrder="0"/>
    </xf>
    <xf borderId="0" fillId="0" fontId="1" numFmtId="0" xfId="0" applyAlignment="1" applyFont="1">
      <alignment readingOrder="0"/>
    </xf>
    <xf borderId="0" fillId="8" fontId="2" numFmtId="0" xfId="0" applyAlignment="1" applyFont="1">
      <alignment readingOrder="0"/>
    </xf>
    <xf borderId="0" fillId="0" fontId="4" numFmtId="0" xfId="0" applyAlignment="1" applyFont="1">
      <alignment horizontal="center" readingOrder="0"/>
    </xf>
    <xf borderId="0" fillId="11" fontId="1" numFmtId="0" xfId="0" applyAlignment="1" applyFill="1" applyFont="1">
      <alignment horizontal="center" readingOrder="0"/>
    </xf>
    <xf borderId="0" fillId="5" fontId="1" numFmtId="0" xfId="0" applyAlignment="1" applyFont="1">
      <alignment horizontal="center" readingOrder="0"/>
    </xf>
    <xf borderId="0" fillId="7" fontId="1" numFmtId="0" xfId="0" applyAlignment="1" applyFont="1">
      <alignment horizontal="center" readingOrder="0"/>
    </xf>
    <xf borderId="0" fillId="12" fontId="1" numFmtId="0" xfId="0" applyAlignment="1" applyFill="1" applyFont="1">
      <alignment horizontal="center" readingOrder="0"/>
    </xf>
    <xf borderId="0" fillId="8" fontId="1" numFmtId="0" xfId="0" applyAlignment="1" applyFont="1">
      <alignment horizontal="center" readingOrder="0"/>
    </xf>
    <xf borderId="0" fillId="9" fontId="3" numFmtId="0" xfId="0" applyAlignment="1" applyFont="1">
      <alignment horizontal="center" vertical="bottom"/>
    </xf>
    <xf borderId="0" fillId="11" fontId="1" numFmtId="0" xfId="0" applyAlignment="1" applyFont="1">
      <alignment horizontal="center"/>
    </xf>
    <xf borderId="0" fillId="5" fontId="1" numFmtId="0" xfId="0" applyAlignment="1" applyFont="1">
      <alignment horizontal="center"/>
    </xf>
    <xf borderId="0" fillId="0" fontId="2" numFmtId="0" xfId="0" applyAlignment="1" applyFont="1">
      <alignment horizontal="center"/>
    </xf>
    <xf borderId="0" fillId="13" fontId="3" numFmtId="0" xfId="0" applyAlignment="1" applyFill="1" applyFont="1">
      <alignment horizontal="center" vertical="bottom"/>
    </xf>
    <xf borderId="0" fillId="13" fontId="3" numFmtId="0" xfId="0" applyAlignment="1" applyFont="1">
      <alignment vertical="bottom"/>
    </xf>
    <xf borderId="0" fillId="13" fontId="6" numFmtId="0" xfId="0" applyAlignment="1" applyFont="1">
      <alignment vertical="bottom"/>
    </xf>
    <xf borderId="0" fillId="3" fontId="3" numFmtId="0" xfId="0" applyAlignment="1" applyFont="1">
      <alignment horizontal="center" vertical="bottom"/>
    </xf>
    <xf borderId="0" fillId="10" fontId="1" numFmtId="0" xfId="0" applyAlignment="1" applyFont="1">
      <alignment horizontal="center"/>
    </xf>
    <xf borderId="0" fillId="10" fontId="1" numFmtId="0" xfId="0" applyFont="1"/>
    <xf borderId="0" fillId="10" fontId="13" numFmtId="0" xfId="0" applyAlignment="1" applyFont="1">
      <alignment horizontal="center"/>
    </xf>
    <xf borderId="0" fillId="5" fontId="1" numFmtId="0" xfId="0" applyAlignment="1" applyFont="1">
      <alignment readingOrder="0"/>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1"/>
    </xf>
    <xf borderId="0" fillId="11" fontId="1" numFmtId="0" xfId="0" applyAlignment="1" applyFont="1">
      <alignment horizontal="center" readingOrder="0" shrinkToFit="0" vertical="center" wrapText="0"/>
    </xf>
    <xf borderId="0" fillId="11" fontId="1" numFmtId="164" xfId="0" applyAlignment="1" applyFont="1" applyNumberFormat="1">
      <alignment readingOrder="0" shrinkToFit="0" vertical="center" wrapText="0"/>
    </xf>
    <xf borderId="0" fillId="11" fontId="1" numFmtId="0" xfId="0" applyAlignment="1" applyFont="1">
      <alignment readingOrder="0" shrinkToFit="0" vertical="center" wrapText="0"/>
    </xf>
    <xf borderId="0" fillId="11" fontId="1" numFmtId="0" xfId="0" applyAlignment="1" applyFont="1">
      <alignment readingOrder="0" shrinkToFit="0" vertical="center" wrapText="1"/>
    </xf>
    <xf borderId="0" fillId="11" fontId="1" numFmtId="0" xfId="0" applyAlignment="1" applyFont="1">
      <alignment readingOrder="0" shrinkToFit="0" vertical="center" wrapText="0"/>
    </xf>
    <xf borderId="0" fillId="11" fontId="1" numFmtId="0" xfId="0" applyFont="1"/>
    <xf borderId="0" fillId="0" fontId="1" numFmtId="0" xfId="0" applyAlignment="1" applyFont="1">
      <alignment readingOrder="0" shrinkToFit="0" vertical="center" wrapText="0"/>
    </xf>
    <xf borderId="0" fillId="0" fontId="14"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14" fontId="1" numFmtId="0" xfId="0" applyAlignment="1" applyFill="1" applyFont="1">
      <alignment horizontal="center" readingOrder="0" shrinkToFit="0" vertical="center" wrapText="0"/>
    </xf>
    <xf borderId="0" fillId="14" fontId="1" numFmtId="164" xfId="0" applyAlignment="1" applyFont="1" applyNumberFormat="1">
      <alignment readingOrder="0" shrinkToFit="0" vertical="center" wrapText="0"/>
    </xf>
    <xf borderId="0" fillId="14" fontId="1" numFmtId="0" xfId="0" applyAlignment="1" applyFont="1">
      <alignment readingOrder="0" shrinkToFit="0" vertical="center" wrapText="0"/>
    </xf>
    <xf borderId="0" fillId="14"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9" fontId="1" numFmtId="0" xfId="0" applyAlignment="1" applyFont="1">
      <alignment horizontal="center" readingOrder="0" shrinkToFit="0" vertical="center" wrapText="0"/>
    </xf>
    <xf borderId="0" fillId="9" fontId="1" numFmtId="164" xfId="0" applyAlignment="1" applyFont="1" applyNumberFormat="1">
      <alignment readingOrder="0" shrinkToFit="0" vertical="center" wrapText="0"/>
    </xf>
    <xf borderId="0" fillId="9" fontId="1" numFmtId="0" xfId="0" applyAlignment="1" applyFont="1">
      <alignment readingOrder="0" shrinkToFit="0" vertical="center" wrapText="0"/>
    </xf>
    <xf borderId="0" fillId="9" fontId="1" numFmtId="0" xfId="0" applyAlignment="1" applyFont="1">
      <alignment readingOrder="0" shrinkToFit="0" vertical="center" wrapText="1"/>
    </xf>
    <xf borderId="0" fillId="9" fontId="1" numFmtId="0" xfId="0" applyAlignment="1" applyFont="1">
      <alignment readingOrder="0" shrinkToFit="0" vertical="center" wrapText="0"/>
    </xf>
    <xf borderId="0" fillId="9" fontId="1" numFmtId="0" xfId="0" applyAlignment="1" applyFont="1">
      <alignment shrinkToFit="0" vertical="center" wrapText="1"/>
    </xf>
    <xf borderId="0" fillId="9" fontId="1" numFmtId="0" xfId="0" applyFont="1"/>
    <xf borderId="0" fillId="11" fontId="1" numFmtId="0" xfId="0" applyAlignment="1" applyFont="1">
      <alignment shrinkToFit="0" vertical="center" wrapText="1"/>
    </xf>
    <xf borderId="0" fillId="11" fontId="2" numFmtId="0" xfId="0" applyAlignment="1" applyFont="1">
      <alignment readingOrder="0" shrinkToFit="0" vertical="center" wrapText="1"/>
    </xf>
    <xf borderId="0" fillId="11" fontId="2"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15" fontId="1" numFmtId="0" xfId="0" applyAlignment="1" applyFill="1" applyFont="1">
      <alignment horizontal="center" readingOrder="0" shrinkToFit="0" vertical="center" wrapText="0"/>
    </xf>
    <xf borderId="0" fillId="15" fontId="1" numFmtId="164" xfId="0" applyAlignment="1" applyFont="1" applyNumberFormat="1">
      <alignment readingOrder="0" shrinkToFit="0" vertical="center" wrapText="0"/>
    </xf>
    <xf borderId="0" fillId="15" fontId="1" numFmtId="0" xfId="0" applyAlignment="1" applyFont="1">
      <alignment readingOrder="0" shrinkToFit="0" vertical="center" wrapText="0"/>
    </xf>
    <xf borderId="0" fillId="15" fontId="1" numFmtId="0" xfId="0" applyAlignment="1" applyFont="1">
      <alignment readingOrder="0" shrinkToFit="0" vertical="center" wrapText="0"/>
    </xf>
    <xf borderId="0" fillId="15" fontId="1" numFmtId="0" xfId="0" applyAlignment="1" applyFont="1">
      <alignment readingOrder="0" shrinkToFit="0" vertical="center" wrapText="1"/>
    </xf>
    <xf borderId="0" fillId="15" fontId="1" numFmtId="0" xfId="0" applyAlignment="1" applyFont="1">
      <alignment readingOrder="0" shrinkToFit="0" vertical="center" wrapText="0"/>
    </xf>
    <xf borderId="0" fillId="15" fontId="1" numFmtId="0" xfId="0" applyFont="1"/>
    <xf borderId="0" fillId="0" fontId="2" numFmtId="0" xfId="0" applyAlignment="1" applyFont="1">
      <alignment readingOrder="0" shrinkToFit="0" vertical="center" wrapText="0"/>
    </xf>
    <xf borderId="0" fillId="5" fontId="1" numFmtId="0" xfId="0" applyAlignment="1" applyFont="1">
      <alignment horizontal="center" readingOrder="0" shrinkToFit="0" vertical="center" wrapText="0"/>
    </xf>
    <xf borderId="0" fillId="5" fontId="1" numFmtId="164" xfId="0" applyAlignment="1" applyFont="1" applyNumberFormat="1">
      <alignment readingOrder="0" shrinkToFit="0" vertical="center" wrapText="0"/>
    </xf>
    <xf borderId="0" fillId="5" fontId="1" numFmtId="0" xfId="0" applyAlignment="1" applyFont="1">
      <alignment readingOrder="0" shrinkToFit="0" vertical="center" wrapText="0"/>
    </xf>
    <xf borderId="0" fillId="5" fontId="1" numFmtId="0" xfId="0" applyAlignment="1" applyFont="1">
      <alignment readingOrder="0" shrinkToFit="0" vertical="center" wrapText="0"/>
    </xf>
    <xf borderId="0" fillId="5" fontId="1" numFmtId="0" xfId="0" applyAlignment="1" applyFont="1">
      <alignment readingOrder="0" shrinkToFit="0" vertical="center" wrapText="1"/>
    </xf>
    <xf borderId="0" fillId="5" fontId="1" numFmtId="0" xfId="0" applyAlignment="1" applyFont="1">
      <alignment readingOrder="0" shrinkToFit="0" vertical="center" wrapText="0"/>
    </xf>
    <xf borderId="0" fillId="5" fontId="1" numFmtId="0" xfId="0" applyFont="1"/>
    <xf borderId="0" fillId="11"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Font="1"/>
    <xf borderId="0" fillId="8" fontId="1" numFmtId="0" xfId="0" applyAlignment="1" applyFont="1">
      <alignment readingOrder="0" shrinkToFit="0" vertical="center" wrapText="1"/>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16" fontId="1" numFmtId="0" xfId="0" applyAlignment="1" applyFill="1" applyFont="1">
      <alignment readingOrder="0" shrinkToFit="0" vertical="center" wrapText="0"/>
    </xf>
    <xf borderId="0" fillId="16" fontId="1" numFmtId="0" xfId="0" applyAlignment="1" applyFont="1">
      <alignment readingOrder="0" shrinkToFit="0" vertical="center" wrapText="1"/>
    </xf>
    <xf borderId="0" fillId="6" fontId="1" numFmtId="0" xfId="0" applyAlignment="1" applyFont="1">
      <alignment readingOrder="0" shrinkToFit="0" vertical="center" wrapText="1"/>
    </xf>
    <xf borderId="0" fillId="0" fontId="17" numFmtId="0" xfId="0" applyAlignment="1" applyFont="1">
      <alignment readingOrder="0" shrinkToFit="0" vertical="center" wrapText="0"/>
    </xf>
    <xf borderId="0" fillId="0" fontId="18"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readingOrder="0" shrinkToFit="0" vertical="bottom" wrapText="0"/>
    </xf>
    <xf borderId="0" fillId="11" fontId="18" numFmtId="0" xfId="0" applyAlignment="1" applyFont="1">
      <alignment readingOrder="0" shrinkToFit="0" vertical="center" wrapText="1"/>
    </xf>
    <xf borderId="0" fillId="0" fontId="1" numFmtId="0" xfId="0" applyAlignment="1" applyFont="1">
      <alignment horizontal="center" shrinkToFit="0" vertical="center" wrapText="0"/>
    </xf>
    <xf borderId="0" fillId="15" fontId="3" numFmtId="0" xfId="0" applyAlignment="1" applyFont="1">
      <alignment horizontal="center"/>
    </xf>
    <xf borderId="0" fillId="15" fontId="4" numFmtId="0" xfId="0" applyAlignment="1" applyFont="1">
      <alignment horizontal="center" readingOrder="0"/>
    </xf>
    <xf borderId="0" fillId="15" fontId="1" numFmtId="0" xfId="0" applyAlignment="1" applyFont="1">
      <alignment horizontal="center" readingOrder="0"/>
    </xf>
    <xf borderId="0" fillId="17" fontId="1" numFmtId="0" xfId="0" applyAlignment="1" applyFill="1" applyFont="1">
      <alignment horizontal="center" readingOrder="0"/>
    </xf>
    <xf borderId="0" fillId="15" fontId="1" numFmtId="0" xfId="0" applyAlignment="1" applyFont="1">
      <alignment readingOrder="0"/>
    </xf>
    <xf borderId="0" fillId="15" fontId="3" numFmtId="0" xfId="0" applyAlignment="1" applyFont="1">
      <alignment horizontal="center" vertical="bottom"/>
    </xf>
    <xf borderId="0" fillId="15" fontId="3" numFmtId="0" xfId="0" applyAlignment="1" applyFont="1">
      <alignment vertical="bottom"/>
    </xf>
    <xf borderId="0" fillId="15" fontId="6" numFmtId="0" xfId="0" applyAlignment="1" applyFont="1">
      <alignment vertical="bottom"/>
    </xf>
    <xf borderId="0" fillId="15" fontId="1" numFmtId="0" xfId="0" applyAlignment="1" applyFont="1">
      <alignment horizontal="center"/>
    </xf>
    <xf borderId="0" fillId="17" fontId="1" numFmtId="0" xfId="0" applyAlignment="1" applyFont="1">
      <alignment horizontal="center"/>
    </xf>
    <xf borderId="0" fillId="15" fontId="3" numFmtId="0" xfId="0" applyAlignment="1" applyFont="1">
      <alignment readingOrder="0" vertical="bottom"/>
    </xf>
    <xf borderId="0" fillId="15" fontId="9" numFmtId="0" xfId="0" applyAlignment="1" applyFont="1">
      <alignment vertical="bottom"/>
    </xf>
    <xf borderId="0" fillId="15" fontId="11" numFmtId="0" xfId="0" applyAlignment="1" applyFont="1">
      <alignment vertical="top"/>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8">
    <tableStyle count="4" pivot="0" name="フォームの回答 1-style">
      <tableStyleElement dxfId="1" type="headerRow"/>
      <tableStyleElement dxfId="2" type="firstRowStripe"/>
      <tableStyleElement dxfId="3" type="secondRowStripe"/>
      <tableStyleElement dxfId="4" size="0" type="wholeTable"/>
    </tableStyle>
    <tableStyle count="4" pivot="0" name="Applicant List-style">
      <tableStyleElement dxfId="1" type="headerRow"/>
      <tableStyleElement dxfId="2" type="firstRowStripe"/>
      <tableStyleElement dxfId="3" type="secondRowStripe"/>
      <tableStyleElement dxfId="4" size="0" type="wholeTable"/>
    </tableStyle>
    <tableStyle count="4" pivot="0" name="0001_0050_竹野内-style">
      <tableStyleElement dxfId="1" type="headerRow"/>
      <tableStyleElement dxfId="2" type="firstRowStripe"/>
      <tableStyleElement dxfId="3" type="secondRowStripe"/>
      <tableStyleElement dxfId="4" size="0" type="wholeTable"/>
    </tableStyle>
    <tableStyle count="4" pivot="0" name="0051_0100_黒沼-style">
      <tableStyleElement dxfId="1" type="headerRow"/>
      <tableStyleElement dxfId="2" type="firstRowStripe"/>
      <tableStyleElement dxfId="3" type="secondRowStripe"/>
      <tableStyleElement dxfId="4" size="0" type="wholeTable"/>
    </tableStyle>
    <tableStyle count="4" pivot="0" name="0101_0150_竹野内（世）-style">
      <tableStyleElement dxfId="1" type="headerRow"/>
      <tableStyleElement dxfId="2" type="firstRowStripe"/>
      <tableStyleElement dxfId="3" type="secondRowStripe"/>
      <tableStyleElement dxfId="4" size="0" type="wholeTable"/>
    </tableStyle>
    <tableStyle count="4" pivot="0" name="0151_0200_宮川-style">
      <tableStyleElement dxfId="1" type="headerRow"/>
      <tableStyleElement dxfId="2" type="firstRowStripe"/>
      <tableStyleElement dxfId="3" type="secondRowStripe"/>
      <tableStyleElement dxfId="4" size="0" type="wholeTable"/>
    </tableStyle>
    <tableStyle count="4" pivot="0" name="0201_0250_肥後-style">
      <tableStyleElement dxfId="1" type="headerRow"/>
      <tableStyleElement dxfId="2" type="firstRowStripe"/>
      <tableStyleElement dxfId="3" type="secondRowStripe"/>
      <tableStyleElement dxfId="4" size="0" type="wholeTable"/>
    </tableStyle>
    <tableStyle count="4" pivot="0" name="0251_0302_進藤-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o Miyagawa" id="{cf9e7a9a-502e-45a3-ba4a-fd0b5ee64556}" providerId="google-sheets"/>
  <x18tc:person displayName="Taichi Kuronuma" id="{7f52c6bf-de37-47b7-9db8-b7a648c8c600}" providerId="google-sheets"/>
</x18tc:personList>
</file>

<file path=xl/tables/table1.xml><?xml version="1.0" encoding="utf-8"?>
<table xmlns="http://schemas.openxmlformats.org/spreadsheetml/2006/main" ref="A1:O305" displayName="Form_Responses" name="Form_Responses" id="1">
  <autoFilter ref="$A$1:$O$305"/>
  <tableColumns count="15">
    <tableColumn name="タイムスタンプ" id="1"/>
    <tableColumn name="メールアドレス" id="2"/>
    <tableColumn name="Name" id="3"/>
    <tableColumn name="E-Mail (Confirmation)" id="4"/>
    <tableColumn name="Type of Presentaiton" id="5"/>
    <tableColumn name="Abstract Title (max. 30 words)" id="6"/>
    <tableColumn name="Abstract (max. 300 words)_x000a__x000a_Note: All abstracts will be reviewed blind. The list of submissions will be provided to the reviewers containing only the title, abstract, and an identification number for each submission._x000a_The main reviewing criteria include:_x000a_a) Quality of the overall abstract, content, and aim_x000a_b) Methodology_x000a_c) The ability of the topic to garner overall interest (new or ongoing research)_x000a_(see also CRE Peer Review Procedure)_x000a__x000a_It is also desirable that the abstract clearly and concisely indicates the main conclusions of the research to be presented." id="7"/>
    <tableColumn name="Keyword 1" id="8"/>
    <tableColumn name="Keyword 2" id="9"/>
    <tableColumn name="Keyword 3" id="10"/>
    <tableColumn name="Need for Financial Support_x000a_Please briefly explain your need for financial support, if applicable._x000a_Please note that financial support is limited, and not all requests can be accommodated." id="11"/>
    <tableColumn name="Affiliation" id="12"/>
    <tableColumn name="Status" id="13"/>
    <tableColumn name="Country of Residence" id="14"/>
    <tableColumn name="Nationality (we need this info for your visa)" id="15"/>
  </tableColumns>
  <tableStyleInfo name="フォームの回答 1-style" showColumnStripes="0" showFirstColumn="1" showLastColumn="1" showRowStripes="1"/>
</table>
</file>

<file path=xl/tables/table2.xml><?xml version="1.0" encoding="utf-8"?>
<table xmlns="http://schemas.openxmlformats.org/spreadsheetml/2006/main" ref="A1:Q303" displayName="Form_Responses_2" name="Form_Responses_2" id="2">
  <tableColumns count="17">
    <tableColumn name="Applicant NO" id="1"/>
    <tableColumn name="タイムスタンプ" id="2"/>
    <tableColumn name="メールアドレス" id="3"/>
    <tableColumn name="Name" id="4"/>
    <tableColumn name="E-Mail (Confirmation)" id="5"/>
    <tableColumn name="Type of Presentaiton" id="6"/>
    <tableColumn name="Abstract Title (max. 30 words)" id="7"/>
    <tableColumn name="Abstract (max. 300 words)_x000a__x000a_Note: All abstracts will be reviewed blind. The list of submissions will be provided to the reviewers containing only the title, abstract, and an identification number for each submission._x000a_The main reviewing criteria include:_x000a_a) Quality of the overall abstract, content, and aim_x000a_b) Methodology_x000a_c) The ability of the topic to garner overall interest (new or ongoing research)_x000a_(see also CRE Peer Review Procedure)_x000a__x000a_It is also desirable that the abstract clearly and concisely indicates the main conclusions of the research to be presented." id="8"/>
    <tableColumn name="Keyword 1" id="9"/>
    <tableColumn name="Keyword 2" id="10"/>
    <tableColumn name="Keyword 3" id="11"/>
    <tableColumn name="Need for Financial Support_x000a_Please briefly explain your need for financial support, if applicable._x000a_Please note that financial support is limited, and not all requests can be accommodated." id="12"/>
    <tableColumn name="Affiliation" id="13"/>
    <tableColumn name="Status" id="14"/>
    <tableColumn name="Country of Residence" id="15"/>
    <tableColumn name="Nationality (we need this info for your visa)" id="16"/>
    <tableColumn name="Preliminary Notes" id="17"/>
  </tableColumns>
  <tableStyleInfo name="Applicant List-style" showColumnStripes="0" showFirstColumn="1" showLastColumn="1" showRowStripes="1"/>
</table>
</file>

<file path=xl/tables/table3.xml><?xml version="1.0" encoding="utf-8"?>
<table xmlns="http://schemas.openxmlformats.org/spreadsheetml/2006/main" ref="A1:V51" displayName="Form_Responses_3" name="Form_Responses_3" id="3">
  <tableColumns count="22">
    <tableColumn name="Applicant NO" id="1"/>
    <tableColumn name="タイムスタンプ" id="2"/>
    <tableColumn name="メールアドレス" id="3"/>
    <tableColumn name="Name" id="4"/>
    <tableColumn name="E-Mail (Confirmation)" id="5"/>
    <tableColumn name="Type of Presentaiton" id="6"/>
    <tableColumn name="Abstract Title (max. 30 words)" id="7"/>
    <tableColumn name="Abstract (max. 300 words)_x000a__x000a_Note: All abstracts will be reviewed blind. The list of submissions will be provided to the reviewers containing only the title, abstract, and an identification number for each submission._x000a_The main reviewing criteria include:_x000a_a) Quality of the overall abstract, content, and aim_x000a_b) Methodology_x000a_c) The ability of the topic to garner overall interest (new or ongoing research)_x000a_(see also CRE Peer Review Procedure)_x000a__x000a_It is also desirable that the abstract clearly and concisely indicates the main conclusions of the research to be presented." id="8"/>
    <tableColumn name="Keyword 1" id="9"/>
    <tableColumn name="Keyword 2" id="10"/>
    <tableColumn name="Keyword 3" id="11"/>
    <tableColumn name="Need for Financial Support_x000a_Please briefly explain your need for financial support, if applicable._x000a_Please note that financial support is limited, and not all requests can be accommodated." id="12"/>
    <tableColumn name="Affiliation" id="13"/>
    <tableColumn name="Status" id="14"/>
    <tableColumn name="Country of Residence" id="15"/>
    <tableColumn name="Nationality (we need this info for your visa)" id="16"/>
    <tableColumn name="Reviewer 1" id="17"/>
    <tableColumn name="Reviewer 2" id="18"/>
    <tableColumn name="To be sent to the reviewers?" id="19"/>
    <tableColumn name="Comment" id="20"/>
    <tableColumn name="運営委員の中でチェックをして欲しい人の名前" id="21"/>
    <tableColumn name="Preliminary Notes" id="22"/>
  </tableColumns>
  <tableStyleInfo name="0001_0050_竹野内-style" showColumnStripes="0" showFirstColumn="1" showLastColumn="1" showRowStripes="1"/>
</table>
</file>

<file path=xl/tables/table4.xml><?xml version="1.0" encoding="utf-8"?>
<table xmlns="http://schemas.openxmlformats.org/spreadsheetml/2006/main" ref="A1:W51" displayName="Form_Responses_4" name="Form_Responses_4" id="4">
  <tableColumns count="23">
    <tableColumn name="Applicant NO" id="1"/>
    <tableColumn name="タイムスタンプ" id="2"/>
    <tableColumn name="メールアドレス" id="3"/>
    <tableColumn name="Name" id="4"/>
    <tableColumn name="E-Mail (Confirmation)" id="5"/>
    <tableColumn name="Type of Presentaiton" id="6"/>
    <tableColumn name="Abstract Title (max. 30 words)" id="7"/>
    <tableColumn name="Abstract (max. 300 words)_x000a__x000a_Note: All abstracts will be reviewed blind. The list of submissions will be provided to the reviewers containing only the title, abstract, and an identification number for each submission._x000a_The main reviewing criteria include:_x000a_a) Quality of the overall abstract, content, and aim_x000a_b) Methodology_x000a_c) The ability of the topic to garner overall interest (new or ongoing research)_x000a_(see also CRE Peer Review Procedure)_x000a__x000a_It is also desirable that the abstract clearly and concisely indicates the main conclusions of the research to be presented." id="8"/>
    <tableColumn name="Keyword 1" id="9"/>
    <tableColumn name="Keyword 2" id="10"/>
    <tableColumn name="Keyword 3" id="11"/>
    <tableColumn name="Need for Financial Support_x000a_Please briefly explain your need for financial support, if applicable._x000a_Please note that financial support is limited, and not all requests can be accommodated." id="12"/>
    <tableColumn name="Affiliation" id="13"/>
    <tableColumn name="Status" id="14"/>
    <tableColumn name="Country of Residence" id="15"/>
    <tableColumn name="Nationality (we need this info for your visa)" id="16"/>
    <tableColumn name="Reviewer 1" id="17"/>
    <tableColumn name="Reviewer 2" id="18"/>
    <tableColumn name="To be sent to the reviewers?" id="19"/>
    <tableColumn name="Comment" id="20"/>
    <tableColumn name="運営委員の中でチェックをして欲しい人の名前" id="21"/>
    <tableColumn name="Preliminary Notes. Meeting the conditions of the Abstract?" id="22"/>
    <tableColumn name="Preliminary Notes. Contents?" id="23"/>
  </tableColumns>
  <tableStyleInfo name="0051_0100_黒沼-style" showColumnStripes="0" showFirstColumn="1" showLastColumn="1" showRowStripes="1"/>
</table>
</file>

<file path=xl/tables/table5.xml><?xml version="1.0" encoding="utf-8"?>
<table xmlns="http://schemas.openxmlformats.org/spreadsheetml/2006/main" ref="A1:V51" displayName="Form_Responses_5" name="Form_Responses_5" id="5">
  <tableColumns count="22">
    <tableColumn name="Applicant NO" id="1"/>
    <tableColumn name="タイムスタンプ" id="2"/>
    <tableColumn name="メールアドレス" id="3"/>
    <tableColumn name="Name" id="4"/>
    <tableColumn name="E-Mail (Confirmation)" id="5"/>
    <tableColumn name="Type of Presentaiton" id="6"/>
    <tableColumn name="Abstract Title (max. 30 words)" id="7"/>
    <tableColumn name="Abstract (max. 300 words)_x000a__x000a_Note: All abstracts will be reviewed blind. The list of submissions will be provided to the reviewers containing only the title, abstract, and an identification number for each submission._x000a_The main reviewing criteria include:_x000a_a) Quality of the overall abstract, content, and aim_x000a_b) Methodology_x000a_c) The ability of the topic to garner overall interest (new or ongoing research)_x000a_(see also CRE Peer Review Procedure)_x000a__x000a_It is also desirable that the abstract clearly and concisely indicates the main conclusions of the research to be presented." id="8"/>
    <tableColumn name="Keyword 1" id="9"/>
    <tableColumn name="Keyword 2" id="10"/>
    <tableColumn name="Keyword 3" id="11"/>
    <tableColumn name="Need for Financial Support_x000a_Please briefly explain your need for financial support, if applicable._x000a_Please note that financial support is limited, and not all requests can be accommodated." id="12"/>
    <tableColumn name="Affiliation" id="13"/>
    <tableColumn name="Status" id="14"/>
    <tableColumn name="Country of Residence" id="15"/>
    <tableColumn name="Nationality (we need this info for your visa)" id="16"/>
    <tableColumn name="Reviewer 1" id="17"/>
    <tableColumn name="Reviewer 2" id="18"/>
    <tableColumn name="To be sent to the reviewers?" id="19"/>
    <tableColumn name="Comment" id="20"/>
    <tableColumn name="運営委員の中でチェックをして欲しい人の名前" id="21"/>
    <tableColumn name="Preliminary Notes" id="22"/>
  </tableColumns>
  <tableStyleInfo name="0101_0150_竹野内（世）-style" showColumnStripes="0" showFirstColumn="1" showLastColumn="1" showRowStripes="1"/>
</table>
</file>

<file path=xl/tables/table6.xml><?xml version="1.0" encoding="utf-8"?>
<table xmlns="http://schemas.openxmlformats.org/spreadsheetml/2006/main" ref="A1:Y51" displayName="Form_Responses_6" name="Form_Responses_6" id="6">
  <tableColumns count="25">
    <tableColumn name="Applicant NO" id="1"/>
    <tableColumn name="タイムスタンプ" id="2"/>
    <tableColumn name="メールアドレス" id="3"/>
    <tableColumn name="Name" id="4"/>
    <tableColumn name="E-Mail (Confirmation)" id="5"/>
    <tableColumn name="Reviewer 1" id="6"/>
    <tableColumn name="Reviewer 2" id="7"/>
    <tableColumn name="Tier" id="8"/>
    <tableColumn name="Type of Presentaiton" id="9"/>
    <tableColumn name="Abstract Title (max. 30 words)" id="10"/>
    <tableColumn name="Abstract (max. 300 words)_x000a__x000a_Note: All abstracts will be reviewed blind. The list of submissions will be provided to the reviewers containing only the title, abstract, and an identification number for each submission._x000a_The main reviewing criteria include:_x000a_a) Quality of the overall abstract, content, and aim_x000a_b) Methodology_x000a_c) The ability of the topic to garner overall interest (new or ongoing research)_x000a_(see also CRE Peer Review Procedure)_x000a__x000a_It is also desirable that the abstract clearly and concisely indicates the main conclusions of the research to be presented." id="11"/>
    <tableColumn name="Keyword 1" id="12"/>
    <tableColumn name="Keyword 2" id="13"/>
    <tableColumn name="Keyword 3" id="14"/>
    <tableColumn name="Need for Financial Support_x000a_Please briefly explain your need for financial support, if applicable._x000a_Please note that financial support is limited, and not all requests can be accommodated." id="15"/>
    <tableColumn name="Affiliation" id="16"/>
    <tableColumn name="Status" id="17"/>
    <tableColumn name="Country of Residence" id="18"/>
    <tableColumn name="Nationality (we need this info for your visa)" id="19"/>
    <tableColumn name="Reviewer 1 2" id="20"/>
    <tableColumn name="Reviewer 2 2" id="21"/>
    <tableColumn name="To be sent to the reviewers?" id="22"/>
    <tableColumn name="Comment" id="23"/>
    <tableColumn name="運営委員の中でチェックをして欲しい人の名前" id="24"/>
    <tableColumn name="Preliminary Notes" id="25"/>
  </tableColumns>
  <tableStyleInfo name="0151_0200_宮川-style" showColumnStripes="0" showFirstColumn="1" showLastColumn="1" showRowStripes="1"/>
</table>
</file>

<file path=xl/tables/table7.xml><?xml version="1.0" encoding="utf-8"?>
<table xmlns="http://schemas.openxmlformats.org/spreadsheetml/2006/main" ref="A1:V51" displayName="Form_Responses_7" name="Form_Responses_7" id="7">
  <tableColumns count="22">
    <tableColumn name="Applicant NO" id="1"/>
    <tableColumn name="タイムスタンプ" id="2"/>
    <tableColumn name="メールアドレス" id="3"/>
    <tableColumn name="Name" id="4"/>
    <tableColumn name="E-Mail (Confirmation)" id="5"/>
    <tableColumn name="Type of Presentaiton" id="6"/>
    <tableColumn name="Abstract Title (max. 30 words)" id="7"/>
    <tableColumn name="Abstract (max. 300 words)_x000a__x000a_Note: All abstracts will be reviewed blind. The list of submissions will be provided to the reviewers containing only the title, abstract, and an identification number for each submission._x000a_The main reviewing criteria include:_x000a_a) Quality of the overall abstract, content, and aim_x000a_b) Methodology_x000a_c) The ability of the topic to garner overall interest (new or ongoing research)_x000a_(see also CRE Peer Review Procedure)_x000a__x000a_It is also desirable that the abstract clearly and concisely indicates the main conclusions of the research to be presented." id="8"/>
    <tableColumn name="Keyword 1" id="9"/>
    <tableColumn name="Keyword 2" id="10"/>
    <tableColumn name="Keyword 3" id="11"/>
    <tableColumn name="Need for Financial Support_x000a_Please briefly explain your need for financial support, if applicable._x000a_Please note that financial support is limited, and not all requests can be accommodated." id="12"/>
    <tableColumn name="Affiliation" id="13"/>
    <tableColumn name="Status" id="14"/>
    <tableColumn name="Country of Residence" id="15"/>
    <tableColumn name="Nationality (we need this info for your visa)" id="16"/>
    <tableColumn name="Reviewer 1" id="17"/>
    <tableColumn name="Reviewer 2" id="18"/>
    <tableColumn name="To be sent to the reviewers?" id="19"/>
    <tableColumn name="Comment" id="20"/>
    <tableColumn name="運営委員の中でチェックをして欲しい人の名前" id="21"/>
    <tableColumn name="Preliminary Notes" id="22"/>
  </tableColumns>
  <tableStyleInfo name="0201_0250_肥後-style" showColumnStripes="0" showFirstColumn="1" showLastColumn="1" showRowStripes="1"/>
</table>
</file>

<file path=xl/tables/table8.xml><?xml version="1.0" encoding="utf-8"?>
<table xmlns="http://schemas.openxmlformats.org/spreadsheetml/2006/main" ref="A1:V151" displayName="Form_Responses_8" name="Form_Responses_8" id="8">
  <tableColumns count="22">
    <tableColumn name="Applicant NO" id="1"/>
    <tableColumn name="タイムスタンプ" id="2"/>
    <tableColumn name="メールアドレス" id="3"/>
    <tableColumn name="Name" id="4"/>
    <tableColumn name="E-Mail (Confirmation)" id="5"/>
    <tableColumn name="Type of Presentaiton" id="6"/>
    <tableColumn name="Abstract Title (max. 30 words)" id="7"/>
    <tableColumn name="Abstract (max. 300 words)_x000a__x000a_Note: All abstracts will be reviewed blind. The list of submissions will be provided to the reviewers containing only the title, abstract, and an identification number for each submission._x000a_The main reviewing criteria include:_x000a_a) Quality of the overall abstract, content, and aim_x000a_b) Methodology_x000a_c) The ability of the topic to garner overall interest (new or ongoing research)_x000a_(see also CRE Peer Review Procedure)_x000a__x000a_It is also desirable that the abstract clearly and concisely indicates the main conclusions of the research to be presented." id="8"/>
    <tableColumn name="Keyword 1" id="9"/>
    <tableColumn name="Keyword 2" id="10"/>
    <tableColumn name="Keyword 3" id="11"/>
    <tableColumn name="Need for Financial Support_x000a_Please briefly explain your need for financial support, if applicable._x000a_Please note that financial support is limited, and not all requests can be accommodated." id="12"/>
    <tableColumn name="Affiliation" id="13"/>
    <tableColumn name="Status" id="14"/>
    <tableColumn name="Country of Residence" id="15"/>
    <tableColumn name="Nationality (we need this info for your visa)" id="16"/>
    <tableColumn name="Reviewer 1" id="17"/>
    <tableColumn name="Reviewer 2" id="18"/>
    <tableColumn name="To be sent to the reviewers?" id="19"/>
    <tableColumn name="Comment" id="20"/>
    <tableColumn name="運営委員の中でチェックをして欲しい人の名前" id="21"/>
    <tableColumn name="Preliminary Notes" id="22"/>
  </tableColumns>
  <tableStyleInfo name="0251_0302_進藤-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8" dT="2026-01-27T15:37:51.00" personId="{cf9e7a9a-502e-45a3-ba4a-fd0b5ee64556}" id="{31dda848-2fa3-4b2d-9777-f9ab7adb4692}" done="0">
    <x18tc:text xml:space="preserve">Dr.ではなくMr.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X38" dT="2026-01-20T09:44:27.00" personId="{cf9e7a9a-502e-45a3-ba4a-fd0b5ee64556}" id="{062af187-9fb1-4ce2-993a-3af875c8808c}" done="1">
    <x18tc:text xml:space="preserve">竹野内（世）</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4" dT="2026-01-20T08:59:49.00" personId="{7f52c6bf-de37-47b7-9db8-b7a648c8c600}" id="{00788823-ec53-4d8c-8e00-862e0d828e82}" done="0">
    <x18tc:text xml:space="preserve">後で変えるかも</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2" dT="2026-01-20T08:25:51.00" personId="{cf9e7a9a-502e-45a3-ba4a-fd0b5ee64556}" id="{2d408ebb-c1b1-4bed-a97e-6cc6b6c99825}" done="0">
    <x18tc:text xml:space="preserve">こちらを取る 190は削除</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6.vml"/><Relationship Id="rId7"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 Id="rId5"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8.vml"/><Relationship Id="rId7"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 Id="rId5"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 Id="rId5"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48.0"/>
    <col customWidth="1" min="4" max="4" width="20.88"/>
    <col customWidth="1" min="5" max="5" width="20.38"/>
    <col customWidth="1" min="6" max="6" width="27.25"/>
    <col customWidth="1" min="7" max="7" width="94.63"/>
    <col customWidth="1" min="8" max="10" width="18.88"/>
    <col customWidth="1" min="11" max="11" width="29.63"/>
    <col customWidth="1" min="12" max="13" width="18.88"/>
    <col customWidth="1" min="14" max="14" width="20.88"/>
    <col customWidth="1" min="15" max="15" width="36.25"/>
    <col customWidth="1" min="16" max="21" width="18.88"/>
  </cols>
  <sheetData>
    <row r="1" ht="6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45978.853783680555</v>
      </c>
      <c r="B2" s="3" t="s">
        <v>15</v>
      </c>
      <c r="C2" s="3" t="s">
        <v>16</v>
      </c>
      <c r="D2" s="3" t="s">
        <v>15</v>
      </c>
      <c r="E2" s="3" t="s">
        <v>17</v>
      </c>
      <c r="F2" s="3" t="s">
        <v>18</v>
      </c>
      <c r="G2" s="3" t="s">
        <v>19</v>
      </c>
      <c r="H2" s="3" t="s">
        <v>20</v>
      </c>
      <c r="I2" s="3" t="s">
        <v>21</v>
      </c>
      <c r="J2" s="3" t="s">
        <v>22</v>
      </c>
      <c r="K2" s="3" t="s">
        <v>23</v>
      </c>
      <c r="L2" s="3" t="s">
        <v>24</v>
      </c>
      <c r="M2" s="3" t="s">
        <v>25</v>
      </c>
      <c r="N2" s="3" t="s">
        <v>26</v>
      </c>
      <c r="O2" s="3" t="s">
        <v>26</v>
      </c>
    </row>
    <row r="3" ht="22.5" customHeight="1">
      <c r="A3" s="2">
        <v>45973.574415613424</v>
      </c>
      <c r="B3" s="3" t="s">
        <v>27</v>
      </c>
      <c r="C3" s="3" t="s">
        <v>28</v>
      </c>
      <c r="D3" s="3" t="s">
        <v>27</v>
      </c>
      <c r="E3" s="3" t="s">
        <v>17</v>
      </c>
      <c r="F3" s="3" t="s">
        <v>29</v>
      </c>
      <c r="G3" s="3" t="s">
        <v>29</v>
      </c>
      <c r="H3" s="3" t="s">
        <v>29</v>
      </c>
      <c r="I3" s="3" t="s">
        <v>29</v>
      </c>
      <c r="J3" s="3" t="s">
        <v>29</v>
      </c>
      <c r="K3" s="3" t="s">
        <v>30</v>
      </c>
      <c r="L3" s="3" t="s">
        <v>29</v>
      </c>
      <c r="M3" s="3" t="s">
        <v>31</v>
      </c>
      <c r="N3" s="3" t="s">
        <v>29</v>
      </c>
      <c r="O3" s="3" t="s">
        <v>29</v>
      </c>
    </row>
    <row r="4" ht="22.5" customHeight="1">
      <c r="A4" s="4">
        <v>45974.34493689815</v>
      </c>
      <c r="B4" s="5" t="s">
        <v>32</v>
      </c>
      <c r="C4" s="5" t="s">
        <v>33</v>
      </c>
      <c r="D4" s="5" t="s">
        <v>32</v>
      </c>
      <c r="E4" s="5" t="s">
        <v>17</v>
      </c>
      <c r="F4" s="5" t="s">
        <v>34</v>
      </c>
      <c r="G4" s="5" t="s">
        <v>35</v>
      </c>
      <c r="H4" s="5" t="s">
        <v>36</v>
      </c>
      <c r="I4" s="5" t="s">
        <v>37</v>
      </c>
      <c r="J4" s="5" t="s">
        <v>38</v>
      </c>
      <c r="K4" s="5" t="s">
        <v>23</v>
      </c>
      <c r="L4" s="5" t="s">
        <v>39</v>
      </c>
      <c r="M4" s="5" t="s">
        <v>39</v>
      </c>
      <c r="N4" s="5" t="s">
        <v>40</v>
      </c>
      <c r="O4" s="5" t="s">
        <v>41</v>
      </c>
    </row>
    <row r="5" ht="22.5" customHeight="1">
      <c r="A5" s="4">
        <v>45975.225543356486</v>
      </c>
      <c r="B5" s="5" t="s">
        <v>42</v>
      </c>
      <c r="C5" s="5" t="s">
        <v>43</v>
      </c>
      <c r="D5" s="5" t="s">
        <v>42</v>
      </c>
      <c r="E5" s="5" t="s">
        <v>17</v>
      </c>
      <c r="F5" s="5" t="s">
        <v>44</v>
      </c>
      <c r="G5" s="5" t="s">
        <v>45</v>
      </c>
      <c r="H5" s="5" t="s">
        <v>46</v>
      </c>
      <c r="I5" s="5" t="s">
        <v>47</v>
      </c>
      <c r="J5" s="5" t="s">
        <v>48</v>
      </c>
      <c r="K5" s="5" t="s">
        <v>30</v>
      </c>
      <c r="L5" s="5" t="s">
        <v>49</v>
      </c>
      <c r="M5" s="5" t="s">
        <v>50</v>
      </c>
      <c r="N5" s="5" t="s">
        <v>51</v>
      </c>
      <c r="O5" s="5" t="s">
        <v>52</v>
      </c>
    </row>
    <row r="6" ht="22.5" customHeight="1">
      <c r="A6" s="4">
        <v>45975.335964513884</v>
      </c>
      <c r="B6" s="5" t="s">
        <v>53</v>
      </c>
      <c r="C6" s="5" t="s">
        <v>54</v>
      </c>
      <c r="D6" s="5" t="s">
        <v>53</v>
      </c>
      <c r="E6" s="5" t="s">
        <v>17</v>
      </c>
      <c r="F6" s="5" t="s">
        <v>55</v>
      </c>
      <c r="G6" s="5" t="s">
        <v>56</v>
      </c>
      <c r="H6" s="5" t="s">
        <v>57</v>
      </c>
      <c r="I6" s="5" t="s">
        <v>58</v>
      </c>
      <c r="J6" s="5" t="s">
        <v>59</v>
      </c>
      <c r="K6" s="5" t="s">
        <v>30</v>
      </c>
      <c r="L6" s="5" t="s">
        <v>60</v>
      </c>
      <c r="M6" s="5" t="s">
        <v>61</v>
      </c>
      <c r="N6" s="5" t="s">
        <v>51</v>
      </c>
      <c r="O6" s="5" t="s">
        <v>52</v>
      </c>
    </row>
    <row r="7" ht="22.5" customHeight="1">
      <c r="A7" s="4">
        <v>45975.726207430554</v>
      </c>
      <c r="B7" s="5" t="s">
        <v>62</v>
      </c>
      <c r="C7" s="5" t="s">
        <v>63</v>
      </c>
      <c r="D7" s="5" t="s">
        <v>62</v>
      </c>
      <c r="E7" s="5" t="s">
        <v>64</v>
      </c>
      <c r="F7" s="5" t="s">
        <v>65</v>
      </c>
      <c r="G7" s="5" t="s">
        <v>66</v>
      </c>
      <c r="H7" s="5" t="s">
        <v>67</v>
      </c>
      <c r="I7" s="5" t="s">
        <v>68</v>
      </c>
      <c r="J7" s="5" t="s">
        <v>69</v>
      </c>
      <c r="K7" s="5" t="s">
        <v>30</v>
      </c>
      <c r="L7" s="5" t="s">
        <v>70</v>
      </c>
      <c r="M7" s="5" t="s">
        <v>71</v>
      </c>
      <c r="N7" s="5" t="s">
        <v>72</v>
      </c>
      <c r="O7" s="5" t="s">
        <v>73</v>
      </c>
    </row>
    <row r="8" ht="22.5" customHeight="1">
      <c r="A8" s="4">
        <v>45977.07979894676</v>
      </c>
      <c r="B8" s="5" t="s">
        <v>74</v>
      </c>
      <c r="C8" s="5" t="s">
        <v>75</v>
      </c>
      <c r="D8" s="5" t="s">
        <v>74</v>
      </c>
      <c r="E8" s="5" t="s">
        <v>17</v>
      </c>
      <c r="F8" s="5" t="s">
        <v>76</v>
      </c>
      <c r="G8" s="5" t="s">
        <v>77</v>
      </c>
      <c r="H8" s="5" t="s">
        <v>78</v>
      </c>
      <c r="I8" s="5" t="s">
        <v>79</v>
      </c>
      <c r="J8" s="5" t="s">
        <v>80</v>
      </c>
      <c r="K8" s="5" t="s">
        <v>30</v>
      </c>
      <c r="L8" s="5" t="s">
        <v>81</v>
      </c>
      <c r="M8" s="5" t="s">
        <v>61</v>
      </c>
      <c r="N8" s="5" t="s">
        <v>51</v>
      </c>
      <c r="O8" s="5" t="s">
        <v>51</v>
      </c>
    </row>
    <row r="9" ht="22.5" customHeight="1">
      <c r="A9" s="4">
        <v>45978.73710452546</v>
      </c>
      <c r="B9" s="5" t="s">
        <v>82</v>
      </c>
      <c r="C9" s="5" t="s">
        <v>83</v>
      </c>
      <c r="D9" s="5" t="s">
        <v>82</v>
      </c>
      <c r="E9" s="5" t="s">
        <v>17</v>
      </c>
      <c r="F9" s="5" t="s">
        <v>84</v>
      </c>
      <c r="G9" s="5" t="s">
        <v>85</v>
      </c>
      <c r="H9" s="5" t="s">
        <v>86</v>
      </c>
      <c r="I9" s="5" t="s">
        <v>87</v>
      </c>
      <c r="J9" s="5" t="s">
        <v>88</v>
      </c>
      <c r="K9" s="5" t="s">
        <v>30</v>
      </c>
      <c r="L9" s="5" t="s">
        <v>89</v>
      </c>
      <c r="M9" s="5" t="s">
        <v>25</v>
      </c>
      <c r="N9" s="5" t="s">
        <v>51</v>
      </c>
      <c r="O9" s="5" t="s">
        <v>52</v>
      </c>
    </row>
    <row r="10" ht="22.5" customHeight="1">
      <c r="A10" s="4">
        <v>45978.74664513889</v>
      </c>
      <c r="B10" s="5" t="s">
        <v>82</v>
      </c>
      <c r="C10" s="5" t="s">
        <v>83</v>
      </c>
      <c r="D10" s="5" t="s">
        <v>82</v>
      </c>
      <c r="E10" s="5" t="s">
        <v>17</v>
      </c>
      <c r="F10" s="5" t="s">
        <v>90</v>
      </c>
      <c r="G10" s="5" t="s">
        <v>91</v>
      </c>
      <c r="H10" s="5" t="s">
        <v>92</v>
      </c>
      <c r="I10" s="5" t="s">
        <v>93</v>
      </c>
      <c r="J10" s="5" t="s">
        <v>94</v>
      </c>
      <c r="K10" s="5" t="s">
        <v>30</v>
      </c>
      <c r="L10" s="5" t="s">
        <v>89</v>
      </c>
      <c r="M10" s="5" t="s">
        <v>25</v>
      </c>
      <c r="N10" s="5" t="s">
        <v>51</v>
      </c>
      <c r="O10" s="5" t="s">
        <v>52</v>
      </c>
    </row>
    <row r="11" ht="22.5" customHeight="1">
      <c r="A11" s="4">
        <v>45978.752676296295</v>
      </c>
      <c r="B11" s="5" t="s">
        <v>82</v>
      </c>
      <c r="C11" s="5" t="s">
        <v>83</v>
      </c>
      <c r="D11" s="5" t="s">
        <v>82</v>
      </c>
      <c r="E11" s="5" t="s">
        <v>17</v>
      </c>
      <c r="F11" s="5" t="s">
        <v>95</v>
      </c>
      <c r="G11" s="5" t="s">
        <v>96</v>
      </c>
      <c r="H11" s="5" t="s">
        <v>97</v>
      </c>
      <c r="I11" s="5" t="s">
        <v>98</v>
      </c>
      <c r="J11" s="5" t="s">
        <v>99</v>
      </c>
      <c r="K11" s="5" t="s">
        <v>30</v>
      </c>
      <c r="L11" s="5" t="s">
        <v>89</v>
      </c>
      <c r="M11" s="5" t="s">
        <v>25</v>
      </c>
      <c r="N11" s="5" t="s">
        <v>51</v>
      </c>
      <c r="O11" s="5" t="s">
        <v>52</v>
      </c>
    </row>
    <row r="12" ht="22.5" customHeight="1">
      <c r="A12" s="4">
        <v>45978.76234328704</v>
      </c>
      <c r="B12" s="5" t="s">
        <v>82</v>
      </c>
      <c r="C12" s="5" t="s">
        <v>83</v>
      </c>
      <c r="D12" s="5" t="s">
        <v>82</v>
      </c>
      <c r="E12" s="5" t="s">
        <v>64</v>
      </c>
      <c r="F12" s="5" t="s">
        <v>100</v>
      </c>
      <c r="G12" s="5" t="s">
        <v>101</v>
      </c>
      <c r="H12" s="5" t="s">
        <v>86</v>
      </c>
      <c r="I12" s="5" t="s">
        <v>102</v>
      </c>
      <c r="J12" s="5" t="s">
        <v>103</v>
      </c>
      <c r="K12" s="5" t="s">
        <v>30</v>
      </c>
      <c r="L12" s="5" t="s">
        <v>89</v>
      </c>
      <c r="M12" s="5" t="s">
        <v>25</v>
      </c>
      <c r="N12" s="5" t="s">
        <v>51</v>
      </c>
      <c r="O12" s="5" t="s">
        <v>51</v>
      </c>
    </row>
    <row r="13" ht="22.5" customHeight="1">
      <c r="A13" s="4">
        <v>45978.95245471065</v>
      </c>
      <c r="B13" s="5" t="s">
        <v>104</v>
      </c>
      <c r="C13" s="5" t="s">
        <v>104</v>
      </c>
      <c r="D13" s="5" t="s">
        <v>104</v>
      </c>
      <c r="E13" s="5" t="s">
        <v>17</v>
      </c>
      <c r="F13" s="5" t="s">
        <v>105</v>
      </c>
      <c r="G13" s="5" t="s">
        <v>106</v>
      </c>
      <c r="H13" s="5" t="s">
        <v>107</v>
      </c>
      <c r="I13" s="5" t="s">
        <v>108</v>
      </c>
      <c r="J13" s="5" t="s">
        <v>109</v>
      </c>
      <c r="K13" s="5" t="s">
        <v>30</v>
      </c>
      <c r="L13" s="5" t="s">
        <v>110</v>
      </c>
      <c r="M13" s="5" t="s">
        <v>111</v>
      </c>
      <c r="N13" s="5" t="s">
        <v>51</v>
      </c>
      <c r="O13" s="5" t="s">
        <v>73</v>
      </c>
    </row>
    <row r="14" ht="22.5" customHeight="1">
      <c r="A14" s="4">
        <v>45979.30210460648</v>
      </c>
      <c r="B14" s="5" t="s">
        <v>112</v>
      </c>
      <c r="C14" s="5" t="s">
        <v>113</v>
      </c>
      <c r="D14" s="5" t="s">
        <v>112</v>
      </c>
      <c r="E14" s="5" t="s">
        <v>17</v>
      </c>
      <c r="F14" s="5" t="s">
        <v>114</v>
      </c>
      <c r="G14" s="5" t="s">
        <v>115</v>
      </c>
      <c r="H14" s="5" t="s">
        <v>116</v>
      </c>
      <c r="I14" s="5" t="s">
        <v>117</v>
      </c>
      <c r="J14" s="5" t="s">
        <v>118</v>
      </c>
      <c r="K14" s="5" t="s">
        <v>30</v>
      </c>
      <c r="L14" s="5" t="s">
        <v>81</v>
      </c>
      <c r="M14" s="5" t="s">
        <v>119</v>
      </c>
      <c r="N14" s="5" t="s">
        <v>51</v>
      </c>
      <c r="O14" s="5" t="s">
        <v>52</v>
      </c>
    </row>
    <row r="15" ht="22.5" customHeight="1">
      <c r="A15" s="4">
        <v>45979.31965983796</v>
      </c>
      <c r="B15" s="5" t="s">
        <v>120</v>
      </c>
      <c r="C15" s="5" t="s">
        <v>121</v>
      </c>
      <c r="D15" s="5" t="s">
        <v>120</v>
      </c>
      <c r="E15" s="5" t="s">
        <v>64</v>
      </c>
      <c r="F15" s="5" t="s">
        <v>122</v>
      </c>
      <c r="G15" s="5" t="s">
        <v>123</v>
      </c>
      <c r="H15" s="5" t="s">
        <v>124</v>
      </c>
      <c r="I15" s="5" t="s">
        <v>125</v>
      </c>
      <c r="J15" s="5" t="s">
        <v>126</v>
      </c>
      <c r="K15" s="5" t="s">
        <v>30</v>
      </c>
      <c r="L15" s="5" t="s">
        <v>127</v>
      </c>
      <c r="M15" s="5" t="s">
        <v>128</v>
      </c>
      <c r="N15" s="5" t="s">
        <v>51</v>
      </c>
      <c r="O15" s="5" t="s">
        <v>52</v>
      </c>
    </row>
    <row r="16" ht="22.5" customHeight="1">
      <c r="A16" s="4">
        <v>45979.78735119213</v>
      </c>
      <c r="B16" s="5" t="s">
        <v>129</v>
      </c>
      <c r="C16" s="5" t="s">
        <v>130</v>
      </c>
      <c r="D16" s="5" t="s">
        <v>129</v>
      </c>
      <c r="E16" s="5" t="s">
        <v>131</v>
      </c>
      <c r="F16" s="5" t="s">
        <v>132</v>
      </c>
      <c r="G16" s="5" t="s">
        <v>133</v>
      </c>
      <c r="H16" s="5" t="s">
        <v>134</v>
      </c>
      <c r="I16" s="5" t="s">
        <v>135</v>
      </c>
      <c r="J16" s="5" t="s">
        <v>136</v>
      </c>
      <c r="K16" s="5" t="s">
        <v>30</v>
      </c>
      <c r="L16" s="5" t="s">
        <v>137</v>
      </c>
      <c r="M16" s="5" t="s">
        <v>61</v>
      </c>
      <c r="N16" s="5" t="s">
        <v>72</v>
      </c>
      <c r="O16" s="5" t="s">
        <v>73</v>
      </c>
    </row>
    <row r="17" ht="22.5" customHeight="1">
      <c r="A17" s="4">
        <v>45980.88713109954</v>
      </c>
      <c r="B17" s="5" t="s">
        <v>138</v>
      </c>
      <c r="C17" s="5" t="s">
        <v>139</v>
      </c>
      <c r="D17" s="5" t="s">
        <v>138</v>
      </c>
      <c r="E17" s="5" t="s">
        <v>17</v>
      </c>
      <c r="F17" s="5" t="s">
        <v>140</v>
      </c>
      <c r="G17" s="5" t="s">
        <v>141</v>
      </c>
      <c r="H17" s="5" t="s">
        <v>142</v>
      </c>
      <c r="I17" s="5" t="s">
        <v>143</v>
      </c>
      <c r="J17" s="5" t="s">
        <v>144</v>
      </c>
      <c r="K17" s="5" t="s">
        <v>30</v>
      </c>
      <c r="L17" s="5" t="s">
        <v>145</v>
      </c>
      <c r="M17" s="5" t="s">
        <v>119</v>
      </c>
      <c r="N17" s="5" t="s">
        <v>51</v>
      </c>
      <c r="O17" s="5" t="s">
        <v>52</v>
      </c>
    </row>
    <row r="18" ht="22.5" customHeight="1">
      <c r="A18" s="4">
        <v>45981.13116849537</v>
      </c>
      <c r="B18" s="5" t="s">
        <v>146</v>
      </c>
      <c r="C18" s="5" t="s">
        <v>147</v>
      </c>
      <c r="D18" s="5" t="s">
        <v>146</v>
      </c>
      <c r="E18" s="5" t="s">
        <v>64</v>
      </c>
      <c r="F18" s="5" t="s">
        <v>148</v>
      </c>
      <c r="G18" s="5" t="s">
        <v>149</v>
      </c>
      <c r="H18" s="5" t="s">
        <v>150</v>
      </c>
      <c r="I18" s="5" t="s">
        <v>151</v>
      </c>
      <c r="J18" s="5" t="s">
        <v>152</v>
      </c>
      <c r="K18" s="5" t="s">
        <v>30</v>
      </c>
      <c r="L18" s="5" t="s">
        <v>153</v>
      </c>
      <c r="M18" s="5" t="s">
        <v>71</v>
      </c>
      <c r="N18" s="5" t="s">
        <v>154</v>
      </c>
      <c r="O18" s="5" t="s">
        <v>52</v>
      </c>
    </row>
    <row r="19" ht="22.5" customHeight="1">
      <c r="A19" s="4">
        <v>45981.39701994213</v>
      </c>
      <c r="B19" s="5" t="s">
        <v>155</v>
      </c>
      <c r="C19" s="5" t="s">
        <v>156</v>
      </c>
      <c r="D19" s="5" t="s">
        <v>155</v>
      </c>
      <c r="E19" s="5" t="s">
        <v>17</v>
      </c>
      <c r="F19" s="5" t="s">
        <v>157</v>
      </c>
      <c r="G19" s="5" t="s">
        <v>158</v>
      </c>
      <c r="H19" s="5" t="s">
        <v>159</v>
      </c>
      <c r="I19" s="5" t="s">
        <v>160</v>
      </c>
      <c r="J19" s="5" t="s">
        <v>161</v>
      </c>
      <c r="K19" s="5" t="s">
        <v>162</v>
      </c>
      <c r="L19" s="5" t="s">
        <v>163</v>
      </c>
      <c r="M19" s="5" t="s">
        <v>164</v>
      </c>
      <c r="N19" s="5" t="s">
        <v>40</v>
      </c>
      <c r="O19" s="5" t="s">
        <v>40</v>
      </c>
    </row>
    <row r="20" ht="22.5" customHeight="1">
      <c r="A20" s="4">
        <v>45982.02289770833</v>
      </c>
      <c r="B20" s="5" t="s">
        <v>165</v>
      </c>
      <c r="C20" s="5" t="s">
        <v>166</v>
      </c>
      <c r="D20" s="5" t="s">
        <v>165</v>
      </c>
      <c r="E20" s="5" t="s">
        <v>17</v>
      </c>
      <c r="F20" s="5" t="s">
        <v>167</v>
      </c>
      <c r="G20" s="5" t="s">
        <v>168</v>
      </c>
      <c r="H20" s="5" t="s">
        <v>169</v>
      </c>
      <c r="I20" s="5" t="s">
        <v>170</v>
      </c>
      <c r="J20" s="5" t="s">
        <v>171</v>
      </c>
      <c r="K20" s="5" t="s">
        <v>30</v>
      </c>
      <c r="L20" s="5" t="s">
        <v>145</v>
      </c>
      <c r="M20" s="5" t="s">
        <v>172</v>
      </c>
      <c r="N20" s="5" t="s">
        <v>173</v>
      </c>
      <c r="O20" s="5" t="s">
        <v>52</v>
      </c>
    </row>
    <row r="21" ht="22.5" customHeight="1">
      <c r="A21" s="4">
        <v>45982.975774293984</v>
      </c>
      <c r="B21" s="5" t="s">
        <v>174</v>
      </c>
      <c r="C21" s="5" t="s">
        <v>175</v>
      </c>
      <c r="D21" s="5" t="s">
        <v>174</v>
      </c>
      <c r="E21" s="5" t="s">
        <v>17</v>
      </c>
      <c r="F21" s="5" t="s">
        <v>176</v>
      </c>
      <c r="G21" s="5" t="s">
        <v>177</v>
      </c>
      <c r="H21" s="5" t="s">
        <v>178</v>
      </c>
      <c r="I21" s="5" t="s">
        <v>58</v>
      </c>
      <c r="J21" s="5" t="s">
        <v>179</v>
      </c>
      <c r="K21" s="5" t="s">
        <v>30</v>
      </c>
      <c r="L21" s="5" t="s">
        <v>180</v>
      </c>
      <c r="M21" s="5" t="s">
        <v>119</v>
      </c>
      <c r="N21" s="5" t="s">
        <v>181</v>
      </c>
      <c r="O21" s="5" t="s">
        <v>182</v>
      </c>
    </row>
    <row r="22" ht="22.5" customHeight="1">
      <c r="A22" s="4">
        <v>45984.148277326385</v>
      </c>
      <c r="B22" s="5" t="s">
        <v>183</v>
      </c>
      <c r="C22" s="5" t="s">
        <v>184</v>
      </c>
      <c r="D22" s="5" t="s">
        <v>183</v>
      </c>
      <c r="E22" s="5" t="s">
        <v>17</v>
      </c>
      <c r="F22" s="5" t="s">
        <v>185</v>
      </c>
      <c r="G22" s="5" t="s">
        <v>186</v>
      </c>
      <c r="H22" s="5" t="s">
        <v>187</v>
      </c>
      <c r="I22" s="5" t="s">
        <v>188</v>
      </c>
      <c r="J22" s="5" t="s">
        <v>189</v>
      </c>
      <c r="K22" s="5" t="s">
        <v>30</v>
      </c>
      <c r="L22" s="5" t="s">
        <v>190</v>
      </c>
      <c r="M22" s="5" t="s">
        <v>61</v>
      </c>
      <c r="N22" s="5" t="s">
        <v>51</v>
      </c>
      <c r="O22" s="5" t="s">
        <v>52</v>
      </c>
    </row>
    <row r="23" ht="22.5" customHeight="1">
      <c r="A23" s="4">
        <v>45986.02287238426</v>
      </c>
      <c r="B23" s="5" t="s">
        <v>191</v>
      </c>
      <c r="C23" s="5" t="s">
        <v>192</v>
      </c>
      <c r="D23" s="5" t="s">
        <v>191</v>
      </c>
      <c r="E23" s="5" t="s">
        <v>17</v>
      </c>
      <c r="F23" s="5" t="s">
        <v>193</v>
      </c>
      <c r="G23" s="5" t="s">
        <v>194</v>
      </c>
      <c r="H23" s="5" t="s">
        <v>195</v>
      </c>
      <c r="I23" s="5" t="s">
        <v>196</v>
      </c>
      <c r="J23" s="5" t="s">
        <v>197</v>
      </c>
      <c r="K23" s="5" t="s">
        <v>162</v>
      </c>
      <c r="L23" s="5" t="s">
        <v>198</v>
      </c>
      <c r="M23" s="5" t="s">
        <v>199</v>
      </c>
      <c r="N23" s="5" t="s">
        <v>200</v>
      </c>
      <c r="O23" s="5" t="s">
        <v>201</v>
      </c>
    </row>
    <row r="24" ht="22.5" customHeight="1">
      <c r="A24" s="4">
        <v>45987.11282105324</v>
      </c>
      <c r="B24" s="5" t="s">
        <v>202</v>
      </c>
      <c r="C24" s="5" t="s">
        <v>203</v>
      </c>
      <c r="D24" s="5" t="s">
        <v>202</v>
      </c>
      <c r="E24" s="5" t="s">
        <v>17</v>
      </c>
      <c r="F24" s="5" t="s">
        <v>204</v>
      </c>
      <c r="G24" s="5" t="s">
        <v>205</v>
      </c>
      <c r="H24" s="5" t="s">
        <v>206</v>
      </c>
      <c r="I24" s="5" t="s">
        <v>207</v>
      </c>
      <c r="J24" s="5" t="s">
        <v>208</v>
      </c>
      <c r="K24" s="5" t="s">
        <v>30</v>
      </c>
      <c r="L24" s="5" t="s">
        <v>209</v>
      </c>
      <c r="M24" s="5" t="s">
        <v>61</v>
      </c>
      <c r="N24" s="5" t="s">
        <v>210</v>
      </c>
      <c r="O24" s="5" t="s">
        <v>73</v>
      </c>
    </row>
    <row r="25" ht="22.5" customHeight="1">
      <c r="A25" s="4">
        <v>45987.706804490736</v>
      </c>
      <c r="B25" s="5" t="s">
        <v>211</v>
      </c>
      <c r="C25" s="5" t="s">
        <v>212</v>
      </c>
      <c r="D25" s="5" t="s">
        <v>211</v>
      </c>
      <c r="E25" s="5" t="s">
        <v>17</v>
      </c>
      <c r="F25" s="5" t="s">
        <v>213</v>
      </c>
      <c r="G25" s="5" t="s">
        <v>214</v>
      </c>
      <c r="H25" s="5" t="s">
        <v>215</v>
      </c>
      <c r="I25" s="5" t="s">
        <v>216</v>
      </c>
      <c r="J25" s="5" t="s">
        <v>217</v>
      </c>
      <c r="K25" s="5" t="s">
        <v>30</v>
      </c>
      <c r="L25" s="5" t="s">
        <v>218</v>
      </c>
      <c r="M25" s="5" t="s">
        <v>164</v>
      </c>
      <c r="N25" s="5" t="s">
        <v>219</v>
      </c>
      <c r="O25" s="5" t="s">
        <v>52</v>
      </c>
    </row>
    <row r="26" ht="22.5" customHeight="1">
      <c r="A26" s="4">
        <v>45987.85969388889</v>
      </c>
      <c r="B26" s="5" t="s">
        <v>138</v>
      </c>
      <c r="C26" s="5" t="s">
        <v>139</v>
      </c>
      <c r="D26" s="5" t="s">
        <v>138</v>
      </c>
      <c r="E26" s="5" t="s">
        <v>17</v>
      </c>
      <c r="F26" s="5" t="s">
        <v>220</v>
      </c>
      <c r="G26" s="5" t="s">
        <v>221</v>
      </c>
      <c r="H26" s="5" t="s">
        <v>195</v>
      </c>
      <c r="I26" s="5" t="s">
        <v>222</v>
      </c>
      <c r="J26" s="5" t="s">
        <v>223</v>
      </c>
      <c r="K26" s="5" t="s">
        <v>30</v>
      </c>
      <c r="L26" s="5" t="s">
        <v>145</v>
      </c>
      <c r="M26" s="5" t="s">
        <v>119</v>
      </c>
      <c r="N26" s="5" t="s">
        <v>51</v>
      </c>
      <c r="O26" s="5" t="s">
        <v>52</v>
      </c>
    </row>
    <row r="27" ht="22.5" customHeight="1">
      <c r="A27" s="4">
        <v>45989.617146770834</v>
      </c>
      <c r="B27" s="5" t="s">
        <v>224</v>
      </c>
      <c r="C27" s="5" t="s">
        <v>225</v>
      </c>
      <c r="D27" s="5" t="s">
        <v>224</v>
      </c>
      <c r="E27" s="5" t="s">
        <v>17</v>
      </c>
      <c r="F27" s="5" t="s">
        <v>226</v>
      </c>
      <c r="G27" s="5" t="s">
        <v>227</v>
      </c>
      <c r="H27" s="5" t="s">
        <v>228</v>
      </c>
      <c r="I27" s="5" t="s">
        <v>229</v>
      </c>
      <c r="J27" s="5" t="s">
        <v>230</v>
      </c>
      <c r="K27" s="5" t="s">
        <v>23</v>
      </c>
      <c r="L27" s="5" t="s">
        <v>231</v>
      </c>
      <c r="M27" s="5" t="s">
        <v>111</v>
      </c>
      <c r="N27" s="5" t="s">
        <v>232</v>
      </c>
      <c r="O27" s="5" t="s">
        <v>233</v>
      </c>
    </row>
    <row r="28" ht="22.5" customHeight="1">
      <c r="A28" s="4">
        <v>45990.470499814815</v>
      </c>
      <c r="B28" s="5" t="s">
        <v>234</v>
      </c>
      <c r="C28" s="5" t="s">
        <v>235</v>
      </c>
      <c r="D28" s="5" t="s">
        <v>234</v>
      </c>
      <c r="E28" s="5" t="s">
        <v>17</v>
      </c>
      <c r="F28" s="5" t="s">
        <v>236</v>
      </c>
      <c r="G28" s="5" t="s">
        <v>237</v>
      </c>
      <c r="H28" s="5" t="s">
        <v>238</v>
      </c>
      <c r="I28" s="5" t="s">
        <v>239</v>
      </c>
      <c r="J28" s="5" t="s">
        <v>240</v>
      </c>
      <c r="K28" s="5" t="s">
        <v>162</v>
      </c>
      <c r="L28" s="5" t="s">
        <v>241</v>
      </c>
      <c r="M28" s="5" t="s">
        <v>71</v>
      </c>
      <c r="N28" s="5" t="s">
        <v>40</v>
      </c>
      <c r="O28" s="5" t="s">
        <v>242</v>
      </c>
    </row>
    <row r="29" ht="22.5" customHeight="1">
      <c r="A29" s="4">
        <v>45992.17593991898</v>
      </c>
      <c r="B29" s="5" t="s">
        <v>243</v>
      </c>
      <c r="C29" s="5" t="s">
        <v>244</v>
      </c>
      <c r="D29" s="5" t="s">
        <v>243</v>
      </c>
      <c r="E29" s="5" t="s">
        <v>131</v>
      </c>
      <c r="F29" s="5" t="s">
        <v>245</v>
      </c>
      <c r="G29" s="5" t="s">
        <v>246</v>
      </c>
      <c r="H29" s="5" t="s">
        <v>247</v>
      </c>
      <c r="I29" s="5" t="s">
        <v>248</v>
      </c>
      <c r="J29" s="5" t="s">
        <v>249</v>
      </c>
      <c r="K29" s="5" t="s">
        <v>30</v>
      </c>
      <c r="L29" s="5" t="s">
        <v>250</v>
      </c>
      <c r="M29" s="5" t="s">
        <v>61</v>
      </c>
      <c r="N29" s="5" t="s">
        <v>51</v>
      </c>
      <c r="O29" s="5" t="s">
        <v>51</v>
      </c>
    </row>
    <row r="30" ht="22.5" customHeight="1">
      <c r="A30" s="4">
        <v>45992.80528344907</v>
      </c>
      <c r="B30" s="5" t="s">
        <v>251</v>
      </c>
      <c r="C30" s="5" t="s">
        <v>252</v>
      </c>
      <c r="D30" s="5" t="s">
        <v>251</v>
      </c>
      <c r="E30" s="5" t="s">
        <v>17</v>
      </c>
      <c r="F30" s="5" t="s">
        <v>253</v>
      </c>
      <c r="G30" s="5" t="s">
        <v>254</v>
      </c>
      <c r="H30" s="5" t="s">
        <v>21</v>
      </c>
      <c r="I30" s="5" t="s">
        <v>255</v>
      </c>
      <c r="J30" s="5" t="s">
        <v>161</v>
      </c>
      <c r="K30" s="5" t="s">
        <v>23</v>
      </c>
      <c r="L30" s="5" t="s">
        <v>256</v>
      </c>
      <c r="M30" s="5" t="s">
        <v>61</v>
      </c>
      <c r="N30" s="5" t="s">
        <v>257</v>
      </c>
      <c r="O30" s="5" t="s">
        <v>258</v>
      </c>
    </row>
    <row r="31" ht="22.5" customHeight="1">
      <c r="A31" s="4">
        <v>45992.91002244213</v>
      </c>
      <c r="B31" s="5" t="s">
        <v>259</v>
      </c>
      <c r="C31" s="5" t="s">
        <v>260</v>
      </c>
      <c r="D31" s="5" t="s">
        <v>259</v>
      </c>
      <c r="E31" s="5" t="s">
        <v>17</v>
      </c>
      <c r="F31" s="5" t="s">
        <v>261</v>
      </c>
      <c r="G31" s="5" t="s">
        <v>262</v>
      </c>
      <c r="H31" s="5" t="s">
        <v>263</v>
      </c>
      <c r="I31" s="5" t="s">
        <v>264</v>
      </c>
      <c r="J31" s="5" t="s">
        <v>265</v>
      </c>
      <c r="K31" s="5" t="s">
        <v>162</v>
      </c>
      <c r="L31" s="5" t="s">
        <v>266</v>
      </c>
      <c r="M31" s="5" t="s">
        <v>111</v>
      </c>
      <c r="N31" s="5" t="s">
        <v>267</v>
      </c>
      <c r="O31" s="5" t="s">
        <v>268</v>
      </c>
    </row>
    <row r="32" ht="22.5" customHeight="1">
      <c r="A32" s="4">
        <v>45993.19297202546</v>
      </c>
      <c r="B32" s="5" t="s">
        <v>269</v>
      </c>
      <c r="C32" s="5" t="s">
        <v>270</v>
      </c>
      <c r="D32" s="5" t="s">
        <v>269</v>
      </c>
      <c r="E32" s="5" t="s">
        <v>17</v>
      </c>
      <c r="F32" s="5" t="s">
        <v>271</v>
      </c>
      <c r="G32" s="5" t="s">
        <v>272</v>
      </c>
      <c r="H32" s="5" t="s">
        <v>273</v>
      </c>
      <c r="I32" s="5" t="s">
        <v>274</v>
      </c>
      <c r="J32" s="5" t="s">
        <v>275</v>
      </c>
      <c r="K32" s="5" t="s">
        <v>162</v>
      </c>
      <c r="L32" s="5" t="s">
        <v>276</v>
      </c>
      <c r="M32" s="5" t="s">
        <v>61</v>
      </c>
      <c r="N32" s="5" t="s">
        <v>267</v>
      </c>
      <c r="O32" s="5" t="s">
        <v>268</v>
      </c>
    </row>
    <row r="33" ht="22.5" customHeight="1">
      <c r="A33" s="4">
        <v>45993.198013506946</v>
      </c>
      <c r="B33" s="5" t="s">
        <v>269</v>
      </c>
      <c r="C33" s="5" t="s">
        <v>270</v>
      </c>
      <c r="D33" s="5" t="s">
        <v>269</v>
      </c>
      <c r="E33" s="5" t="s">
        <v>17</v>
      </c>
      <c r="F33" s="5" t="s">
        <v>271</v>
      </c>
      <c r="G33" s="5" t="s">
        <v>277</v>
      </c>
      <c r="H33" s="5" t="s">
        <v>273</v>
      </c>
      <c r="I33" s="5" t="s">
        <v>274</v>
      </c>
      <c r="J33" s="5" t="s">
        <v>275</v>
      </c>
      <c r="K33" s="5" t="s">
        <v>23</v>
      </c>
      <c r="L33" s="5" t="s">
        <v>278</v>
      </c>
      <c r="M33" s="5" t="s">
        <v>61</v>
      </c>
      <c r="N33" s="5" t="s">
        <v>267</v>
      </c>
      <c r="O33" s="5" t="s">
        <v>268</v>
      </c>
    </row>
    <row r="34" ht="22.5" customHeight="1">
      <c r="A34" s="4">
        <v>45994.032765254626</v>
      </c>
      <c r="B34" s="5" t="s">
        <v>279</v>
      </c>
      <c r="C34" s="5" t="s">
        <v>280</v>
      </c>
      <c r="D34" s="5" t="s">
        <v>279</v>
      </c>
      <c r="E34" s="5" t="s">
        <v>17</v>
      </c>
      <c r="F34" s="5" t="s">
        <v>281</v>
      </c>
      <c r="G34" s="5" t="s">
        <v>282</v>
      </c>
      <c r="H34" s="5" t="s">
        <v>283</v>
      </c>
      <c r="I34" s="5" t="s">
        <v>284</v>
      </c>
      <c r="J34" s="5" t="s">
        <v>285</v>
      </c>
      <c r="K34" s="5" t="s">
        <v>30</v>
      </c>
      <c r="L34" s="5" t="s">
        <v>286</v>
      </c>
      <c r="M34" s="5" t="s">
        <v>39</v>
      </c>
      <c r="N34" s="5" t="s">
        <v>51</v>
      </c>
      <c r="O34" s="5" t="s">
        <v>52</v>
      </c>
    </row>
    <row r="35" ht="22.5" customHeight="1">
      <c r="A35" s="4">
        <v>45995.16403530093</v>
      </c>
      <c r="B35" s="5" t="s">
        <v>287</v>
      </c>
      <c r="C35" s="5" t="s">
        <v>288</v>
      </c>
      <c r="D35" s="5" t="s">
        <v>287</v>
      </c>
      <c r="E35" s="5" t="s">
        <v>17</v>
      </c>
      <c r="F35" s="5" t="s">
        <v>289</v>
      </c>
      <c r="G35" s="5" t="s">
        <v>290</v>
      </c>
      <c r="H35" s="5" t="s">
        <v>291</v>
      </c>
      <c r="I35" s="5" t="s">
        <v>292</v>
      </c>
      <c r="J35" s="5" t="s">
        <v>293</v>
      </c>
      <c r="K35" s="5" t="s">
        <v>30</v>
      </c>
      <c r="L35" s="5" t="s">
        <v>294</v>
      </c>
      <c r="M35" s="5" t="s">
        <v>295</v>
      </c>
      <c r="N35" s="5" t="s">
        <v>51</v>
      </c>
      <c r="O35" s="5" t="s">
        <v>52</v>
      </c>
    </row>
    <row r="36" ht="22.5" customHeight="1">
      <c r="A36" s="4">
        <v>45995.22060008102</v>
      </c>
      <c r="B36" s="5" t="s">
        <v>296</v>
      </c>
      <c r="C36" s="5" t="s">
        <v>297</v>
      </c>
      <c r="D36" s="5" t="s">
        <v>296</v>
      </c>
      <c r="E36" s="5" t="s">
        <v>17</v>
      </c>
      <c r="F36" s="5" t="s">
        <v>298</v>
      </c>
      <c r="G36" s="5" t="s">
        <v>299</v>
      </c>
      <c r="H36" s="5" t="s">
        <v>300</v>
      </c>
      <c r="I36" s="5" t="s">
        <v>301</v>
      </c>
      <c r="J36" s="5" t="s">
        <v>302</v>
      </c>
      <c r="K36" s="5" t="s">
        <v>30</v>
      </c>
      <c r="L36" s="5" t="s">
        <v>303</v>
      </c>
      <c r="M36" s="5" t="s">
        <v>61</v>
      </c>
      <c r="N36" s="5" t="s">
        <v>304</v>
      </c>
      <c r="O36" s="5" t="s">
        <v>73</v>
      </c>
    </row>
    <row r="37" ht="22.5" customHeight="1">
      <c r="A37" s="4">
        <v>45995.225694513894</v>
      </c>
      <c r="B37" s="5" t="s">
        <v>305</v>
      </c>
      <c r="C37" s="5" t="s">
        <v>306</v>
      </c>
      <c r="D37" s="5" t="s">
        <v>305</v>
      </c>
      <c r="E37" s="5" t="s">
        <v>64</v>
      </c>
      <c r="F37" s="5" t="s">
        <v>307</v>
      </c>
      <c r="G37" s="5" t="s">
        <v>308</v>
      </c>
      <c r="H37" s="5" t="s">
        <v>309</v>
      </c>
      <c r="I37" s="5" t="s">
        <v>310</v>
      </c>
      <c r="J37" s="5" t="s">
        <v>311</v>
      </c>
      <c r="K37" s="5" t="s">
        <v>30</v>
      </c>
      <c r="L37" s="5" t="s">
        <v>312</v>
      </c>
      <c r="M37" s="5" t="s">
        <v>61</v>
      </c>
      <c r="N37" s="5" t="s">
        <v>51</v>
      </c>
      <c r="O37" s="5" t="s">
        <v>52</v>
      </c>
    </row>
    <row r="38" ht="22.5" customHeight="1">
      <c r="A38" s="4">
        <v>45995.23972916667</v>
      </c>
      <c r="B38" s="5" t="s">
        <v>313</v>
      </c>
      <c r="C38" s="5" t="s">
        <v>314</v>
      </c>
      <c r="D38" s="5" t="s">
        <v>313</v>
      </c>
      <c r="E38" s="5" t="s">
        <v>17</v>
      </c>
      <c r="F38" s="5" t="s">
        <v>315</v>
      </c>
      <c r="G38" s="5" t="s">
        <v>316</v>
      </c>
      <c r="H38" s="5" t="s">
        <v>317</v>
      </c>
      <c r="I38" s="5" t="s">
        <v>58</v>
      </c>
      <c r="J38" s="5" t="s">
        <v>318</v>
      </c>
      <c r="K38" s="5" t="s">
        <v>30</v>
      </c>
      <c r="L38" s="5" t="s">
        <v>319</v>
      </c>
      <c r="M38" s="5" t="s">
        <v>61</v>
      </c>
      <c r="N38" s="5" t="s">
        <v>51</v>
      </c>
      <c r="O38" s="5" t="s">
        <v>52</v>
      </c>
    </row>
    <row r="39" ht="22.5" customHeight="1">
      <c r="A39" s="4">
        <v>45995.583238148145</v>
      </c>
      <c r="B39" s="5" t="s">
        <v>320</v>
      </c>
      <c r="C39" s="5" t="s">
        <v>321</v>
      </c>
      <c r="D39" s="5" t="s">
        <v>320</v>
      </c>
      <c r="E39" s="5" t="s">
        <v>17</v>
      </c>
      <c r="F39" s="5" t="s">
        <v>322</v>
      </c>
      <c r="G39" s="5" t="s">
        <v>323</v>
      </c>
      <c r="H39" s="5" t="s">
        <v>324</v>
      </c>
      <c r="I39" s="5" t="s">
        <v>325</v>
      </c>
      <c r="J39" s="5" t="s">
        <v>326</v>
      </c>
      <c r="K39" s="5" t="s">
        <v>162</v>
      </c>
      <c r="L39" s="5" t="s">
        <v>327</v>
      </c>
      <c r="M39" s="5" t="s">
        <v>39</v>
      </c>
      <c r="N39" s="5" t="s">
        <v>26</v>
      </c>
      <c r="O39" s="5" t="s">
        <v>328</v>
      </c>
    </row>
    <row r="40" ht="22.5" customHeight="1">
      <c r="A40" s="4">
        <v>45995.81633001157</v>
      </c>
      <c r="B40" s="5" t="s">
        <v>329</v>
      </c>
      <c r="C40" s="5" t="s">
        <v>330</v>
      </c>
      <c r="D40" s="5" t="s">
        <v>329</v>
      </c>
      <c r="E40" s="5" t="s">
        <v>17</v>
      </c>
      <c r="F40" s="5" t="s">
        <v>331</v>
      </c>
      <c r="G40" s="5" t="s">
        <v>332</v>
      </c>
      <c r="H40" s="5" t="s">
        <v>333</v>
      </c>
      <c r="I40" s="5" t="s">
        <v>334</v>
      </c>
      <c r="J40" s="5" t="s">
        <v>335</v>
      </c>
      <c r="K40" s="5" t="s">
        <v>30</v>
      </c>
      <c r="L40" s="5" t="s">
        <v>336</v>
      </c>
      <c r="M40" s="5" t="s">
        <v>295</v>
      </c>
      <c r="N40" s="5" t="s">
        <v>51</v>
      </c>
      <c r="O40" s="5" t="s">
        <v>52</v>
      </c>
    </row>
    <row r="41" ht="22.5" customHeight="1">
      <c r="A41" s="4">
        <v>45996.29656130787</v>
      </c>
      <c r="B41" s="5" t="s">
        <v>337</v>
      </c>
      <c r="C41" s="5" t="s">
        <v>338</v>
      </c>
      <c r="D41" s="5" t="s">
        <v>337</v>
      </c>
      <c r="E41" s="5" t="s">
        <v>17</v>
      </c>
      <c r="F41" s="5" t="s">
        <v>339</v>
      </c>
      <c r="G41" s="5" t="s">
        <v>340</v>
      </c>
      <c r="H41" s="5" t="s">
        <v>341</v>
      </c>
      <c r="I41" s="5" t="s">
        <v>342</v>
      </c>
      <c r="J41" s="5" t="s">
        <v>343</v>
      </c>
      <c r="K41" s="5" t="s">
        <v>30</v>
      </c>
      <c r="L41" s="5" t="s">
        <v>344</v>
      </c>
      <c r="M41" s="5" t="s">
        <v>119</v>
      </c>
      <c r="N41" s="5" t="s">
        <v>72</v>
      </c>
      <c r="O41" s="5" t="s">
        <v>345</v>
      </c>
    </row>
    <row r="42" ht="22.5" customHeight="1">
      <c r="A42" s="4">
        <v>45996.30838923611</v>
      </c>
      <c r="B42" s="5" t="s">
        <v>337</v>
      </c>
      <c r="C42" s="5" t="s">
        <v>338</v>
      </c>
      <c r="D42" s="5" t="s">
        <v>337</v>
      </c>
      <c r="E42" s="5" t="s">
        <v>131</v>
      </c>
      <c r="F42" s="5" t="s">
        <v>346</v>
      </c>
      <c r="G42" s="5" t="s">
        <v>347</v>
      </c>
      <c r="H42" s="5" t="s">
        <v>348</v>
      </c>
      <c r="I42" s="5" t="s">
        <v>349</v>
      </c>
      <c r="J42" s="5" t="s">
        <v>350</v>
      </c>
      <c r="K42" s="5" t="s">
        <v>30</v>
      </c>
      <c r="L42" s="5" t="s">
        <v>351</v>
      </c>
      <c r="M42" s="5" t="s">
        <v>119</v>
      </c>
      <c r="N42" s="5" t="s">
        <v>72</v>
      </c>
      <c r="O42" s="5" t="s">
        <v>345</v>
      </c>
    </row>
    <row r="43" ht="22.5" customHeight="1">
      <c r="A43" s="4">
        <v>45996.31199994213</v>
      </c>
      <c r="B43" s="5" t="s">
        <v>337</v>
      </c>
      <c r="C43" s="5" t="s">
        <v>338</v>
      </c>
      <c r="D43" s="5" t="s">
        <v>337</v>
      </c>
      <c r="E43" s="5" t="s">
        <v>64</v>
      </c>
      <c r="F43" s="5" t="s">
        <v>352</v>
      </c>
      <c r="G43" s="5" t="s">
        <v>353</v>
      </c>
      <c r="H43" s="5" t="s">
        <v>354</v>
      </c>
      <c r="I43" s="5" t="s">
        <v>355</v>
      </c>
      <c r="J43" s="5" t="s">
        <v>356</v>
      </c>
      <c r="K43" s="5" t="s">
        <v>30</v>
      </c>
      <c r="L43" s="5" t="s">
        <v>351</v>
      </c>
      <c r="M43" s="5" t="s">
        <v>119</v>
      </c>
      <c r="N43" s="5" t="s">
        <v>72</v>
      </c>
      <c r="O43" s="5" t="s">
        <v>345</v>
      </c>
    </row>
    <row r="44" ht="22.5" customHeight="1">
      <c r="A44" s="4">
        <v>45996.795115706016</v>
      </c>
      <c r="B44" s="5" t="s">
        <v>357</v>
      </c>
      <c r="C44" s="5" t="s">
        <v>358</v>
      </c>
      <c r="D44" s="5" t="s">
        <v>357</v>
      </c>
      <c r="E44" s="5" t="s">
        <v>17</v>
      </c>
      <c r="F44" s="5" t="s">
        <v>359</v>
      </c>
      <c r="G44" s="5" t="s">
        <v>360</v>
      </c>
      <c r="H44" s="5" t="s">
        <v>361</v>
      </c>
      <c r="I44" s="5" t="s">
        <v>362</v>
      </c>
      <c r="J44" s="5" t="s">
        <v>46</v>
      </c>
      <c r="K44" s="5" t="s">
        <v>30</v>
      </c>
      <c r="L44" s="5" t="s">
        <v>363</v>
      </c>
      <c r="M44" s="5" t="s">
        <v>295</v>
      </c>
      <c r="N44" s="5" t="s">
        <v>51</v>
      </c>
      <c r="O44" s="5" t="s">
        <v>52</v>
      </c>
    </row>
    <row r="45" ht="22.5" customHeight="1">
      <c r="A45" s="4">
        <v>45997.87670946759</v>
      </c>
      <c r="B45" s="5" t="s">
        <v>364</v>
      </c>
      <c r="C45" s="5" t="s">
        <v>365</v>
      </c>
      <c r="D45" s="5" t="s">
        <v>364</v>
      </c>
      <c r="E45" s="5" t="s">
        <v>64</v>
      </c>
      <c r="F45" s="5" t="s">
        <v>366</v>
      </c>
      <c r="G45" s="5" t="s">
        <v>367</v>
      </c>
      <c r="H45" s="5" t="s">
        <v>368</v>
      </c>
      <c r="I45" s="5" t="s">
        <v>369</v>
      </c>
      <c r="J45" s="5" t="s">
        <v>370</v>
      </c>
      <c r="K45" s="5" t="s">
        <v>30</v>
      </c>
      <c r="L45" s="5" t="s">
        <v>371</v>
      </c>
      <c r="M45" s="5" t="s">
        <v>71</v>
      </c>
      <c r="N45" s="5" t="s">
        <v>372</v>
      </c>
      <c r="O45" s="5" t="s">
        <v>73</v>
      </c>
    </row>
    <row r="46" ht="22.5" customHeight="1">
      <c r="A46" s="4">
        <v>45997.92493675926</v>
      </c>
      <c r="B46" s="5" t="s">
        <v>364</v>
      </c>
      <c r="C46" s="5" t="s">
        <v>373</v>
      </c>
      <c r="D46" s="5" t="s">
        <v>364</v>
      </c>
      <c r="E46" s="5" t="s">
        <v>64</v>
      </c>
      <c r="F46" s="5" t="s">
        <v>374</v>
      </c>
      <c r="G46" s="5" t="s">
        <v>375</v>
      </c>
      <c r="H46" s="5" t="s">
        <v>376</v>
      </c>
      <c r="I46" s="5" t="s">
        <v>377</v>
      </c>
      <c r="J46" s="5" t="s">
        <v>378</v>
      </c>
      <c r="K46" s="5" t="s">
        <v>30</v>
      </c>
      <c r="L46" s="5" t="s">
        <v>379</v>
      </c>
      <c r="M46" s="5" t="s">
        <v>71</v>
      </c>
      <c r="N46" s="5" t="s">
        <v>380</v>
      </c>
      <c r="O46" s="5" t="s">
        <v>73</v>
      </c>
    </row>
    <row r="47" ht="22.5" customHeight="1">
      <c r="A47" s="4">
        <v>45997.980853483794</v>
      </c>
      <c r="B47" s="5" t="s">
        <v>364</v>
      </c>
      <c r="C47" s="5" t="s">
        <v>381</v>
      </c>
      <c r="D47" s="5" t="s">
        <v>364</v>
      </c>
      <c r="E47" s="5" t="s">
        <v>64</v>
      </c>
      <c r="F47" s="5" t="s">
        <v>382</v>
      </c>
      <c r="G47" s="5" t="s">
        <v>375</v>
      </c>
      <c r="H47" s="5" t="s">
        <v>383</v>
      </c>
      <c r="I47" s="5" t="s">
        <v>384</v>
      </c>
      <c r="J47" s="5" t="s">
        <v>385</v>
      </c>
      <c r="K47" s="5" t="s">
        <v>30</v>
      </c>
      <c r="L47" s="5" t="s">
        <v>386</v>
      </c>
      <c r="M47" s="5" t="s">
        <v>71</v>
      </c>
      <c r="N47" s="5" t="s">
        <v>219</v>
      </c>
      <c r="O47" s="5" t="s">
        <v>52</v>
      </c>
    </row>
    <row r="48" ht="22.5" customHeight="1">
      <c r="A48" s="4">
        <v>45999.81358971065</v>
      </c>
      <c r="B48" s="5" t="s">
        <v>387</v>
      </c>
      <c r="C48" s="5" t="s">
        <v>388</v>
      </c>
      <c r="D48" s="5" t="s">
        <v>387</v>
      </c>
      <c r="E48" s="5" t="s">
        <v>17</v>
      </c>
      <c r="F48" s="5" t="s">
        <v>389</v>
      </c>
      <c r="G48" s="5" t="s">
        <v>390</v>
      </c>
      <c r="H48" s="5" t="s">
        <v>391</v>
      </c>
      <c r="I48" s="5" t="s">
        <v>392</v>
      </c>
      <c r="J48" s="5" t="s">
        <v>393</v>
      </c>
      <c r="K48" s="5" t="s">
        <v>30</v>
      </c>
      <c r="L48" s="5" t="s">
        <v>394</v>
      </c>
      <c r="M48" s="5" t="s">
        <v>39</v>
      </c>
      <c r="N48" s="5" t="s">
        <v>51</v>
      </c>
      <c r="O48" s="5" t="s">
        <v>52</v>
      </c>
    </row>
    <row r="49" ht="22.5" customHeight="1">
      <c r="A49" s="4">
        <v>46000.40799091435</v>
      </c>
      <c r="B49" s="5" t="s">
        <v>395</v>
      </c>
      <c r="C49" s="5" t="s">
        <v>396</v>
      </c>
      <c r="D49" s="5" t="s">
        <v>395</v>
      </c>
      <c r="E49" s="5" t="s">
        <v>17</v>
      </c>
      <c r="F49" s="5" t="s">
        <v>397</v>
      </c>
      <c r="G49" s="5" t="s">
        <v>398</v>
      </c>
      <c r="H49" s="5" t="s">
        <v>399</v>
      </c>
      <c r="I49" s="5" t="s">
        <v>400</v>
      </c>
      <c r="J49" s="5" t="s">
        <v>401</v>
      </c>
      <c r="K49" s="5" t="s">
        <v>30</v>
      </c>
      <c r="L49" s="5" t="s">
        <v>402</v>
      </c>
      <c r="M49" s="5" t="s">
        <v>119</v>
      </c>
      <c r="N49" s="5" t="s">
        <v>403</v>
      </c>
      <c r="O49" s="5" t="s">
        <v>404</v>
      </c>
    </row>
    <row r="50" ht="22.5" customHeight="1">
      <c r="A50" s="4">
        <v>46000.5171346875</v>
      </c>
      <c r="B50" s="5" t="s">
        <v>405</v>
      </c>
      <c r="C50" s="5" t="s">
        <v>406</v>
      </c>
      <c r="D50" s="5" t="s">
        <v>405</v>
      </c>
      <c r="E50" s="5" t="s">
        <v>17</v>
      </c>
      <c r="F50" s="5" t="s">
        <v>407</v>
      </c>
      <c r="G50" s="5" t="s">
        <v>408</v>
      </c>
      <c r="H50" s="5" t="s">
        <v>409</v>
      </c>
      <c r="I50" s="5" t="s">
        <v>410</v>
      </c>
      <c r="J50" s="5" t="s">
        <v>411</v>
      </c>
      <c r="K50" s="5" t="s">
        <v>162</v>
      </c>
      <c r="L50" s="5" t="s">
        <v>412</v>
      </c>
      <c r="M50" s="5" t="s">
        <v>413</v>
      </c>
      <c r="N50" s="5" t="s">
        <v>26</v>
      </c>
      <c r="O50" s="5" t="s">
        <v>26</v>
      </c>
    </row>
    <row r="51" ht="22.5" customHeight="1">
      <c r="A51" s="4">
        <v>46005.84276788194</v>
      </c>
      <c r="B51" s="5" t="s">
        <v>414</v>
      </c>
      <c r="C51" s="5" t="s">
        <v>415</v>
      </c>
      <c r="D51" s="5" t="s">
        <v>414</v>
      </c>
      <c r="E51" s="5" t="s">
        <v>17</v>
      </c>
      <c r="F51" s="5" t="s">
        <v>416</v>
      </c>
      <c r="G51" s="5" t="s">
        <v>417</v>
      </c>
      <c r="H51" s="5" t="s">
        <v>418</v>
      </c>
      <c r="I51" s="5" t="s">
        <v>419</v>
      </c>
      <c r="J51" s="5" t="s">
        <v>420</v>
      </c>
      <c r="K51" s="5" t="s">
        <v>30</v>
      </c>
      <c r="L51" s="5" t="s">
        <v>421</v>
      </c>
      <c r="M51" s="5" t="s">
        <v>61</v>
      </c>
      <c r="N51" s="5" t="s">
        <v>267</v>
      </c>
      <c r="O51" s="5" t="s">
        <v>268</v>
      </c>
    </row>
    <row r="52" ht="22.5" customHeight="1">
      <c r="A52" s="4">
        <v>46005.97040075231</v>
      </c>
      <c r="B52" s="5" t="s">
        <v>422</v>
      </c>
      <c r="C52" s="5" t="s">
        <v>423</v>
      </c>
      <c r="D52" s="5" t="s">
        <v>422</v>
      </c>
      <c r="E52" s="5" t="s">
        <v>17</v>
      </c>
      <c r="F52" s="5" t="s">
        <v>424</v>
      </c>
      <c r="G52" s="5" t="s">
        <v>425</v>
      </c>
      <c r="H52" s="5" t="s">
        <v>426</v>
      </c>
      <c r="I52" s="5" t="s">
        <v>145</v>
      </c>
      <c r="J52" s="5" t="s">
        <v>427</v>
      </c>
      <c r="K52" s="5" t="s">
        <v>30</v>
      </c>
      <c r="L52" s="5" t="s">
        <v>145</v>
      </c>
      <c r="M52" s="5" t="s">
        <v>71</v>
      </c>
      <c r="N52" s="5" t="s">
        <v>51</v>
      </c>
      <c r="O52" s="5" t="s">
        <v>52</v>
      </c>
    </row>
    <row r="53" ht="22.5" customHeight="1">
      <c r="A53" s="4">
        <v>46006.88478525463</v>
      </c>
      <c r="B53" s="5" t="s">
        <v>428</v>
      </c>
      <c r="C53" s="5" t="s">
        <v>429</v>
      </c>
      <c r="D53" s="5" t="s">
        <v>428</v>
      </c>
      <c r="E53" s="5" t="s">
        <v>17</v>
      </c>
      <c r="F53" s="5" t="s">
        <v>430</v>
      </c>
      <c r="G53" s="5" t="s">
        <v>431</v>
      </c>
      <c r="H53" s="5" t="s">
        <v>432</v>
      </c>
      <c r="I53" s="5" t="s">
        <v>433</v>
      </c>
      <c r="J53" s="5" t="s">
        <v>434</v>
      </c>
      <c r="K53" s="5" t="s">
        <v>23</v>
      </c>
      <c r="L53" s="5" t="s">
        <v>435</v>
      </c>
      <c r="M53" s="5" t="s">
        <v>436</v>
      </c>
      <c r="N53" s="5" t="s">
        <v>437</v>
      </c>
      <c r="O53" s="5" t="s">
        <v>328</v>
      </c>
    </row>
    <row r="54" ht="22.5" customHeight="1">
      <c r="A54" s="4">
        <v>46007.54120821759</v>
      </c>
      <c r="B54" s="5" t="s">
        <v>438</v>
      </c>
      <c r="C54" s="5" t="s">
        <v>439</v>
      </c>
      <c r="D54" s="5" t="s">
        <v>438</v>
      </c>
      <c r="E54" s="5" t="s">
        <v>17</v>
      </c>
      <c r="F54" s="5" t="s">
        <v>440</v>
      </c>
      <c r="G54" s="5" t="s">
        <v>441</v>
      </c>
      <c r="H54" s="5" t="s">
        <v>442</v>
      </c>
      <c r="I54" s="5" t="s">
        <v>443</v>
      </c>
      <c r="J54" s="5" t="s">
        <v>444</v>
      </c>
      <c r="K54" s="5" t="s">
        <v>23</v>
      </c>
      <c r="L54" s="5" t="s">
        <v>445</v>
      </c>
      <c r="M54" s="5" t="s">
        <v>119</v>
      </c>
      <c r="N54" s="5" t="s">
        <v>446</v>
      </c>
      <c r="O54" s="5" t="s">
        <v>447</v>
      </c>
    </row>
    <row r="55" ht="22.5" customHeight="1">
      <c r="A55" s="4">
        <v>46007.848261886575</v>
      </c>
      <c r="B55" s="5" t="s">
        <v>448</v>
      </c>
      <c r="C55" s="5" t="s">
        <v>449</v>
      </c>
      <c r="D55" s="5" t="s">
        <v>450</v>
      </c>
      <c r="E55" s="5" t="s">
        <v>17</v>
      </c>
      <c r="F55" s="5" t="s">
        <v>451</v>
      </c>
      <c r="G55" s="5" t="s">
        <v>452</v>
      </c>
      <c r="H55" s="5" t="s">
        <v>453</v>
      </c>
      <c r="I55" s="5" t="s">
        <v>454</v>
      </c>
      <c r="J55" s="5" t="s">
        <v>20</v>
      </c>
      <c r="K55" s="5" t="s">
        <v>30</v>
      </c>
      <c r="L55" s="5" t="s">
        <v>455</v>
      </c>
      <c r="M55" s="5" t="s">
        <v>456</v>
      </c>
      <c r="N55" s="5" t="s">
        <v>51</v>
      </c>
      <c r="O55" s="5" t="s">
        <v>52</v>
      </c>
    </row>
    <row r="56" ht="22.5" customHeight="1">
      <c r="A56" s="4">
        <v>46008.00482423611</v>
      </c>
      <c r="B56" s="5" t="s">
        <v>457</v>
      </c>
      <c r="C56" s="5" t="s">
        <v>458</v>
      </c>
      <c r="D56" s="5" t="s">
        <v>457</v>
      </c>
      <c r="E56" s="5" t="s">
        <v>17</v>
      </c>
      <c r="F56" s="5" t="s">
        <v>459</v>
      </c>
      <c r="G56" s="5" t="s">
        <v>460</v>
      </c>
      <c r="H56" s="5" t="s">
        <v>461</v>
      </c>
      <c r="I56" s="5" t="s">
        <v>462</v>
      </c>
      <c r="J56" s="5" t="s">
        <v>463</v>
      </c>
      <c r="K56" s="5" t="s">
        <v>162</v>
      </c>
      <c r="L56" s="5" t="s">
        <v>464</v>
      </c>
      <c r="M56" s="5" t="s">
        <v>61</v>
      </c>
      <c r="N56" s="5" t="s">
        <v>181</v>
      </c>
      <c r="O56" s="5" t="s">
        <v>181</v>
      </c>
    </row>
    <row r="57" ht="22.5" customHeight="1">
      <c r="A57" s="4">
        <v>46008.31772184028</v>
      </c>
      <c r="B57" s="5" t="s">
        <v>465</v>
      </c>
      <c r="C57" s="5" t="s">
        <v>466</v>
      </c>
      <c r="D57" s="5" t="s">
        <v>465</v>
      </c>
      <c r="E57" s="5" t="s">
        <v>17</v>
      </c>
      <c r="F57" s="5" t="s">
        <v>467</v>
      </c>
      <c r="G57" s="5" t="s">
        <v>468</v>
      </c>
      <c r="H57" s="5" t="s">
        <v>409</v>
      </c>
      <c r="I57" s="5" t="s">
        <v>469</v>
      </c>
      <c r="J57" s="5" t="s">
        <v>470</v>
      </c>
      <c r="K57" s="5" t="s">
        <v>23</v>
      </c>
      <c r="L57" s="5" t="s">
        <v>471</v>
      </c>
      <c r="M57" s="5" t="s">
        <v>119</v>
      </c>
      <c r="N57" s="5" t="s">
        <v>472</v>
      </c>
      <c r="O57" s="5" t="s">
        <v>473</v>
      </c>
    </row>
    <row r="58" ht="22.5" customHeight="1">
      <c r="A58" s="4">
        <v>46009.61777222222</v>
      </c>
      <c r="B58" s="5" t="s">
        <v>474</v>
      </c>
      <c r="C58" s="5" t="s">
        <v>475</v>
      </c>
      <c r="D58" s="5" t="s">
        <v>474</v>
      </c>
      <c r="E58" s="5" t="s">
        <v>17</v>
      </c>
      <c r="F58" s="5" t="s">
        <v>476</v>
      </c>
      <c r="G58" s="5" t="s">
        <v>477</v>
      </c>
      <c r="H58" s="5" t="s">
        <v>478</v>
      </c>
      <c r="I58" s="5" t="s">
        <v>479</v>
      </c>
      <c r="J58" s="5" t="s">
        <v>480</v>
      </c>
      <c r="K58" s="5" t="s">
        <v>23</v>
      </c>
      <c r="L58" s="5" t="s">
        <v>481</v>
      </c>
      <c r="M58" s="5" t="s">
        <v>119</v>
      </c>
      <c r="N58" s="5" t="s">
        <v>51</v>
      </c>
      <c r="O58" s="5" t="s">
        <v>52</v>
      </c>
    </row>
    <row r="59" ht="22.5" customHeight="1">
      <c r="A59" s="4">
        <v>46009.6199905324</v>
      </c>
      <c r="B59" s="5" t="s">
        <v>474</v>
      </c>
      <c r="C59" s="5" t="s">
        <v>475</v>
      </c>
      <c r="D59" s="5" t="s">
        <v>474</v>
      </c>
      <c r="E59" s="5" t="s">
        <v>17</v>
      </c>
      <c r="F59" s="5" t="s">
        <v>482</v>
      </c>
      <c r="G59" s="5" t="s">
        <v>477</v>
      </c>
      <c r="H59" s="5" t="s">
        <v>478</v>
      </c>
      <c r="I59" s="5" t="s">
        <v>479</v>
      </c>
      <c r="J59" s="5" t="s">
        <v>480</v>
      </c>
      <c r="K59" s="5" t="s">
        <v>23</v>
      </c>
      <c r="L59" s="5" t="s">
        <v>481</v>
      </c>
      <c r="M59" s="5" t="s">
        <v>119</v>
      </c>
      <c r="N59" s="5" t="s">
        <v>51</v>
      </c>
      <c r="O59" s="5" t="s">
        <v>52</v>
      </c>
    </row>
    <row r="60" ht="22.5" customHeight="1">
      <c r="A60" s="4">
        <v>46009.88627265046</v>
      </c>
      <c r="B60" s="5" t="s">
        <v>483</v>
      </c>
      <c r="C60" s="5" t="s">
        <v>484</v>
      </c>
      <c r="D60" s="5" t="s">
        <v>483</v>
      </c>
      <c r="E60" s="5" t="s">
        <v>64</v>
      </c>
      <c r="F60" s="5" t="s">
        <v>485</v>
      </c>
      <c r="G60" s="5" t="s">
        <v>486</v>
      </c>
      <c r="H60" s="5" t="s">
        <v>487</v>
      </c>
      <c r="I60" s="5" t="s">
        <v>488</v>
      </c>
      <c r="J60" s="5" t="s">
        <v>195</v>
      </c>
      <c r="K60" s="5" t="s">
        <v>30</v>
      </c>
      <c r="L60" s="5" t="s">
        <v>489</v>
      </c>
      <c r="M60" s="5" t="s">
        <v>164</v>
      </c>
      <c r="N60" s="5" t="s">
        <v>490</v>
      </c>
      <c r="O60" s="5" t="s">
        <v>52</v>
      </c>
    </row>
    <row r="61" ht="22.5" customHeight="1">
      <c r="A61" s="4">
        <v>46011.11834981482</v>
      </c>
      <c r="B61" s="5" t="s">
        <v>491</v>
      </c>
      <c r="C61" s="5" t="s">
        <v>492</v>
      </c>
      <c r="D61" s="5" t="s">
        <v>491</v>
      </c>
      <c r="E61" s="5" t="s">
        <v>17</v>
      </c>
      <c r="F61" s="5" t="s">
        <v>493</v>
      </c>
      <c r="G61" s="5" t="s">
        <v>494</v>
      </c>
      <c r="H61" s="5" t="s">
        <v>495</v>
      </c>
      <c r="I61" s="5" t="s">
        <v>496</v>
      </c>
      <c r="J61" s="5" t="s">
        <v>497</v>
      </c>
      <c r="K61" s="5" t="s">
        <v>30</v>
      </c>
      <c r="L61" s="5" t="s">
        <v>498</v>
      </c>
      <c r="M61" s="5" t="s">
        <v>111</v>
      </c>
      <c r="N61" s="5" t="s">
        <v>51</v>
      </c>
      <c r="O61" s="5" t="s">
        <v>52</v>
      </c>
    </row>
    <row r="62" ht="22.5" customHeight="1">
      <c r="A62" s="4">
        <v>46011.23641533565</v>
      </c>
      <c r="B62" s="5" t="s">
        <v>499</v>
      </c>
      <c r="C62" s="5" t="s">
        <v>500</v>
      </c>
      <c r="D62" s="5" t="s">
        <v>499</v>
      </c>
      <c r="E62" s="5" t="s">
        <v>17</v>
      </c>
      <c r="F62" s="5" t="s">
        <v>501</v>
      </c>
      <c r="G62" s="5" t="s">
        <v>502</v>
      </c>
      <c r="H62" s="5" t="s">
        <v>503</v>
      </c>
      <c r="I62" s="5" t="s">
        <v>504</v>
      </c>
      <c r="J62" s="5" t="s">
        <v>505</v>
      </c>
      <c r="K62" s="5" t="s">
        <v>30</v>
      </c>
      <c r="L62" s="5" t="s">
        <v>506</v>
      </c>
      <c r="M62" s="5" t="s">
        <v>295</v>
      </c>
      <c r="N62" s="5" t="s">
        <v>507</v>
      </c>
      <c r="O62" s="5" t="s">
        <v>52</v>
      </c>
    </row>
    <row r="63" ht="22.5" customHeight="1">
      <c r="A63" s="4">
        <v>46011.277141122686</v>
      </c>
      <c r="B63" s="5" t="s">
        <v>508</v>
      </c>
      <c r="C63" s="5" t="s">
        <v>509</v>
      </c>
      <c r="D63" s="5" t="s">
        <v>508</v>
      </c>
      <c r="E63" s="5" t="s">
        <v>17</v>
      </c>
      <c r="F63" s="5" t="s">
        <v>510</v>
      </c>
      <c r="G63" s="5" t="s">
        <v>511</v>
      </c>
      <c r="H63" s="5" t="s">
        <v>512</v>
      </c>
      <c r="I63" s="5" t="s">
        <v>513</v>
      </c>
      <c r="J63" s="5" t="s">
        <v>514</v>
      </c>
      <c r="K63" s="5" t="s">
        <v>30</v>
      </c>
      <c r="L63" s="5" t="s">
        <v>515</v>
      </c>
      <c r="M63" s="5" t="s">
        <v>119</v>
      </c>
      <c r="N63" s="5" t="s">
        <v>51</v>
      </c>
      <c r="O63" s="5" t="s">
        <v>52</v>
      </c>
    </row>
    <row r="64" ht="22.5" customHeight="1">
      <c r="A64" s="4">
        <v>46011.44342289351</v>
      </c>
      <c r="B64" s="5" t="s">
        <v>516</v>
      </c>
      <c r="C64" s="5" t="s">
        <v>517</v>
      </c>
      <c r="D64" s="5" t="s">
        <v>518</v>
      </c>
      <c r="E64" s="5" t="s">
        <v>131</v>
      </c>
      <c r="F64" s="5" t="s">
        <v>519</v>
      </c>
      <c r="G64" s="5" t="s">
        <v>520</v>
      </c>
      <c r="H64" s="5" t="s">
        <v>521</v>
      </c>
      <c r="I64" s="5" t="s">
        <v>522</v>
      </c>
      <c r="J64" s="5" t="s">
        <v>523</v>
      </c>
      <c r="K64" s="5" t="s">
        <v>162</v>
      </c>
      <c r="L64" s="5" t="s">
        <v>524</v>
      </c>
      <c r="M64" s="5" t="s">
        <v>61</v>
      </c>
      <c r="N64" s="5" t="s">
        <v>525</v>
      </c>
      <c r="O64" s="5" t="s">
        <v>73</v>
      </c>
    </row>
    <row r="65" ht="22.5" customHeight="1">
      <c r="A65" s="4">
        <v>46011.94055318287</v>
      </c>
      <c r="B65" s="5" t="s">
        <v>526</v>
      </c>
      <c r="C65" s="5" t="s">
        <v>527</v>
      </c>
      <c r="D65" s="5" t="s">
        <v>526</v>
      </c>
      <c r="E65" s="5" t="s">
        <v>17</v>
      </c>
      <c r="F65" s="5" t="s">
        <v>528</v>
      </c>
      <c r="G65" s="5" t="s">
        <v>529</v>
      </c>
      <c r="H65" s="5" t="s">
        <v>530</v>
      </c>
      <c r="I65" s="5" t="s">
        <v>531</v>
      </c>
      <c r="J65" s="5" t="s">
        <v>532</v>
      </c>
      <c r="K65" s="5" t="s">
        <v>30</v>
      </c>
      <c r="L65" s="5" t="s">
        <v>533</v>
      </c>
      <c r="M65" s="5" t="s">
        <v>25</v>
      </c>
      <c r="N65" s="5" t="s">
        <v>51</v>
      </c>
      <c r="O65" s="5" t="s">
        <v>52</v>
      </c>
    </row>
    <row r="66" ht="22.5" customHeight="1">
      <c r="A66" s="4">
        <v>46012.81772482639</v>
      </c>
      <c r="B66" s="5" t="s">
        <v>516</v>
      </c>
      <c r="C66" s="5" t="s">
        <v>517</v>
      </c>
      <c r="D66" s="5" t="s">
        <v>518</v>
      </c>
      <c r="E66" s="5" t="s">
        <v>64</v>
      </c>
      <c r="F66" s="5" t="s">
        <v>534</v>
      </c>
      <c r="G66" s="5" t="s">
        <v>535</v>
      </c>
      <c r="H66" s="5" t="s">
        <v>536</v>
      </c>
      <c r="I66" s="5" t="s">
        <v>537</v>
      </c>
      <c r="J66" s="5" t="s">
        <v>538</v>
      </c>
      <c r="K66" s="5" t="s">
        <v>162</v>
      </c>
      <c r="L66" s="5" t="s">
        <v>539</v>
      </c>
      <c r="M66" s="5" t="s">
        <v>61</v>
      </c>
      <c r="N66" s="5" t="s">
        <v>525</v>
      </c>
      <c r="O66" s="5" t="s">
        <v>73</v>
      </c>
    </row>
    <row r="67" ht="22.5" customHeight="1">
      <c r="A67" s="4">
        <v>46012.889185011576</v>
      </c>
      <c r="B67" s="5" t="s">
        <v>540</v>
      </c>
      <c r="C67" s="5" t="s">
        <v>541</v>
      </c>
      <c r="D67" s="5" t="s">
        <v>540</v>
      </c>
      <c r="E67" s="5" t="s">
        <v>17</v>
      </c>
      <c r="F67" s="5" t="s">
        <v>542</v>
      </c>
      <c r="G67" s="5" t="s">
        <v>543</v>
      </c>
      <c r="H67" s="5" t="s">
        <v>544</v>
      </c>
      <c r="I67" s="5" t="s">
        <v>545</v>
      </c>
      <c r="J67" s="5" t="s">
        <v>546</v>
      </c>
      <c r="K67" s="5" t="s">
        <v>162</v>
      </c>
      <c r="L67" s="5" t="s">
        <v>547</v>
      </c>
      <c r="M67" s="5" t="s">
        <v>436</v>
      </c>
      <c r="N67" s="5" t="s">
        <v>548</v>
      </c>
      <c r="O67" s="5" t="s">
        <v>549</v>
      </c>
    </row>
    <row r="68" ht="22.5" customHeight="1">
      <c r="A68" s="4">
        <v>46013.02834600695</v>
      </c>
      <c r="B68" s="5" t="s">
        <v>550</v>
      </c>
      <c r="C68" s="5" t="s">
        <v>551</v>
      </c>
      <c r="D68" s="5" t="s">
        <v>550</v>
      </c>
      <c r="E68" s="5" t="s">
        <v>64</v>
      </c>
      <c r="F68" s="5" t="s">
        <v>552</v>
      </c>
      <c r="G68" s="5" t="s">
        <v>553</v>
      </c>
      <c r="H68" s="5" t="s">
        <v>554</v>
      </c>
      <c r="I68" s="5" t="s">
        <v>555</v>
      </c>
      <c r="J68" s="5" t="s">
        <v>556</v>
      </c>
      <c r="K68" s="5" t="s">
        <v>30</v>
      </c>
      <c r="L68" s="5" t="s">
        <v>557</v>
      </c>
      <c r="M68" s="5" t="s">
        <v>119</v>
      </c>
      <c r="N68" s="5" t="s">
        <v>437</v>
      </c>
      <c r="O68" s="5" t="s">
        <v>328</v>
      </c>
    </row>
    <row r="69" ht="22.5" customHeight="1">
      <c r="A69" s="4">
        <v>46013.88109043981</v>
      </c>
      <c r="B69" s="5" t="s">
        <v>558</v>
      </c>
      <c r="C69" s="5" t="s">
        <v>559</v>
      </c>
      <c r="D69" s="5" t="s">
        <v>558</v>
      </c>
      <c r="E69" s="5" t="s">
        <v>17</v>
      </c>
      <c r="F69" s="5" t="s">
        <v>560</v>
      </c>
      <c r="G69" s="5" t="s">
        <v>561</v>
      </c>
      <c r="H69" s="5" t="s">
        <v>562</v>
      </c>
      <c r="I69" s="5" t="s">
        <v>563</v>
      </c>
      <c r="J69" s="5" t="s">
        <v>564</v>
      </c>
      <c r="K69" s="5" t="s">
        <v>30</v>
      </c>
      <c r="L69" s="5" t="s">
        <v>565</v>
      </c>
      <c r="M69" s="5" t="s">
        <v>119</v>
      </c>
      <c r="N69" s="5" t="s">
        <v>548</v>
      </c>
      <c r="O69" s="5" t="s">
        <v>566</v>
      </c>
    </row>
    <row r="70" ht="22.5" customHeight="1">
      <c r="A70" s="4">
        <v>46013.95161520834</v>
      </c>
      <c r="B70" s="5" t="s">
        <v>567</v>
      </c>
      <c r="C70" s="5" t="s">
        <v>568</v>
      </c>
      <c r="D70" s="5" t="s">
        <v>567</v>
      </c>
      <c r="E70" s="5" t="s">
        <v>17</v>
      </c>
      <c r="F70" s="5" t="s">
        <v>569</v>
      </c>
      <c r="G70" s="5" t="s">
        <v>570</v>
      </c>
      <c r="H70" s="5" t="s">
        <v>571</v>
      </c>
      <c r="I70" s="5" t="s">
        <v>572</v>
      </c>
      <c r="J70" s="5" t="s">
        <v>573</v>
      </c>
      <c r="K70" s="5" t="s">
        <v>30</v>
      </c>
      <c r="L70" s="5" t="s">
        <v>574</v>
      </c>
      <c r="M70" s="5" t="s">
        <v>71</v>
      </c>
      <c r="N70" s="5" t="s">
        <v>51</v>
      </c>
      <c r="O70" s="5" t="s">
        <v>52</v>
      </c>
    </row>
    <row r="71" ht="22.5" customHeight="1">
      <c r="A71" s="4">
        <v>46014.77528809028</v>
      </c>
      <c r="B71" s="5" t="s">
        <v>575</v>
      </c>
      <c r="C71" s="5" t="s">
        <v>576</v>
      </c>
      <c r="D71" s="5" t="s">
        <v>575</v>
      </c>
      <c r="E71" s="5" t="s">
        <v>17</v>
      </c>
      <c r="F71" s="5" t="s">
        <v>577</v>
      </c>
      <c r="G71" s="5" t="s">
        <v>578</v>
      </c>
      <c r="H71" s="5" t="s">
        <v>579</v>
      </c>
      <c r="I71" s="5" t="s">
        <v>580</v>
      </c>
      <c r="J71" s="5" t="s">
        <v>581</v>
      </c>
      <c r="K71" s="5" t="s">
        <v>162</v>
      </c>
      <c r="L71" s="5" t="s">
        <v>582</v>
      </c>
      <c r="M71" s="5" t="s">
        <v>25</v>
      </c>
      <c r="N71" s="5" t="s">
        <v>446</v>
      </c>
      <c r="O71" s="5" t="s">
        <v>583</v>
      </c>
    </row>
    <row r="72" ht="22.5" customHeight="1">
      <c r="A72" s="4">
        <v>46019.42048075232</v>
      </c>
      <c r="B72" s="5" t="s">
        <v>584</v>
      </c>
      <c r="C72" s="5" t="s">
        <v>585</v>
      </c>
      <c r="D72" s="5" t="s">
        <v>584</v>
      </c>
      <c r="E72" s="5" t="s">
        <v>17</v>
      </c>
      <c r="F72" s="5" t="s">
        <v>586</v>
      </c>
      <c r="G72" s="5" t="s">
        <v>587</v>
      </c>
      <c r="H72" s="5" t="s">
        <v>588</v>
      </c>
      <c r="I72" s="5" t="s">
        <v>589</v>
      </c>
      <c r="J72" s="5" t="s">
        <v>590</v>
      </c>
      <c r="K72" s="5" t="s">
        <v>30</v>
      </c>
      <c r="L72" s="5" t="s">
        <v>591</v>
      </c>
      <c r="M72" s="5" t="s">
        <v>71</v>
      </c>
      <c r="N72" s="5" t="s">
        <v>592</v>
      </c>
      <c r="O72" s="5" t="s">
        <v>593</v>
      </c>
    </row>
    <row r="73" ht="22.5" customHeight="1">
      <c r="A73" s="4">
        <v>46019.924238437496</v>
      </c>
      <c r="B73" s="5" t="s">
        <v>594</v>
      </c>
      <c r="C73" s="5" t="s">
        <v>595</v>
      </c>
      <c r="D73" s="5" t="s">
        <v>594</v>
      </c>
      <c r="E73" s="5" t="s">
        <v>17</v>
      </c>
      <c r="F73" s="5" t="s">
        <v>596</v>
      </c>
      <c r="G73" s="5" t="s">
        <v>597</v>
      </c>
      <c r="H73" s="5" t="s">
        <v>598</v>
      </c>
      <c r="I73" s="5" t="s">
        <v>599</v>
      </c>
      <c r="J73" s="5" t="s">
        <v>600</v>
      </c>
      <c r="K73" s="5" t="s">
        <v>30</v>
      </c>
      <c r="L73" s="5" t="s">
        <v>601</v>
      </c>
      <c r="M73" s="5" t="s">
        <v>25</v>
      </c>
      <c r="N73" s="5" t="s">
        <v>51</v>
      </c>
      <c r="O73" s="5" t="s">
        <v>52</v>
      </c>
    </row>
    <row r="74" ht="22.5" customHeight="1">
      <c r="A74" s="4">
        <v>46020.11814233796</v>
      </c>
      <c r="B74" s="5" t="s">
        <v>602</v>
      </c>
      <c r="C74" s="5" t="s">
        <v>603</v>
      </c>
      <c r="D74" s="5" t="s">
        <v>602</v>
      </c>
      <c r="E74" s="5" t="s">
        <v>17</v>
      </c>
      <c r="F74" s="5" t="s">
        <v>604</v>
      </c>
      <c r="G74" s="5" t="s">
        <v>605</v>
      </c>
      <c r="H74" s="5" t="s">
        <v>606</v>
      </c>
      <c r="I74" s="5" t="s">
        <v>607</v>
      </c>
      <c r="J74" s="5" t="s">
        <v>608</v>
      </c>
      <c r="K74" s="5" t="s">
        <v>30</v>
      </c>
      <c r="L74" s="5" t="s">
        <v>609</v>
      </c>
      <c r="M74" s="5" t="s">
        <v>61</v>
      </c>
      <c r="N74" s="5" t="s">
        <v>72</v>
      </c>
      <c r="O74" s="5" t="s">
        <v>73</v>
      </c>
    </row>
    <row r="75" ht="22.5" customHeight="1">
      <c r="A75" s="4">
        <v>46020.13940921296</v>
      </c>
      <c r="B75" s="5" t="s">
        <v>602</v>
      </c>
      <c r="C75" s="5" t="s">
        <v>610</v>
      </c>
      <c r="D75" s="5" t="s">
        <v>602</v>
      </c>
      <c r="E75" s="5" t="s">
        <v>17</v>
      </c>
      <c r="F75" s="5" t="s">
        <v>611</v>
      </c>
      <c r="G75" s="5" t="s">
        <v>612</v>
      </c>
      <c r="H75" s="5" t="s">
        <v>613</v>
      </c>
      <c r="I75" s="5" t="s">
        <v>614</v>
      </c>
      <c r="J75" s="5" t="s">
        <v>608</v>
      </c>
      <c r="K75" s="5" t="s">
        <v>30</v>
      </c>
      <c r="L75" s="5" t="s">
        <v>615</v>
      </c>
      <c r="M75" s="5" t="s">
        <v>61</v>
      </c>
      <c r="N75" s="5" t="s">
        <v>72</v>
      </c>
      <c r="O75" s="5" t="s">
        <v>73</v>
      </c>
    </row>
    <row r="76" ht="22.5" customHeight="1">
      <c r="A76" s="4">
        <v>46020.6864296875</v>
      </c>
      <c r="B76" s="5" t="s">
        <v>616</v>
      </c>
      <c r="C76" s="5" t="s">
        <v>617</v>
      </c>
      <c r="D76" s="5" t="s">
        <v>616</v>
      </c>
      <c r="E76" s="5" t="s">
        <v>17</v>
      </c>
      <c r="F76" s="5" t="s">
        <v>618</v>
      </c>
      <c r="G76" s="5" t="s">
        <v>619</v>
      </c>
      <c r="H76" s="5" t="s">
        <v>620</v>
      </c>
      <c r="I76" s="5" t="s">
        <v>621</v>
      </c>
      <c r="J76" s="5" t="s">
        <v>622</v>
      </c>
      <c r="K76" s="5" t="s">
        <v>30</v>
      </c>
      <c r="L76" s="5" t="s">
        <v>623</v>
      </c>
      <c r="M76" s="5" t="s">
        <v>61</v>
      </c>
      <c r="N76" s="5" t="s">
        <v>51</v>
      </c>
      <c r="O76" s="5" t="s">
        <v>73</v>
      </c>
    </row>
    <row r="77" ht="22.5" customHeight="1">
      <c r="A77" s="4">
        <v>46020.83637142361</v>
      </c>
      <c r="B77" s="5" t="s">
        <v>624</v>
      </c>
      <c r="C77" s="5" t="s">
        <v>625</v>
      </c>
      <c r="D77" s="5" t="s">
        <v>626</v>
      </c>
      <c r="E77" s="5" t="s">
        <v>64</v>
      </c>
      <c r="F77" s="5" t="s">
        <v>627</v>
      </c>
      <c r="G77" s="5" t="s">
        <v>628</v>
      </c>
      <c r="H77" s="5" t="s">
        <v>629</v>
      </c>
      <c r="I77" s="5" t="s">
        <v>630</v>
      </c>
      <c r="J77" s="5" t="s">
        <v>631</v>
      </c>
      <c r="K77" s="5" t="s">
        <v>30</v>
      </c>
      <c r="L77" s="5" t="s">
        <v>632</v>
      </c>
      <c r="M77" s="5" t="s">
        <v>39</v>
      </c>
      <c r="N77" s="5" t="s">
        <v>51</v>
      </c>
      <c r="O77" s="5" t="s">
        <v>52</v>
      </c>
    </row>
    <row r="78" ht="22.5" customHeight="1">
      <c r="A78" s="4">
        <v>46021.79745049769</v>
      </c>
      <c r="B78" s="5" t="s">
        <v>633</v>
      </c>
      <c r="C78" s="5" t="s">
        <v>634</v>
      </c>
      <c r="D78" s="5" t="s">
        <v>633</v>
      </c>
      <c r="E78" s="5" t="s">
        <v>17</v>
      </c>
      <c r="F78" s="5" t="s">
        <v>635</v>
      </c>
      <c r="G78" s="5" t="s">
        <v>636</v>
      </c>
      <c r="H78" s="5" t="s">
        <v>637</v>
      </c>
      <c r="I78" s="5" t="s">
        <v>638</v>
      </c>
      <c r="J78" s="5" t="s">
        <v>639</v>
      </c>
      <c r="K78" s="5" t="s">
        <v>30</v>
      </c>
      <c r="L78" s="5" t="s">
        <v>640</v>
      </c>
      <c r="M78" s="5" t="s">
        <v>119</v>
      </c>
      <c r="N78" s="5" t="s">
        <v>641</v>
      </c>
      <c r="O78" s="5" t="s">
        <v>642</v>
      </c>
    </row>
    <row r="79" ht="22.5" customHeight="1">
      <c r="A79" s="4">
        <v>46022.02933295139</v>
      </c>
      <c r="B79" s="5" t="s">
        <v>643</v>
      </c>
      <c r="C79" s="5" t="s">
        <v>644</v>
      </c>
      <c r="D79" s="5" t="s">
        <v>643</v>
      </c>
      <c r="E79" s="5" t="s">
        <v>64</v>
      </c>
      <c r="F79" s="5" t="s">
        <v>645</v>
      </c>
      <c r="G79" s="5" t="s">
        <v>646</v>
      </c>
      <c r="H79" s="5" t="s">
        <v>647</v>
      </c>
      <c r="I79" s="5" t="s">
        <v>648</v>
      </c>
      <c r="J79" s="5" t="s">
        <v>649</v>
      </c>
      <c r="K79" s="5" t="s">
        <v>30</v>
      </c>
      <c r="L79" s="5" t="s">
        <v>650</v>
      </c>
      <c r="M79" s="5" t="s">
        <v>119</v>
      </c>
      <c r="N79" s="5" t="s">
        <v>267</v>
      </c>
      <c r="O79" s="5" t="s">
        <v>267</v>
      </c>
    </row>
    <row r="80" ht="22.5" customHeight="1">
      <c r="A80" s="4">
        <v>46022.09623420139</v>
      </c>
      <c r="B80" s="5" t="s">
        <v>651</v>
      </c>
      <c r="C80" s="5" t="s">
        <v>652</v>
      </c>
      <c r="D80" s="5" t="s">
        <v>651</v>
      </c>
      <c r="E80" s="5" t="s">
        <v>64</v>
      </c>
      <c r="F80" s="5" t="s">
        <v>653</v>
      </c>
      <c r="G80" s="5" t="s">
        <v>654</v>
      </c>
      <c r="H80" s="5" t="s">
        <v>655</v>
      </c>
      <c r="I80" s="5" t="s">
        <v>656</v>
      </c>
      <c r="J80" s="5" t="s">
        <v>657</v>
      </c>
      <c r="K80" s="5" t="s">
        <v>23</v>
      </c>
      <c r="L80" s="5" t="s">
        <v>658</v>
      </c>
      <c r="M80" s="5" t="s">
        <v>659</v>
      </c>
      <c r="N80" s="5" t="s">
        <v>181</v>
      </c>
      <c r="O80" s="5" t="s">
        <v>660</v>
      </c>
    </row>
    <row r="81" ht="22.5" customHeight="1">
      <c r="A81" s="4">
        <v>46023.168129375</v>
      </c>
      <c r="B81" s="5" t="s">
        <v>661</v>
      </c>
      <c r="C81" s="5" t="s">
        <v>662</v>
      </c>
      <c r="D81" s="5" t="s">
        <v>661</v>
      </c>
      <c r="E81" s="5" t="s">
        <v>64</v>
      </c>
      <c r="F81" s="5" t="s">
        <v>663</v>
      </c>
      <c r="G81" s="5" t="s">
        <v>664</v>
      </c>
      <c r="H81" s="5" t="s">
        <v>665</v>
      </c>
      <c r="I81" s="5" t="s">
        <v>666</v>
      </c>
      <c r="J81" s="5" t="s">
        <v>667</v>
      </c>
      <c r="K81" s="5" t="s">
        <v>30</v>
      </c>
      <c r="L81" s="5" t="s">
        <v>668</v>
      </c>
      <c r="M81" s="5" t="s">
        <v>61</v>
      </c>
      <c r="N81" s="5" t="s">
        <v>669</v>
      </c>
      <c r="O81" s="5" t="s">
        <v>73</v>
      </c>
    </row>
    <row r="82" ht="22.5" customHeight="1">
      <c r="A82" s="4">
        <v>46023.785281006945</v>
      </c>
      <c r="B82" s="5" t="s">
        <v>670</v>
      </c>
      <c r="C82" s="5" t="s">
        <v>671</v>
      </c>
      <c r="D82" s="5" t="s">
        <v>670</v>
      </c>
      <c r="E82" s="5" t="s">
        <v>17</v>
      </c>
      <c r="F82" s="5" t="s">
        <v>672</v>
      </c>
      <c r="G82" s="5" t="s">
        <v>673</v>
      </c>
      <c r="H82" s="5" t="s">
        <v>674</v>
      </c>
      <c r="I82" s="5" t="s">
        <v>675</v>
      </c>
      <c r="J82" s="5" t="s">
        <v>676</v>
      </c>
      <c r="K82" s="5" t="s">
        <v>162</v>
      </c>
      <c r="L82" s="5" t="s">
        <v>677</v>
      </c>
      <c r="M82" s="5" t="s">
        <v>119</v>
      </c>
      <c r="N82" s="5" t="s">
        <v>26</v>
      </c>
      <c r="O82" s="5" t="s">
        <v>26</v>
      </c>
    </row>
    <row r="83" ht="22.5" customHeight="1">
      <c r="A83" s="4">
        <v>46023.78988265047</v>
      </c>
      <c r="B83" s="5" t="s">
        <v>670</v>
      </c>
      <c r="C83" s="5" t="s">
        <v>671</v>
      </c>
      <c r="D83" s="5" t="s">
        <v>670</v>
      </c>
      <c r="E83" s="5" t="s">
        <v>131</v>
      </c>
      <c r="F83" s="5" t="s">
        <v>678</v>
      </c>
      <c r="G83" s="5" t="s">
        <v>679</v>
      </c>
      <c r="H83" s="5" t="s">
        <v>680</v>
      </c>
      <c r="I83" s="5" t="s">
        <v>681</v>
      </c>
      <c r="J83" s="5" t="s">
        <v>682</v>
      </c>
      <c r="K83" s="5" t="s">
        <v>162</v>
      </c>
      <c r="L83" s="5" t="s">
        <v>677</v>
      </c>
      <c r="M83" s="5" t="s">
        <v>119</v>
      </c>
      <c r="N83" s="5" t="s">
        <v>26</v>
      </c>
      <c r="O83" s="5" t="s">
        <v>26</v>
      </c>
    </row>
    <row r="84" ht="22.5" customHeight="1">
      <c r="A84" s="4">
        <v>46024.91489547453</v>
      </c>
      <c r="B84" s="5" t="s">
        <v>683</v>
      </c>
      <c r="C84" s="5" t="s">
        <v>684</v>
      </c>
      <c r="D84" s="5" t="s">
        <v>683</v>
      </c>
      <c r="E84" s="5" t="s">
        <v>64</v>
      </c>
      <c r="F84" s="5" t="s">
        <v>685</v>
      </c>
      <c r="G84" s="5" t="s">
        <v>686</v>
      </c>
      <c r="H84" s="5" t="s">
        <v>687</v>
      </c>
      <c r="I84" s="5" t="s">
        <v>688</v>
      </c>
      <c r="J84" s="5" t="s">
        <v>689</v>
      </c>
      <c r="K84" s="5" t="s">
        <v>30</v>
      </c>
      <c r="L84" s="5" t="s">
        <v>690</v>
      </c>
      <c r="M84" s="5" t="s">
        <v>61</v>
      </c>
      <c r="N84" s="5" t="s">
        <v>51</v>
      </c>
      <c r="O84" s="5" t="s">
        <v>52</v>
      </c>
    </row>
    <row r="85" ht="22.5" customHeight="1">
      <c r="A85" s="4">
        <v>46024.91808635417</v>
      </c>
      <c r="B85" s="5" t="s">
        <v>683</v>
      </c>
      <c r="C85" s="5" t="s">
        <v>684</v>
      </c>
      <c r="D85" s="5" t="s">
        <v>683</v>
      </c>
      <c r="E85" s="5" t="s">
        <v>64</v>
      </c>
      <c r="F85" s="5" t="s">
        <v>691</v>
      </c>
      <c r="G85" s="5" t="s">
        <v>692</v>
      </c>
      <c r="H85" s="5" t="s">
        <v>667</v>
      </c>
      <c r="I85" s="5" t="s">
        <v>693</v>
      </c>
      <c r="J85" s="5" t="s">
        <v>694</v>
      </c>
      <c r="K85" s="5" t="s">
        <v>30</v>
      </c>
      <c r="L85" s="5" t="s">
        <v>145</v>
      </c>
      <c r="M85" s="5" t="s">
        <v>61</v>
      </c>
      <c r="N85" s="5" t="s">
        <v>51</v>
      </c>
      <c r="O85" s="5" t="s">
        <v>52</v>
      </c>
    </row>
    <row r="86" ht="22.5" customHeight="1">
      <c r="A86" s="4">
        <v>46024.9212206713</v>
      </c>
      <c r="B86" s="5" t="s">
        <v>695</v>
      </c>
      <c r="C86" s="5" t="s">
        <v>696</v>
      </c>
      <c r="D86" s="5" t="s">
        <v>695</v>
      </c>
      <c r="E86" s="5" t="s">
        <v>64</v>
      </c>
      <c r="F86" s="5" t="s">
        <v>697</v>
      </c>
      <c r="G86" s="5" t="s">
        <v>698</v>
      </c>
      <c r="H86" s="5" t="s">
        <v>688</v>
      </c>
      <c r="I86" s="5" t="s">
        <v>699</v>
      </c>
      <c r="J86" s="5" t="s">
        <v>689</v>
      </c>
      <c r="K86" s="5" t="s">
        <v>30</v>
      </c>
      <c r="L86" s="5" t="s">
        <v>145</v>
      </c>
      <c r="M86" s="5" t="s">
        <v>31</v>
      </c>
      <c r="N86" s="5" t="s">
        <v>51</v>
      </c>
      <c r="O86" s="5" t="s">
        <v>52</v>
      </c>
    </row>
    <row r="87" ht="22.5" customHeight="1">
      <c r="A87" s="4">
        <v>46024.923114895835</v>
      </c>
      <c r="B87" s="5" t="s">
        <v>695</v>
      </c>
      <c r="C87" s="5" t="s">
        <v>696</v>
      </c>
      <c r="D87" s="5" t="s">
        <v>695</v>
      </c>
      <c r="E87" s="5" t="s">
        <v>64</v>
      </c>
      <c r="F87" s="5" t="s">
        <v>700</v>
      </c>
      <c r="G87" s="5" t="s">
        <v>701</v>
      </c>
      <c r="H87" s="5" t="s">
        <v>688</v>
      </c>
      <c r="I87" s="5" t="s">
        <v>702</v>
      </c>
      <c r="J87" s="5" t="s">
        <v>274</v>
      </c>
      <c r="K87" s="5" t="s">
        <v>30</v>
      </c>
      <c r="L87" s="5" t="s">
        <v>145</v>
      </c>
      <c r="M87" s="5" t="s">
        <v>31</v>
      </c>
      <c r="N87" s="5" t="s">
        <v>51</v>
      </c>
      <c r="O87" s="5" t="s">
        <v>52</v>
      </c>
    </row>
    <row r="88" ht="22.5" customHeight="1">
      <c r="A88" s="4">
        <v>46024.925478749996</v>
      </c>
      <c r="B88" s="5" t="s">
        <v>703</v>
      </c>
      <c r="C88" s="5" t="s">
        <v>704</v>
      </c>
      <c r="D88" s="5" t="s">
        <v>703</v>
      </c>
      <c r="E88" s="5" t="s">
        <v>64</v>
      </c>
      <c r="F88" s="5" t="s">
        <v>705</v>
      </c>
      <c r="G88" s="5" t="s">
        <v>706</v>
      </c>
      <c r="H88" s="5" t="s">
        <v>707</v>
      </c>
      <c r="I88" s="5" t="s">
        <v>708</v>
      </c>
      <c r="J88" s="5" t="s">
        <v>709</v>
      </c>
      <c r="K88" s="5" t="s">
        <v>30</v>
      </c>
      <c r="L88" s="5" t="s">
        <v>710</v>
      </c>
      <c r="M88" s="5" t="s">
        <v>71</v>
      </c>
      <c r="N88" s="5" t="s">
        <v>51</v>
      </c>
      <c r="O88" s="5" t="s">
        <v>52</v>
      </c>
    </row>
    <row r="89" ht="22.5" customHeight="1">
      <c r="A89" s="4">
        <v>46024.92717028935</v>
      </c>
      <c r="B89" s="5" t="s">
        <v>703</v>
      </c>
      <c r="C89" s="5" t="s">
        <v>704</v>
      </c>
      <c r="D89" s="5" t="s">
        <v>703</v>
      </c>
      <c r="E89" s="5" t="s">
        <v>64</v>
      </c>
      <c r="F89" s="5" t="s">
        <v>711</v>
      </c>
      <c r="G89" s="5" t="s">
        <v>712</v>
      </c>
      <c r="H89" s="5" t="s">
        <v>713</v>
      </c>
      <c r="I89" s="5" t="s">
        <v>714</v>
      </c>
      <c r="J89" s="5" t="s">
        <v>715</v>
      </c>
      <c r="K89" s="5" t="s">
        <v>30</v>
      </c>
      <c r="L89" s="5" t="s">
        <v>710</v>
      </c>
      <c r="M89" s="5" t="s">
        <v>71</v>
      </c>
      <c r="N89" s="5" t="s">
        <v>51</v>
      </c>
      <c r="O89" s="5" t="s">
        <v>52</v>
      </c>
    </row>
    <row r="90" ht="22.5" customHeight="1">
      <c r="A90" s="4">
        <v>46024.92927359954</v>
      </c>
      <c r="B90" s="5" t="s">
        <v>703</v>
      </c>
      <c r="C90" s="5" t="s">
        <v>704</v>
      </c>
      <c r="D90" s="5" t="s">
        <v>703</v>
      </c>
      <c r="E90" s="5" t="s">
        <v>17</v>
      </c>
      <c r="F90" s="5" t="s">
        <v>716</v>
      </c>
      <c r="G90" s="5" t="s">
        <v>717</v>
      </c>
      <c r="H90" s="5" t="s">
        <v>718</v>
      </c>
      <c r="I90" s="5" t="s">
        <v>719</v>
      </c>
      <c r="J90" s="5" t="s">
        <v>720</v>
      </c>
      <c r="K90" s="5" t="s">
        <v>30</v>
      </c>
      <c r="L90" s="5" t="s">
        <v>710</v>
      </c>
      <c r="M90" s="5" t="s">
        <v>71</v>
      </c>
      <c r="N90" s="5" t="s">
        <v>51</v>
      </c>
      <c r="O90" s="5" t="s">
        <v>52</v>
      </c>
    </row>
    <row r="91" ht="22.5" customHeight="1">
      <c r="A91" s="4">
        <v>46024.93662425926</v>
      </c>
      <c r="B91" s="5" t="s">
        <v>703</v>
      </c>
      <c r="C91" s="5" t="s">
        <v>704</v>
      </c>
      <c r="D91" s="5" t="s">
        <v>703</v>
      </c>
      <c r="E91" s="5" t="s">
        <v>17</v>
      </c>
      <c r="F91" s="5" t="s">
        <v>721</v>
      </c>
      <c r="G91" s="5" t="s">
        <v>722</v>
      </c>
      <c r="H91" s="5" t="s">
        <v>723</v>
      </c>
      <c r="I91" s="5" t="s">
        <v>724</v>
      </c>
      <c r="J91" s="5" t="s">
        <v>171</v>
      </c>
      <c r="K91" s="5" t="s">
        <v>30</v>
      </c>
      <c r="L91" s="5" t="s">
        <v>710</v>
      </c>
      <c r="M91" s="5" t="s">
        <v>71</v>
      </c>
      <c r="N91" s="5" t="s">
        <v>51</v>
      </c>
      <c r="O91" s="5" t="s">
        <v>52</v>
      </c>
    </row>
    <row r="92" ht="22.5" customHeight="1">
      <c r="A92" s="4">
        <v>46024.939624502316</v>
      </c>
      <c r="B92" s="5" t="s">
        <v>725</v>
      </c>
      <c r="C92" s="5" t="s">
        <v>726</v>
      </c>
      <c r="D92" s="5" t="s">
        <v>725</v>
      </c>
      <c r="E92" s="5" t="s">
        <v>17</v>
      </c>
      <c r="F92" s="5" t="s">
        <v>727</v>
      </c>
      <c r="G92" s="5" t="s">
        <v>728</v>
      </c>
      <c r="H92" s="5" t="s">
        <v>729</v>
      </c>
      <c r="I92" s="5" t="s">
        <v>730</v>
      </c>
      <c r="J92" s="5" t="s">
        <v>731</v>
      </c>
      <c r="K92" s="5" t="s">
        <v>30</v>
      </c>
      <c r="L92" s="5" t="s">
        <v>732</v>
      </c>
      <c r="M92" s="5" t="s">
        <v>733</v>
      </c>
      <c r="N92" s="5" t="s">
        <v>734</v>
      </c>
      <c r="O92" s="5" t="s">
        <v>182</v>
      </c>
    </row>
    <row r="93" ht="22.5" customHeight="1">
      <c r="A93" s="4">
        <v>46025.02681576389</v>
      </c>
      <c r="B93" s="5" t="s">
        <v>735</v>
      </c>
      <c r="C93" s="5" t="s">
        <v>736</v>
      </c>
      <c r="D93" s="5" t="s">
        <v>735</v>
      </c>
      <c r="E93" s="5" t="s">
        <v>17</v>
      </c>
      <c r="F93" s="5" t="s">
        <v>737</v>
      </c>
      <c r="G93" s="5" t="s">
        <v>738</v>
      </c>
      <c r="H93" s="5" t="s">
        <v>739</v>
      </c>
      <c r="I93" s="5" t="s">
        <v>740</v>
      </c>
      <c r="J93" s="5" t="s">
        <v>741</v>
      </c>
      <c r="K93" s="5" t="s">
        <v>30</v>
      </c>
      <c r="L93" s="5" t="s">
        <v>742</v>
      </c>
      <c r="M93" s="5" t="s">
        <v>71</v>
      </c>
      <c r="N93" s="5" t="s">
        <v>743</v>
      </c>
      <c r="O93" s="5" t="s">
        <v>404</v>
      </c>
    </row>
    <row r="94" ht="22.5" customHeight="1">
      <c r="A94" s="4">
        <v>46039.24155078703</v>
      </c>
      <c r="B94" s="5" t="s">
        <v>744</v>
      </c>
      <c r="C94" s="5" t="s">
        <v>745</v>
      </c>
      <c r="D94" s="5" t="s">
        <v>744</v>
      </c>
      <c r="E94" s="5" t="s">
        <v>17</v>
      </c>
      <c r="F94" s="5" t="s">
        <v>746</v>
      </c>
      <c r="G94" s="5" t="s">
        <v>747</v>
      </c>
      <c r="H94" s="5" t="s">
        <v>748</v>
      </c>
      <c r="I94" s="5" t="s">
        <v>749</v>
      </c>
      <c r="J94" s="5" t="s">
        <v>750</v>
      </c>
      <c r="K94" s="5" t="s">
        <v>30</v>
      </c>
      <c r="L94" s="5" t="s">
        <v>751</v>
      </c>
      <c r="M94" s="5" t="s">
        <v>456</v>
      </c>
      <c r="N94" s="5" t="s">
        <v>181</v>
      </c>
      <c r="O94" s="5" t="s">
        <v>660</v>
      </c>
    </row>
    <row r="95" ht="22.5" customHeight="1">
      <c r="A95" s="4">
        <v>46025.51792950231</v>
      </c>
      <c r="B95" s="5" t="s">
        <v>752</v>
      </c>
      <c r="C95" s="5" t="s">
        <v>753</v>
      </c>
      <c r="D95" s="5" t="s">
        <v>752</v>
      </c>
      <c r="E95" s="5" t="s">
        <v>131</v>
      </c>
      <c r="F95" s="5" t="s">
        <v>754</v>
      </c>
      <c r="G95" s="5" t="s">
        <v>755</v>
      </c>
      <c r="H95" s="5" t="s">
        <v>341</v>
      </c>
      <c r="I95" s="5" t="s">
        <v>756</v>
      </c>
      <c r="J95" s="5" t="s">
        <v>757</v>
      </c>
      <c r="K95" s="5" t="s">
        <v>30</v>
      </c>
      <c r="L95" s="5" t="s">
        <v>758</v>
      </c>
      <c r="M95" s="5" t="s">
        <v>759</v>
      </c>
      <c r="N95" s="5" t="s">
        <v>51</v>
      </c>
      <c r="O95" s="5" t="s">
        <v>73</v>
      </c>
    </row>
    <row r="96" ht="22.5" customHeight="1">
      <c r="A96" s="4">
        <v>46025.522143483795</v>
      </c>
      <c r="B96" s="5" t="s">
        <v>760</v>
      </c>
      <c r="C96" s="5" t="s">
        <v>761</v>
      </c>
      <c r="D96" s="5" t="s">
        <v>760</v>
      </c>
      <c r="E96" s="5" t="s">
        <v>64</v>
      </c>
      <c r="F96" s="5" t="s">
        <v>762</v>
      </c>
      <c r="G96" s="5" t="s">
        <v>763</v>
      </c>
      <c r="H96" s="5" t="s">
        <v>764</v>
      </c>
      <c r="I96" s="5" t="s">
        <v>765</v>
      </c>
      <c r="J96" s="5" t="s">
        <v>766</v>
      </c>
      <c r="K96" s="5" t="s">
        <v>30</v>
      </c>
      <c r="L96" s="5" t="s">
        <v>767</v>
      </c>
      <c r="M96" s="5" t="s">
        <v>759</v>
      </c>
      <c r="N96" s="5" t="s">
        <v>51</v>
      </c>
      <c r="O96" s="5" t="s">
        <v>52</v>
      </c>
    </row>
    <row r="97" ht="22.5" customHeight="1">
      <c r="A97" s="4">
        <v>46025.69238850694</v>
      </c>
      <c r="B97" s="5" t="s">
        <v>768</v>
      </c>
      <c r="C97" s="5" t="s">
        <v>769</v>
      </c>
      <c r="D97" s="5" t="s">
        <v>768</v>
      </c>
      <c r="E97" s="5" t="s">
        <v>64</v>
      </c>
      <c r="F97" s="5" t="s">
        <v>770</v>
      </c>
      <c r="G97" s="5" t="s">
        <v>771</v>
      </c>
      <c r="H97" s="5" t="s">
        <v>772</v>
      </c>
      <c r="I97" s="5" t="s">
        <v>773</v>
      </c>
      <c r="J97" s="5" t="s">
        <v>774</v>
      </c>
      <c r="K97" s="5" t="s">
        <v>30</v>
      </c>
      <c r="L97" s="5" t="s">
        <v>775</v>
      </c>
      <c r="M97" s="5" t="s">
        <v>119</v>
      </c>
      <c r="N97" s="5" t="s">
        <v>776</v>
      </c>
      <c r="O97" s="5" t="s">
        <v>777</v>
      </c>
    </row>
    <row r="98" ht="22.5" customHeight="1">
      <c r="A98" s="4">
        <v>46026.15609359954</v>
      </c>
      <c r="B98" s="5" t="s">
        <v>778</v>
      </c>
      <c r="C98" s="5" t="s">
        <v>779</v>
      </c>
      <c r="D98" s="5" t="s">
        <v>778</v>
      </c>
      <c r="E98" s="5" t="s">
        <v>17</v>
      </c>
      <c r="F98" s="5" t="s">
        <v>780</v>
      </c>
      <c r="G98" s="5" t="s">
        <v>781</v>
      </c>
      <c r="H98" s="5" t="s">
        <v>782</v>
      </c>
      <c r="I98" s="5" t="s">
        <v>783</v>
      </c>
      <c r="J98" s="5" t="s">
        <v>784</v>
      </c>
      <c r="K98" s="5" t="s">
        <v>30</v>
      </c>
      <c r="L98" s="5" t="s">
        <v>785</v>
      </c>
      <c r="M98" s="5" t="s">
        <v>61</v>
      </c>
      <c r="N98" s="5" t="s">
        <v>72</v>
      </c>
      <c r="O98" s="5" t="s">
        <v>73</v>
      </c>
    </row>
    <row r="99" ht="22.5" customHeight="1">
      <c r="A99" s="4">
        <v>46027.04515576389</v>
      </c>
      <c r="B99" s="5" t="s">
        <v>786</v>
      </c>
      <c r="C99" s="5" t="s">
        <v>787</v>
      </c>
      <c r="D99" s="5" t="s">
        <v>786</v>
      </c>
      <c r="E99" s="5" t="s">
        <v>131</v>
      </c>
      <c r="F99" s="5" t="s">
        <v>788</v>
      </c>
      <c r="G99" s="5" t="s">
        <v>789</v>
      </c>
      <c r="H99" s="5" t="s">
        <v>790</v>
      </c>
      <c r="I99" s="5" t="s">
        <v>791</v>
      </c>
      <c r="J99" s="5" t="s">
        <v>792</v>
      </c>
      <c r="K99" s="5" t="s">
        <v>23</v>
      </c>
      <c r="L99" s="5" t="s">
        <v>793</v>
      </c>
      <c r="M99" s="5" t="s">
        <v>164</v>
      </c>
      <c r="N99" s="5" t="s">
        <v>794</v>
      </c>
      <c r="O99" s="5" t="s">
        <v>794</v>
      </c>
    </row>
    <row r="100" ht="22.5" customHeight="1">
      <c r="A100" s="4">
        <v>46027.12617930556</v>
      </c>
      <c r="B100" s="5" t="s">
        <v>795</v>
      </c>
      <c r="C100" s="5" t="s">
        <v>796</v>
      </c>
      <c r="D100" s="5" t="s">
        <v>795</v>
      </c>
      <c r="E100" s="5" t="s">
        <v>17</v>
      </c>
      <c r="F100" s="5" t="s">
        <v>797</v>
      </c>
      <c r="G100" s="5" t="s">
        <v>798</v>
      </c>
      <c r="H100" s="5" t="s">
        <v>799</v>
      </c>
      <c r="I100" s="5" t="s">
        <v>739</v>
      </c>
      <c r="J100" s="5" t="s">
        <v>800</v>
      </c>
      <c r="K100" s="5" t="s">
        <v>162</v>
      </c>
      <c r="L100" s="5" t="s">
        <v>801</v>
      </c>
      <c r="M100" s="5" t="s">
        <v>119</v>
      </c>
      <c r="N100" s="5" t="s">
        <v>734</v>
      </c>
      <c r="O100" s="5" t="s">
        <v>734</v>
      </c>
    </row>
    <row r="101" ht="22.5" customHeight="1">
      <c r="A101" s="4">
        <v>46027.15420065972</v>
      </c>
      <c r="B101" s="5" t="s">
        <v>802</v>
      </c>
      <c r="C101" s="5" t="s">
        <v>803</v>
      </c>
      <c r="D101" s="5" t="s">
        <v>802</v>
      </c>
      <c r="E101" s="5" t="s">
        <v>17</v>
      </c>
      <c r="F101" s="5" t="s">
        <v>804</v>
      </c>
      <c r="G101" s="5" t="s">
        <v>805</v>
      </c>
      <c r="H101" s="5" t="s">
        <v>806</v>
      </c>
      <c r="I101" s="5" t="s">
        <v>807</v>
      </c>
      <c r="J101" s="5" t="s">
        <v>808</v>
      </c>
      <c r="K101" s="5" t="s">
        <v>30</v>
      </c>
      <c r="L101" s="5" t="s">
        <v>809</v>
      </c>
      <c r="M101" s="5" t="s">
        <v>128</v>
      </c>
      <c r="N101" s="5" t="s">
        <v>51</v>
      </c>
      <c r="O101" s="5" t="s">
        <v>52</v>
      </c>
    </row>
    <row r="102" ht="22.5" customHeight="1">
      <c r="A102" s="4">
        <v>46027.168054988426</v>
      </c>
      <c r="B102" s="5" t="s">
        <v>810</v>
      </c>
      <c r="C102" s="5" t="s">
        <v>811</v>
      </c>
      <c r="D102" s="5" t="s">
        <v>810</v>
      </c>
      <c r="E102" s="5" t="s">
        <v>131</v>
      </c>
      <c r="F102" s="5" t="s">
        <v>812</v>
      </c>
      <c r="G102" s="5" t="s">
        <v>813</v>
      </c>
      <c r="H102" s="5" t="s">
        <v>814</v>
      </c>
      <c r="I102" s="5" t="s">
        <v>815</v>
      </c>
      <c r="J102" s="5" t="s">
        <v>816</v>
      </c>
      <c r="K102" s="5" t="s">
        <v>30</v>
      </c>
      <c r="L102" s="5" t="s">
        <v>557</v>
      </c>
      <c r="M102" s="5" t="s">
        <v>119</v>
      </c>
      <c r="N102" s="5" t="s">
        <v>437</v>
      </c>
      <c r="O102" s="5" t="s">
        <v>437</v>
      </c>
    </row>
    <row r="103" ht="22.5" customHeight="1">
      <c r="A103" s="4">
        <v>46027.20015542824</v>
      </c>
      <c r="B103" s="5" t="s">
        <v>817</v>
      </c>
      <c r="C103" s="5" t="s">
        <v>818</v>
      </c>
      <c r="D103" s="5" t="s">
        <v>817</v>
      </c>
      <c r="E103" s="5" t="s">
        <v>17</v>
      </c>
      <c r="F103" s="5" t="s">
        <v>819</v>
      </c>
      <c r="G103" s="5" t="s">
        <v>820</v>
      </c>
      <c r="H103" s="5" t="s">
        <v>821</v>
      </c>
      <c r="I103" s="5" t="s">
        <v>822</v>
      </c>
      <c r="J103" s="5" t="s">
        <v>823</v>
      </c>
      <c r="K103" s="5" t="s">
        <v>23</v>
      </c>
      <c r="L103" s="5" t="s">
        <v>824</v>
      </c>
      <c r="M103" s="5" t="s">
        <v>119</v>
      </c>
      <c r="N103" s="5" t="s">
        <v>26</v>
      </c>
      <c r="O103" s="5" t="s">
        <v>825</v>
      </c>
    </row>
    <row r="104" ht="22.5" customHeight="1">
      <c r="A104" s="4">
        <v>46027.25898086806</v>
      </c>
      <c r="B104" s="5" t="s">
        <v>826</v>
      </c>
      <c r="C104" s="5" t="s">
        <v>827</v>
      </c>
      <c r="D104" s="5" t="s">
        <v>826</v>
      </c>
      <c r="E104" s="5" t="s">
        <v>64</v>
      </c>
      <c r="F104" s="5" t="s">
        <v>828</v>
      </c>
      <c r="G104" s="5" t="s">
        <v>829</v>
      </c>
      <c r="H104" s="5" t="s">
        <v>830</v>
      </c>
      <c r="I104" s="5" t="s">
        <v>831</v>
      </c>
      <c r="J104" s="5" t="s">
        <v>832</v>
      </c>
      <c r="K104" s="5" t="s">
        <v>23</v>
      </c>
      <c r="L104" s="5" t="s">
        <v>445</v>
      </c>
      <c r="M104" s="5" t="s">
        <v>119</v>
      </c>
      <c r="N104" s="5" t="s">
        <v>833</v>
      </c>
      <c r="O104" s="5" t="s">
        <v>548</v>
      </c>
    </row>
    <row r="105" ht="22.5" customHeight="1">
      <c r="A105" s="4">
        <v>46027.260207824074</v>
      </c>
      <c r="B105" s="5" t="s">
        <v>337</v>
      </c>
      <c r="C105" s="5" t="s">
        <v>338</v>
      </c>
      <c r="D105" s="5" t="s">
        <v>337</v>
      </c>
      <c r="E105" s="5" t="s">
        <v>17</v>
      </c>
      <c r="F105" s="5" t="s">
        <v>834</v>
      </c>
      <c r="G105" s="5" t="s">
        <v>835</v>
      </c>
      <c r="H105" s="5" t="s">
        <v>463</v>
      </c>
      <c r="I105" s="5" t="s">
        <v>836</v>
      </c>
      <c r="J105" s="5" t="s">
        <v>837</v>
      </c>
      <c r="K105" s="5" t="s">
        <v>30</v>
      </c>
      <c r="L105" s="5" t="s">
        <v>319</v>
      </c>
      <c r="M105" s="5" t="s">
        <v>119</v>
      </c>
      <c r="N105" s="5" t="s">
        <v>72</v>
      </c>
      <c r="O105" s="5" t="s">
        <v>73</v>
      </c>
    </row>
    <row r="106" ht="22.5" customHeight="1">
      <c r="A106" s="4">
        <v>46027.272927314814</v>
      </c>
      <c r="B106" s="5" t="s">
        <v>337</v>
      </c>
      <c r="C106" s="5" t="s">
        <v>338</v>
      </c>
      <c r="D106" s="5" t="s">
        <v>337</v>
      </c>
      <c r="E106" s="5" t="s">
        <v>17</v>
      </c>
      <c r="F106" s="5" t="s">
        <v>838</v>
      </c>
      <c r="G106" s="5" t="s">
        <v>839</v>
      </c>
      <c r="H106" s="5" t="s">
        <v>463</v>
      </c>
      <c r="I106" s="5" t="s">
        <v>840</v>
      </c>
      <c r="J106" s="5" t="s">
        <v>841</v>
      </c>
      <c r="K106" s="5" t="s">
        <v>30</v>
      </c>
      <c r="L106" s="5" t="s">
        <v>319</v>
      </c>
      <c r="M106" s="5" t="s">
        <v>119</v>
      </c>
      <c r="N106" s="5" t="s">
        <v>72</v>
      </c>
      <c r="O106" s="5" t="s">
        <v>73</v>
      </c>
    </row>
    <row r="107" ht="22.5" customHeight="1">
      <c r="A107" s="4">
        <v>46027.28722805556</v>
      </c>
      <c r="B107" s="5" t="s">
        <v>337</v>
      </c>
      <c r="C107" s="5" t="s">
        <v>338</v>
      </c>
      <c r="D107" s="5" t="s">
        <v>337</v>
      </c>
      <c r="E107" s="5" t="s">
        <v>64</v>
      </c>
      <c r="F107" s="5" t="s">
        <v>842</v>
      </c>
      <c r="G107" s="5" t="s">
        <v>843</v>
      </c>
      <c r="H107" s="5" t="s">
        <v>841</v>
      </c>
      <c r="I107" s="5" t="s">
        <v>844</v>
      </c>
      <c r="J107" s="5" t="s">
        <v>845</v>
      </c>
      <c r="K107" s="5" t="s">
        <v>30</v>
      </c>
      <c r="L107" s="5" t="s">
        <v>319</v>
      </c>
      <c r="M107" s="5" t="s">
        <v>119</v>
      </c>
      <c r="N107" s="5" t="s">
        <v>72</v>
      </c>
      <c r="O107" s="5" t="s">
        <v>73</v>
      </c>
    </row>
    <row r="108" ht="22.5" customHeight="1">
      <c r="A108" s="4">
        <v>46027.29880547454</v>
      </c>
      <c r="B108" s="5" t="s">
        <v>337</v>
      </c>
      <c r="C108" s="5" t="s">
        <v>338</v>
      </c>
      <c r="D108" s="5" t="s">
        <v>337</v>
      </c>
      <c r="E108" s="5" t="s">
        <v>64</v>
      </c>
      <c r="F108" s="5" t="s">
        <v>846</v>
      </c>
      <c r="G108" s="5" t="s">
        <v>847</v>
      </c>
      <c r="H108" s="5" t="s">
        <v>848</v>
      </c>
      <c r="I108" s="5" t="s">
        <v>849</v>
      </c>
      <c r="J108" s="5" t="s">
        <v>850</v>
      </c>
      <c r="K108" s="5" t="s">
        <v>30</v>
      </c>
      <c r="L108" s="5" t="s">
        <v>319</v>
      </c>
      <c r="M108" s="5" t="s">
        <v>119</v>
      </c>
      <c r="N108" s="5" t="s">
        <v>72</v>
      </c>
      <c r="O108" s="5" t="s">
        <v>73</v>
      </c>
    </row>
    <row r="109" ht="22.5" customHeight="1">
      <c r="A109" s="4">
        <v>46027.31805740741</v>
      </c>
      <c r="B109" s="5" t="s">
        <v>337</v>
      </c>
      <c r="C109" s="5" t="s">
        <v>338</v>
      </c>
      <c r="D109" s="5" t="s">
        <v>337</v>
      </c>
      <c r="E109" s="5" t="s">
        <v>64</v>
      </c>
      <c r="F109" s="5" t="s">
        <v>851</v>
      </c>
      <c r="G109" s="5" t="s">
        <v>852</v>
      </c>
      <c r="H109" s="5" t="s">
        <v>853</v>
      </c>
      <c r="I109" s="5" t="s">
        <v>854</v>
      </c>
      <c r="J109" s="5" t="s">
        <v>855</v>
      </c>
      <c r="K109" s="5" t="s">
        <v>30</v>
      </c>
      <c r="L109" s="5" t="s">
        <v>319</v>
      </c>
      <c r="M109" s="5" t="s">
        <v>119</v>
      </c>
      <c r="N109" s="5" t="s">
        <v>72</v>
      </c>
      <c r="O109" s="5" t="s">
        <v>73</v>
      </c>
    </row>
    <row r="110" ht="22.5" customHeight="1">
      <c r="A110" s="4">
        <v>46027.60267636574</v>
      </c>
      <c r="B110" s="5" t="s">
        <v>337</v>
      </c>
      <c r="C110" s="5" t="s">
        <v>338</v>
      </c>
      <c r="D110" s="5" t="s">
        <v>856</v>
      </c>
      <c r="E110" s="5" t="s">
        <v>64</v>
      </c>
      <c r="F110" s="5" t="s">
        <v>857</v>
      </c>
      <c r="G110" s="5" t="s">
        <v>858</v>
      </c>
      <c r="H110" s="5" t="s">
        <v>463</v>
      </c>
      <c r="I110" s="5" t="s">
        <v>532</v>
      </c>
      <c r="J110" s="5" t="s">
        <v>859</v>
      </c>
      <c r="K110" s="5" t="s">
        <v>30</v>
      </c>
      <c r="L110" s="5" t="s">
        <v>319</v>
      </c>
      <c r="M110" s="5" t="s">
        <v>119</v>
      </c>
      <c r="N110" s="5" t="s">
        <v>72</v>
      </c>
      <c r="O110" s="5" t="s">
        <v>73</v>
      </c>
    </row>
    <row r="111" ht="22.5" customHeight="1">
      <c r="A111" s="4">
        <v>46027.65825486111</v>
      </c>
      <c r="B111" s="5" t="s">
        <v>337</v>
      </c>
      <c r="C111" s="5" t="s">
        <v>338</v>
      </c>
      <c r="D111" s="5" t="s">
        <v>337</v>
      </c>
      <c r="E111" s="5" t="s">
        <v>17</v>
      </c>
      <c r="F111" s="5" t="s">
        <v>860</v>
      </c>
      <c r="G111" s="5" t="s">
        <v>861</v>
      </c>
      <c r="H111" s="5" t="s">
        <v>862</v>
      </c>
      <c r="I111" s="5" t="s">
        <v>863</v>
      </c>
      <c r="J111" s="5" t="s">
        <v>864</v>
      </c>
      <c r="K111" s="5" t="s">
        <v>30</v>
      </c>
      <c r="L111" s="5" t="s">
        <v>319</v>
      </c>
      <c r="M111" s="5" t="s">
        <v>119</v>
      </c>
      <c r="N111" s="5" t="s">
        <v>72</v>
      </c>
      <c r="O111" s="5" t="s">
        <v>73</v>
      </c>
    </row>
    <row r="112" ht="22.5" customHeight="1">
      <c r="A112" s="4">
        <v>46027.713119224536</v>
      </c>
      <c r="B112" s="5" t="s">
        <v>865</v>
      </c>
      <c r="C112" s="5" t="s">
        <v>866</v>
      </c>
      <c r="D112" s="5" t="s">
        <v>865</v>
      </c>
      <c r="E112" s="5" t="s">
        <v>17</v>
      </c>
      <c r="F112" s="5" t="s">
        <v>867</v>
      </c>
      <c r="G112" s="5" t="s">
        <v>868</v>
      </c>
      <c r="H112" s="5" t="s">
        <v>869</v>
      </c>
      <c r="I112" s="5" t="s">
        <v>870</v>
      </c>
      <c r="J112" s="5" t="s">
        <v>871</v>
      </c>
      <c r="K112" s="5" t="s">
        <v>30</v>
      </c>
      <c r="L112" s="5" t="s">
        <v>872</v>
      </c>
      <c r="M112" s="5" t="s">
        <v>119</v>
      </c>
      <c r="N112" s="5" t="s">
        <v>181</v>
      </c>
      <c r="O112" s="5" t="s">
        <v>660</v>
      </c>
    </row>
    <row r="113" ht="22.5" customHeight="1">
      <c r="A113" s="4">
        <v>46027.86765392361</v>
      </c>
      <c r="B113" s="5" t="s">
        <v>873</v>
      </c>
      <c r="C113" s="5" t="s">
        <v>874</v>
      </c>
      <c r="D113" s="5" t="s">
        <v>873</v>
      </c>
      <c r="E113" s="5" t="s">
        <v>17</v>
      </c>
      <c r="F113" s="5" t="s">
        <v>875</v>
      </c>
      <c r="G113" s="5" t="s">
        <v>876</v>
      </c>
      <c r="H113" s="5" t="s">
        <v>877</v>
      </c>
      <c r="I113" s="5" t="s">
        <v>215</v>
      </c>
      <c r="J113" s="5" t="s">
        <v>461</v>
      </c>
      <c r="K113" s="5" t="s">
        <v>162</v>
      </c>
      <c r="L113" s="5" t="s">
        <v>878</v>
      </c>
      <c r="M113" s="5" t="s">
        <v>119</v>
      </c>
      <c r="N113" s="5" t="s">
        <v>548</v>
      </c>
      <c r="O113" s="5" t="s">
        <v>566</v>
      </c>
    </row>
    <row r="114" ht="22.5" customHeight="1">
      <c r="A114" s="4">
        <v>46027.92606827546</v>
      </c>
      <c r="B114" s="5" t="s">
        <v>683</v>
      </c>
      <c r="C114" s="5" t="s">
        <v>684</v>
      </c>
      <c r="D114" s="5" t="s">
        <v>683</v>
      </c>
      <c r="E114" s="5" t="s">
        <v>64</v>
      </c>
      <c r="F114" s="5" t="s">
        <v>879</v>
      </c>
      <c r="G114" s="5" t="s">
        <v>880</v>
      </c>
      <c r="H114" s="5" t="s">
        <v>881</v>
      </c>
      <c r="I114" s="5" t="s">
        <v>171</v>
      </c>
      <c r="J114" s="5" t="s">
        <v>882</v>
      </c>
      <c r="K114" s="5" t="s">
        <v>30</v>
      </c>
      <c r="L114" s="5" t="s">
        <v>145</v>
      </c>
      <c r="M114" s="5" t="s">
        <v>61</v>
      </c>
      <c r="N114" s="5" t="s">
        <v>51</v>
      </c>
      <c r="O114" s="5" t="s">
        <v>52</v>
      </c>
    </row>
    <row r="115" ht="22.5" customHeight="1">
      <c r="A115" s="4">
        <v>46028.362175428236</v>
      </c>
      <c r="B115" s="5" t="s">
        <v>883</v>
      </c>
      <c r="C115" s="5" t="s">
        <v>884</v>
      </c>
      <c r="D115" s="5" t="s">
        <v>883</v>
      </c>
      <c r="E115" s="5" t="s">
        <v>17</v>
      </c>
      <c r="F115" s="5" t="s">
        <v>885</v>
      </c>
      <c r="G115" s="5" t="s">
        <v>886</v>
      </c>
      <c r="H115" s="5" t="s">
        <v>887</v>
      </c>
      <c r="I115" s="5" t="s">
        <v>888</v>
      </c>
      <c r="J115" s="5" t="s">
        <v>889</v>
      </c>
      <c r="K115" s="5" t="s">
        <v>162</v>
      </c>
      <c r="L115" s="5" t="s">
        <v>890</v>
      </c>
      <c r="M115" s="5" t="s">
        <v>436</v>
      </c>
      <c r="N115" s="5" t="s">
        <v>891</v>
      </c>
      <c r="O115" s="5" t="s">
        <v>892</v>
      </c>
    </row>
    <row r="116" ht="22.5" customHeight="1">
      <c r="A116" s="4">
        <v>46029.880770625</v>
      </c>
      <c r="B116" s="5" t="s">
        <v>893</v>
      </c>
      <c r="C116" s="5" t="s">
        <v>894</v>
      </c>
      <c r="D116" s="5" t="s">
        <v>893</v>
      </c>
      <c r="E116" s="5" t="s">
        <v>17</v>
      </c>
      <c r="F116" s="5" t="s">
        <v>895</v>
      </c>
      <c r="G116" s="5" t="s">
        <v>896</v>
      </c>
      <c r="H116" s="5" t="s">
        <v>897</v>
      </c>
      <c r="I116" s="5" t="s">
        <v>898</v>
      </c>
      <c r="J116" s="5" t="s">
        <v>899</v>
      </c>
      <c r="K116" s="5" t="s">
        <v>23</v>
      </c>
      <c r="L116" s="5" t="s">
        <v>900</v>
      </c>
      <c r="M116" s="5" t="s">
        <v>172</v>
      </c>
      <c r="N116" s="5" t="s">
        <v>734</v>
      </c>
      <c r="O116" s="5" t="s">
        <v>182</v>
      </c>
    </row>
    <row r="117" ht="22.5" customHeight="1">
      <c r="A117" s="4">
        <v>46028.72968936343</v>
      </c>
      <c r="B117" s="5" t="s">
        <v>901</v>
      </c>
      <c r="C117" s="5" t="s">
        <v>684</v>
      </c>
      <c r="D117" s="5" t="s">
        <v>901</v>
      </c>
      <c r="E117" s="5" t="s">
        <v>64</v>
      </c>
      <c r="F117" s="5" t="s">
        <v>902</v>
      </c>
      <c r="G117" s="5" t="s">
        <v>903</v>
      </c>
      <c r="H117" s="5" t="s">
        <v>904</v>
      </c>
      <c r="I117" s="5" t="s">
        <v>905</v>
      </c>
      <c r="J117" s="5" t="s">
        <v>906</v>
      </c>
      <c r="K117" s="5" t="s">
        <v>30</v>
      </c>
      <c r="L117" s="5" t="s">
        <v>907</v>
      </c>
      <c r="M117" s="5" t="s">
        <v>61</v>
      </c>
      <c r="N117" s="5" t="s">
        <v>51</v>
      </c>
      <c r="O117" s="5" t="s">
        <v>52</v>
      </c>
    </row>
    <row r="118" ht="22.5" customHeight="1">
      <c r="A118" s="4">
        <v>46028.76274229167</v>
      </c>
      <c r="B118" s="5" t="s">
        <v>387</v>
      </c>
      <c r="C118" s="5" t="s">
        <v>908</v>
      </c>
      <c r="D118" s="5" t="s">
        <v>387</v>
      </c>
      <c r="E118" s="5" t="s">
        <v>17</v>
      </c>
      <c r="F118" s="5" t="s">
        <v>909</v>
      </c>
      <c r="G118" s="5" t="s">
        <v>910</v>
      </c>
      <c r="H118" s="5" t="s">
        <v>911</v>
      </c>
      <c r="I118" s="5" t="s">
        <v>912</v>
      </c>
      <c r="J118" s="5" t="s">
        <v>913</v>
      </c>
      <c r="K118" s="5" t="s">
        <v>30</v>
      </c>
      <c r="L118" s="5" t="s">
        <v>914</v>
      </c>
      <c r="M118" s="5" t="s">
        <v>456</v>
      </c>
      <c r="N118" s="5" t="s">
        <v>51</v>
      </c>
      <c r="O118" s="5" t="s">
        <v>52</v>
      </c>
    </row>
    <row r="119" ht="22.5" customHeight="1">
      <c r="A119" s="4">
        <v>46028.80783651621</v>
      </c>
      <c r="B119" s="5" t="s">
        <v>915</v>
      </c>
      <c r="C119" s="5" t="s">
        <v>916</v>
      </c>
      <c r="D119" s="5" t="s">
        <v>915</v>
      </c>
      <c r="E119" s="5" t="s">
        <v>64</v>
      </c>
      <c r="F119" s="5" t="s">
        <v>917</v>
      </c>
      <c r="G119" s="5" t="s">
        <v>918</v>
      </c>
      <c r="H119" s="5" t="s">
        <v>919</v>
      </c>
      <c r="I119" s="5" t="s">
        <v>920</v>
      </c>
      <c r="J119" s="5" t="s">
        <v>921</v>
      </c>
      <c r="K119" s="5" t="s">
        <v>30</v>
      </c>
      <c r="L119" s="5" t="s">
        <v>922</v>
      </c>
      <c r="M119" s="5" t="s">
        <v>31</v>
      </c>
      <c r="N119" s="5" t="s">
        <v>51</v>
      </c>
      <c r="O119" s="5" t="s">
        <v>52</v>
      </c>
    </row>
    <row r="120" ht="22.5" customHeight="1">
      <c r="A120" s="4">
        <v>46028.81122721065</v>
      </c>
      <c r="B120" s="5" t="s">
        <v>703</v>
      </c>
      <c r="C120" s="5" t="s">
        <v>704</v>
      </c>
      <c r="D120" s="5" t="s">
        <v>703</v>
      </c>
      <c r="E120" s="5" t="s">
        <v>64</v>
      </c>
      <c r="F120" s="5" t="s">
        <v>923</v>
      </c>
      <c r="G120" s="5" t="s">
        <v>924</v>
      </c>
      <c r="H120" s="5" t="s">
        <v>919</v>
      </c>
      <c r="I120" s="5" t="s">
        <v>921</v>
      </c>
      <c r="J120" s="5" t="s">
        <v>925</v>
      </c>
      <c r="K120" s="5" t="s">
        <v>30</v>
      </c>
      <c r="L120" s="5" t="s">
        <v>926</v>
      </c>
      <c r="M120" s="5" t="s">
        <v>71</v>
      </c>
      <c r="N120" s="5" t="s">
        <v>51</v>
      </c>
      <c r="O120" s="5" t="s">
        <v>52</v>
      </c>
    </row>
    <row r="121" ht="22.5" customHeight="1">
      <c r="A121" s="4">
        <v>46028.84384105324</v>
      </c>
      <c r="B121" s="5" t="s">
        <v>927</v>
      </c>
      <c r="C121" s="5" t="s">
        <v>928</v>
      </c>
      <c r="D121" s="5" t="s">
        <v>927</v>
      </c>
      <c r="E121" s="5" t="s">
        <v>64</v>
      </c>
      <c r="F121" s="5" t="s">
        <v>929</v>
      </c>
      <c r="G121" s="5" t="s">
        <v>930</v>
      </c>
      <c r="H121" s="5" t="s">
        <v>931</v>
      </c>
      <c r="I121" s="5" t="s">
        <v>932</v>
      </c>
      <c r="J121" s="5" t="s">
        <v>933</v>
      </c>
      <c r="K121" s="5" t="s">
        <v>30</v>
      </c>
      <c r="L121" s="5" t="s">
        <v>934</v>
      </c>
      <c r="M121" s="5" t="s">
        <v>119</v>
      </c>
      <c r="N121" s="5" t="s">
        <v>51</v>
      </c>
      <c r="O121" s="5" t="s">
        <v>52</v>
      </c>
    </row>
    <row r="122" ht="22.5" customHeight="1">
      <c r="A122" s="4">
        <v>46028.84881196759</v>
      </c>
      <c r="B122" s="5" t="s">
        <v>927</v>
      </c>
      <c r="C122" s="5" t="s">
        <v>928</v>
      </c>
      <c r="D122" s="5" t="s">
        <v>927</v>
      </c>
      <c r="E122" s="5" t="s">
        <v>64</v>
      </c>
      <c r="F122" s="5" t="s">
        <v>935</v>
      </c>
      <c r="G122" s="5" t="s">
        <v>936</v>
      </c>
      <c r="H122" s="5" t="s">
        <v>937</v>
      </c>
      <c r="I122" s="5" t="s">
        <v>938</v>
      </c>
      <c r="J122" s="5" t="s">
        <v>274</v>
      </c>
      <c r="K122" s="5" t="s">
        <v>30</v>
      </c>
      <c r="L122" s="5" t="s">
        <v>934</v>
      </c>
      <c r="M122" s="5" t="s">
        <v>119</v>
      </c>
      <c r="N122" s="5" t="s">
        <v>51</v>
      </c>
      <c r="O122" s="5" t="s">
        <v>52</v>
      </c>
    </row>
    <row r="123" ht="22.5" customHeight="1">
      <c r="A123" s="4">
        <v>46028.89950480324</v>
      </c>
      <c r="B123" s="5" t="s">
        <v>939</v>
      </c>
      <c r="C123" s="5" t="s">
        <v>940</v>
      </c>
      <c r="D123" s="5" t="s">
        <v>939</v>
      </c>
      <c r="E123" s="5" t="s">
        <v>17</v>
      </c>
      <c r="F123" s="5" t="s">
        <v>941</v>
      </c>
      <c r="G123" s="5" t="s">
        <v>942</v>
      </c>
      <c r="H123" s="5" t="s">
        <v>943</v>
      </c>
      <c r="I123" s="5" t="s">
        <v>944</v>
      </c>
      <c r="J123" s="5" t="s">
        <v>945</v>
      </c>
      <c r="K123" s="5" t="s">
        <v>162</v>
      </c>
      <c r="L123" s="5" t="s">
        <v>946</v>
      </c>
      <c r="M123" s="5" t="s">
        <v>25</v>
      </c>
      <c r="N123" s="5" t="s">
        <v>947</v>
      </c>
      <c r="O123" s="5" t="s">
        <v>948</v>
      </c>
    </row>
    <row r="124" ht="22.5" customHeight="1">
      <c r="A124" s="4">
        <v>46028.98494490741</v>
      </c>
      <c r="B124" s="5" t="s">
        <v>949</v>
      </c>
      <c r="C124" s="5" t="s">
        <v>950</v>
      </c>
      <c r="D124" s="5" t="s">
        <v>949</v>
      </c>
      <c r="E124" s="5" t="s">
        <v>17</v>
      </c>
      <c r="F124" s="5" t="s">
        <v>951</v>
      </c>
      <c r="G124" s="5" t="s">
        <v>952</v>
      </c>
      <c r="H124" s="5" t="s">
        <v>953</v>
      </c>
      <c r="I124" s="5" t="s">
        <v>954</v>
      </c>
      <c r="J124" s="5" t="s">
        <v>955</v>
      </c>
      <c r="K124" s="5" t="s">
        <v>162</v>
      </c>
      <c r="L124" s="5" t="s">
        <v>956</v>
      </c>
      <c r="M124" s="5" t="s">
        <v>61</v>
      </c>
      <c r="N124" s="5" t="s">
        <v>181</v>
      </c>
      <c r="O124" s="5" t="s">
        <v>957</v>
      </c>
    </row>
    <row r="125" ht="22.5" customHeight="1">
      <c r="A125" s="4">
        <v>46029.760711689814</v>
      </c>
      <c r="B125" s="5" t="s">
        <v>927</v>
      </c>
      <c r="C125" s="5" t="s">
        <v>928</v>
      </c>
      <c r="D125" s="5" t="s">
        <v>927</v>
      </c>
      <c r="E125" s="5" t="s">
        <v>64</v>
      </c>
      <c r="F125" s="5" t="s">
        <v>958</v>
      </c>
      <c r="G125" s="5" t="s">
        <v>959</v>
      </c>
      <c r="H125" s="5" t="s">
        <v>960</v>
      </c>
      <c r="I125" s="5" t="s">
        <v>178</v>
      </c>
      <c r="J125" s="5" t="s">
        <v>961</v>
      </c>
      <c r="K125" s="5" t="s">
        <v>30</v>
      </c>
      <c r="L125" s="5" t="s">
        <v>934</v>
      </c>
      <c r="M125" s="5" t="s">
        <v>119</v>
      </c>
      <c r="N125" s="5" t="s">
        <v>51</v>
      </c>
      <c r="O125" s="5" t="s">
        <v>52</v>
      </c>
    </row>
    <row r="126" ht="22.5" customHeight="1">
      <c r="A126" s="4">
        <v>46029.90589017361</v>
      </c>
      <c r="B126" s="5" t="s">
        <v>962</v>
      </c>
      <c r="C126" s="5" t="s">
        <v>963</v>
      </c>
      <c r="D126" s="5" t="s">
        <v>964</v>
      </c>
      <c r="E126" s="5" t="s">
        <v>17</v>
      </c>
      <c r="F126" s="5" t="s">
        <v>965</v>
      </c>
      <c r="G126" s="5" t="s">
        <v>966</v>
      </c>
      <c r="H126" s="5" t="s">
        <v>967</v>
      </c>
      <c r="I126" s="5" t="s">
        <v>968</v>
      </c>
      <c r="J126" s="5" t="s">
        <v>969</v>
      </c>
      <c r="K126" s="5" t="s">
        <v>30</v>
      </c>
      <c r="L126" s="5" t="s">
        <v>970</v>
      </c>
      <c r="M126" s="5" t="s">
        <v>119</v>
      </c>
      <c r="N126" s="5" t="s">
        <v>971</v>
      </c>
      <c r="O126" s="5" t="s">
        <v>972</v>
      </c>
    </row>
    <row r="127" ht="22.5" customHeight="1">
      <c r="A127" s="4">
        <v>46029.90219987268</v>
      </c>
      <c r="B127" s="5" t="s">
        <v>973</v>
      </c>
      <c r="C127" s="5" t="s">
        <v>974</v>
      </c>
      <c r="D127" s="5" t="s">
        <v>973</v>
      </c>
      <c r="E127" s="5" t="s">
        <v>17</v>
      </c>
      <c r="F127" s="5" t="s">
        <v>975</v>
      </c>
      <c r="G127" s="5" t="s">
        <v>976</v>
      </c>
      <c r="H127" s="5" t="s">
        <v>977</v>
      </c>
      <c r="I127" s="5" t="s">
        <v>978</v>
      </c>
      <c r="J127" s="5" t="s">
        <v>979</v>
      </c>
      <c r="K127" s="5" t="s">
        <v>30</v>
      </c>
      <c r="L127" s="5" t="s">
        <v>81</v>
      </c>
      <c r="M127" s="5" t="s">
        <v>119</v>
      </c>
      <c r="N127" s="5" t="s">
        <v>51</v>
      </c>
      <c r="O127" s="5" t="s">
        <v>73</v>
      </c>
    </row>
    <row r="128" ht="22.5" customHeight="1">
      <c r="A128" s="4">
        <v>46032.67451736111</v>
      </c>
      <c r="B128" s="5" t="s">
        <v>980</v>
      </c>
      <c r="C128" s="5" t="s">
        <v>981</v>
      </c>
      <c r="D128" s="5" t="s">
        <v>982</v>
      </c>
      <c r="E128" s="5" t="s">
        <v>64</v>
      </c>
      <c r="F128" s="5" t="s">
        <v>983</v>
      </c>
      <c r="G128" s="5" t="s">
        <v>984</v>
      </c>
      <c r="H128" s="5" t="s">
        <v>985</v>
      </c>
      <c r="I128" s="5" t="s">
        <v>986</v>
      </c>
      <c r="J128" s="5" t="s">
        <v>987</v>
      </c>
      <c r="K128" s="5" t="s">
        <v>30</v>
      </c>
      <c r="L128" s="5" t="s">
        <v>988</v>
      </c>
      <c r="M128" s="5" t="s">
        <v>119</v>
      </c>
      <c r="N128" s="5" t="s">
        <v>72</v>
      </c>
      <c r="O128" s="5" t="s">
        <v>73</v>
      </c>
    </row>
    <row r="129" ht="22.5" customHeight="1">
      <c r="A129" s="4">
        <v>46030.2501334838</v>
      </c>
      <c r="B129" s="5" t="s">
        <v>989</v>
      </c>
      <c r="C129" s="5" t="s">
        <v>990</v>
      </c>
      <c r="D129" s="5" t="s">
        <v>991</v>
      </c>
      <c r="E129" s="5" t="s">
        <v>17</v>
      </c>
      <c r="F129" s="5" t="s">
        <v>992</v>
      </c>
      <c r="G129" s="5" t="s">
        <v>993</v>
      </c>
      <c r="H129" s="5" t="s">
        <v>994</v>
      </c>
      <c r="I129" s="5" t="s">
        <v>995</v>
      </c>
      <c r="J129" s="5" t="s">
        <v>996</v>
      </c>
      <c r="K129" s="5" t="s">
        <v>30</v>
      </c>
      <c r="L129" s="5" t="s">
        <v>997</v>
      </c>
      <c r="M129" s="5" t="s">
        <v>25</v>
      </c>
      <c r="N129" s="5" t="s">
        <v>51</v>
      </c>
      <c r="O129" s="5" t="s">
        <v>73</v>
      </c>
    </row>
    <row r="130" ht="22.5" customHeight="1">
      <c r="A130" s="4">
        <v>46030.80529700231</v>
      </c>
      <c r="B130" s="5" t="s">
        <v>998</v>
      </c>
      <c r="C130" s="5" t="s">
        <v>999</v>
      </c>
      <c r="D130" s="5" t="s">
        <v>998</v>
      </c>
      <c r="E130" s="5" t="s">
        <v>64</v>
      </c>
      <c r="F130" s="5" t="s">
        <v>1000</v>
      </c>
      <c r="G130" s="5" t="s">
        <v>1001</v>
      </c>
      <c r="H130" s="5" t="s">
        <v>1002</v>
      </c>
      <c r="I130" s="5" t="s">
        <v>1003</v>
      </c>
      <c r="J130" s="5" t="s">
        <v>1004</v>
      </c>
      <c r="K130" s="5" t="s">
        <v>30</v>
      </c>
      <c r="L130" s="5" t="s">
        <v>1005</v>
      </c>
      <c r="M130" s="5" t="s">
        <v>71</v>
      </c>
      <c r="N130" s="5" t="s">
        <v>51</v>
      </c>
      <c r="O130" s="5" t="s">
        <v>52</v>
      </c>
    </row>
    <row r="131" ht="22.5" customHeight="1">
      <c r="A131" s="4">
        <v>46030.8079758449</v>
      </c>
      <c r="B131" s="5" t="s">
        <v>998</v>
      </c>
      <c r="C131" s="5" t="s">
        <v>999</v>
      </c>
      <c r="D131" s="5" t="s">
        <v>998</v>
      </c>
      <c r="E131" s="5" t="s">
        <v>64</v>
      </c>
      <c r="F131" s="5" t="s">
        <v>1006</v>
      </c>
      <c r="G131" s="5" t="s">
        <v>1007</v>
      </c>
      <c r="H131" s="5" t="s">
        <v>1008</v>
      </c>
      <c r="I131" s="5" t="s">
        <v>1009</v>
      </c>
      <c r="J131" s="5" t="s">
        <v>1010</v>
      </c>
      <c r="K131" s="5" t="s">
        <v>30</v>
      </c>
      <c r="L131" s="5" t="s">
        <v>934</v>
      </c>
      <c r="M131" s="5" t="s">
        <v>71</v>
      </c>
      <c r="N131" s="5" t="s">
        <v>51</v>
      </c>
      <c r="O131" s="5" t="s">
        <v>52</v>
      </c>
    </row>
    <row r="132" ht="22.5" customHeight="1">
      <c r="A132" s="4">
        <v>46030.86436047454</v>
      </c>
      <c r="B132" s="5" t="s">
        <v>1011</v>
      </c>
      <c r="C132" s="5" t="s">
        <v>1012</v>
      </c>
      <c r="D132" s="5" t="s">
        <v>1011</v>
      </c>
      <c r="E132" s="5" t="s">
        <v>17</v>
      </c>
      <c r="F132" s="5" t="s">
        <v>1013</v>
      </c>
      <c r="G132" s="5" t="s">
        <v>1014</v>
      </c>
      <c r="H132" s="5" t="s">
        <v>1015</v>
      </c>
      <c r="I132" s="5" t="s">
        <v>1016</v>
      </c>
      <c r="J132" s="5" t="s">
        <v>1017</v>
      </c>
      <c r="K132" s="5" t="s">
        <v>30</v>
      </c>
      <c r="L132" s="5" t="s">
        <v>1018</v>
      </c>
      <c r="M132" s="5" t="s">
        <v>119</v>
      </c>
      <c r="N132" s="5" t="s">
        <v>1019</v>
      </c>
      <c r="O132" s="5" t="s">
        <v>1020</v>
      </c>
    </row>
    <row r="133" ht="22.5" customHeight="1">
      <c r="A133" s="4">
        <v>46030.967444548616</v>
      </c>
      <c r="B133" s="5" t="s">
        <v>1021</v>
      </c>
      <c r="C133" s="5" t="s">
        <v>1022</v>
      </c>
      <c r="D133" s="5" t="s">
        <v>1021</v>
      </c>
      <c r="E133" s="5" t="s">
        <v>17</v>
      </c>
      <c r="F133" s="5" t="s">
        <v>1023</v>
      </c>
      <c r="G133" s="5" t="s">
        <v>1024</v>
      </c>
      <c r="H133" s="5" t="s">
        <v>1025</v>
      </c>
      <c r="I133" s="5" t="s">
        <v>1026</v>
      </c>
      <c r="J133" s="5" t="s">
        <v>1027</v>
      </c>
      <c r="K133" s="5" t="s">
        <v>23</v>
      </c>
      <c r="L133" s="5" t="s">
        <v>445</v>
      </c>
      <c r="M133" s="5" t="s">
        <v>119</v>
      </c>
      <c r="N133" s="5" t="s">
        <v>51</v>
      </c>
      <c r="O133" s="5" t="s">
        <v>1028</v>
      </c>
    </row>
    <row r="134" ht="22.5" customHeight="1">
      <c r="A134" s="4">
        <v>46031.41039965278</v>
      </c>
      <c r="B134" s="5" t="s">
        <v>1029</v>
      </c>
      <c r="C134" s="5" t="s">
        <v>1030</v>
      </c>
      <c r="D134" s="5" t="s">
        <v>1029</v>
      </c>
      <c r="E134" s="5" t="s">
        <v>17</v>
      </c>
      <c r="F134" s="5" t="s">
        <v>1031</v>
      </c>
      <c r="G134" s="5" t="s">
        <v>1032</v>
      </c>
      <c r="H134" s="5" t="s">
        <v>1033</v>
      </c>
      <c r="I134" s="5" t="s">
        <v>1034</v>
      </c>
      <c r="J134" s="5" t="s">
        <v>1035</v>
      </c>
      <c r="K134" s="5" t="s">
        <v>30</v>
      </c>
      <c r="L134" s="5" t="s">
        <v>1036</v>
      </c>
      <c r="M134" s="5" t="s">
        <v>1037</v>
      </c>
      <c r="N134" s="5" t="s">
        <v>51</v>
      </c>
      <c r="O134" s="5" t="s">
        <v>446</v>
      </c>
    </row>
    <row r="135" ht="22.5" customHeight="1">
      <c r="A135" s="4">
        <v>46031.809903437505</v>
      </c>
      <c r="B135" s="5" t="s">
        <v>1038</v>
      </c>
      <c r="C135" s="5" t="s">
        <v>1039</v>
      </c>
      <c r="D135" s="5" t="s">
        <v>1038</v>
      </c>
      <c r="E135" s="5" t="s">
        <v>17</v>
      </c>
      <c r="F135" s="5" t="s">
        <v>1040</v>
      </c>
      <c r="G135" s="5" t="s">
        <v>1041</v>
      </c>
      <c r="H135" s="5" t="s">
        <v>1042</v>
      </c>
      <c r="I135" s="5" t="s">
        <v>1043</v>
      </c>
      <c r="J135" s="5" t="s">
        <v>1044</v>
      </c>
      <c r="K135" s="5" t="s">
        <v>162</v>
      </c>
      <c r="L135" s="5" t="s">
        <v>1045</v>
      </c>
      <c r="M135" s="5" t="s">
        <v>61</v>
      </c>
      <c r="N135" s="5" t="s">
        <v>267</v>
      </c>
      <c r="O135" s="5" t="s">
        <v>267</v>
      </c>
    </row>
    <row r="136" ht="22.5" customHeight="1">
      <c r="A136" s="4">
        <v>46031.814995023145</v>
      </c>
      <c r="B136" s="5" t="s">
        <v>1046</v>
      </c>
      <c r="C136" s="5" t="s">
        <v>1047</v>
      </c>
      <c r="D136" s="5" t="s">
        <v>1046</v>
      </c>
      <c r="E136" s="5" t="s">
        <v>64</v>
      </c>
      <c r="F136" s="5" t="s">
        <v>1048</v>
      </c>
      <c r="G136" s="5" t="s">
        <v>1049</v>
      </c>
      <c r="H136" s="5" t="s">
        <v>384</v>
      </c>
      <c r="I136" s="5" t="s">
        <v>1050</v>
      </c>
      <c r="J136" s="5" t="s">
        <v>1051</v>
      </c>
      <c r="K136" s="5" t="s">
        <v>23</v>
      </c>
      <c r="L136" s="5" t="s">
        <v>1052</v>
      </c>
      <c r="M136" s="5" t="s">
        <v>456</v>
      </c>
      <c r="N136" s="5" t="s">
        <v>1053</v>
      </c>
      <c r="O136" s="5" t="s">
        <v>1053</v>
      </c>
    </row>
    <row r="137" ht="22.5" customHeight="1">
      <c r="A137" s="4">
        <v>46031.869181030095</v>
      </c>
      <c r="B137" s="5" t="s">
        <v>1054</v>
      </c>
      <c r="C137" s="5" t="s">
        <v>1055</v>
      </c>
      <c r="D137" s="5" t="s">
        <v>1054</v>
      </c>
      <c r="E137" s="5" t="s">
        <v>17</v>
      </c>
      <c r="F137" s="5" t="s">
        <v>1056</v>
      </c>
      <c r="G137" s="5" t="s">
        <v>1057</v>
      </c>
      <c r="H137" s="5" t="s">
        <v>1058</v>
      </c>
      <c r="I137" s="5" t="s">
        <v>1059</v>
      </c>
      <c r="J137" s="5" t="s">
        <v>1060</v>
      </c>
      <c r="K137" s="5" t="s">
        <v>23</v>
      </c>
      <c r="L137" s="5" t="s">
        <v>1061</v>
      </c>
      <c r="M137" s="5" t="s">
        <v>71</v>
      </c>
      <c r="N137" s="5" t="s">
        <v>181</v>
      </c>
      <c r="O137" s="5" t="s">
        <v>660</v>
      </c>
    </row>
    <row r="138" ht="22.5" customHeight="1">
      <c r="A138" s="4">
        <v>46031.951022002315</v>
      </c>
      <c r="B138" s="5" t="s">
        <v>1062</v>
      </c>
      <c r="C138" s="5" t="s">
        <v>1063</v>
      </c>
      <c r="D138" s="5" t="s">
        <v>1062</v>
      </c>
      <c r="E138" s="5" t="s">
        <v>64</v>
      </c>
      <c r="F138" s="5" t="s">
        <v>1064</v>
      </c>
      <c r="G138" s="5" t="s">
        <v>1065</v>
      </c>
      <c r="H138" s="5" t="s">
        <v>1066</v>
      </c>
      <c r="I138" s="5" t="s">
        <v>51</v>
      </c>
      <c r="J138" s="5" t="s">
        <v>1067</v>
      </c>
      <c r="K138" s="5" t="s">
        <v>162</v>
      </c>
      <c r="L138" s="5" t="s">
        <v>1068</v>
      </c>
      <c r="M138" s="5" t="s">
        <v>25</v>
      </c>
      <c r="N138" s="5" t="s">
        <v>1069</v>
      </c>
      <c r="O138" s="5" t="s">
        <v>1070</v>
      </c>
    </row>
    <row r="139" ht="22.5" customHeight="1">
      <c r="A139" s="4">
        <v>46032.17244997685</v>
      </c>
      <c r="B139" s="5" t="s">
        <v>508</v>
      </c>
      <c r="C139" s="5" t="s">
        <v>1071</v>
      </c>
      <c r="D139" s="5" t="s">
        <v>508</v>
      </c>
      <c r="E139" s="5" t="s">
        <v>17</v>
      </c>
      <c r="F139" s="5" t="s">
        <v>510</v>
      </c>
      <c r="G139" s="5" t="s">
        <v>1072</v>
      </c>
      <c r="H139" s="5" t="s">
        <v>512</v>
      </c>
      <c r="I139" s="5" t="s">
        <v>1073</v>
      </c>
      <c r="J139" s="5" t="s">
        <v>1074</v>
      </c>
      <c r="K139" s="5" t="s">
        <v>30</v>
      </c>
      <c r="L139" s="5" t="s">
        <v>1075</v>
      </c>
      <c r="M139" s="5" t="s">
        <v>119</v>
      </c>
      <c r="N139" s="5" t="s">
        <v>51</v>
      </c>
      <c r="O139" s="5" t="s">
        <v>52</v>
      </c>
    </row>
    <row r="140" ht="22.5" customHeight="1">
      <c r="A140" s="4">
        <v>46032.187756168976</v>
      </c>
      <c r="B140" s="5" t="s">
        <v>1076</v>
      </c>
      <c r="C140" s="5" t="s">
        <v>1077</v>
      </c>
      <c r="D140" s="5" t="s">
        <v>1076</v>
      </c>
      <c r="E140" s="5" t="s">
        <v>17</v>
      </c>
      <c r="F140" s="5" t="s">
        <v>1078</v>
      </c>
      <c r="G140" s="5" t="s">
        <v>1079</v>
      </c>
      <c r="H140" s="5" t="s">
        <v>1080</v>
      </c>
      <c r="I140" s="5" t="s">
        <v>21</v>
      </c>
      <c r="J140" s="5" t="s">
        <v>607</v>
      </c>
      <c r="K140" s="5" t="s">
        <v>23</v>
      </c>
      <c r="L140" s="5" t="s">
        <v>1081</v>
      </c>
      <c r="M140" s="5" t="s">
        <v>61</v>
      </c>
      <c r="N140" s="5" t="s">
        <v>1019</v>
      </c>
      <c r="O140" s="5" t="s">
        <v>1020</v>
      </c>
    </row>
    <row r="141" ht="22.5" customHeight="1">
      <c r="A141" s="4">
        <v>46032.21051979167</v>
      </c>
      <c r="B141" s="5" t="s">
        <v>1082</v>
      </c>
      <c r="C141" s="5" t="s">
        <v>1083</v>
      </c>
      <c r="D141" s="5" t="s">
        <v>1082</v>
      </c>
      <c r="E141" s="5" t="s">
        <v>17</v>
      </c>
      <c r="F141" s="5" t="s">
        <v>1084</v>
      </c>
      <c r="G141" s="5" t="s">
        <v>1085</v>
      </c>
      <c r="H141" s="5" t="s">
        <v>38</v>
      </c>
      <c r="I141" s="5" t="s">
        <v>1086</v>
      </c>
      <c r="J141" s="5" t="s">
        <v>1087</v>
      </c>
      <c r="K141" s="5" t="s">
        <v>162</v>
      </c>
      <c r="L141" s="5" t="s">
        <v>1088</v>
      </c>
      <c r="M141" s="5" t="s">
        <v>119</v>
      </c>
      <c r="N141" s="5" t="s">
        <v>40</v>
      </c>
      <c r="O141" s="5" t="s">
        <v>40</v>
      </c>
    </row>
    <row r="142" ht="22.5" customHeight="1">
      <c r="A142" s="4">
        <v>46032.212561168984</v>
      </c>
      <c r="B142" s="5" t="s">
        <v>1089</v>
      </c>
      <c r="C142" s="5" t="s">
        <v>1090</v>
      </c>
      <c r="D142" s="5" t="s">
        <v>1089</v>
      </c>
      <c r="E142" s="5" t="s">
        <v>17</v>
      </c>
      <c r="F142" s="5" t="s">
        <v>1091</v>
      </c>
      <c r="G142" s="5" t="s">
        <v>1092</v>
      </c>
      <c r="H142" s="5" t="s">
        <v>1093</v>
      </c>
      <c r="I142" s="5" t="s">
        <v>1094</v>
      </c>
      <c r="J142" s="5" t="s">
        <v>1095</v>
      </c>
      <c r="K142" s="5" t="s">
        <v>30</v>
      </c>
      <c r="L142" s="5" t="s">
        <v>1096</v>
      </c>
      <c r="M142" s="5" t="s">
        <v>119</v>
      </c>
      <c r="N142" s="5" t="s">
        <v>51</v>
      </c>
      <c r="O142" s="5" t="s">
        <v>52</v>
      </c>
    </row>
    <row r="143" ht="22.5" customHeight="1">
      <c r="A143" s="4">
        <v>46032.36972662037</v>
      </c>
      <c r="B143" s="5" t="s">
        <v>1097</v>
      </c>
      <c r="C143" s="5" t="s">
        <v>1098</v>
      </c>
      <c r="D143" s="5" t="s">
        <v>1097</v>
      </c>
      <c r="E143" s="5" t="s">
        <v>17</v>
      </c>
      <c r="F143" s="5" t="s">
        <v>1099</v>
      </c>
      <c r="G143" s="5" t="s">
        <v>1100</v>
      </c>
      <c r="H143" s="5" t="s">
        <v>1101</v>
      </c>
      <c r="I143" s="5" t="s">
        <v>1102</v>
      </c>
      <c r="J143" s="5" t="s">
        <v>1103</v>
      </c>
      <c r="K143" s="5" t="s">
        <v>30</v>
      </c>
      <c r="L143" s="5" t="s">
        <v>1045</v>
      </c>
      <c r="M143" s="5" t="s">
        <v>119</v>
      </c>
      <c r="N143" s="5" t="s">
        <v>267</v>
      </c>
      <c r="O143" s="5" t="s">
        <v>268</v>
      </c>
    </row>
    <row r="144" ht="22.5" customHeight="1">
      <c r="A144" s="4">
        <v>46032.79998239584</v>
      </c>
      <c r="B144" s="5" t="s">
        <v>1104</v>
      </c>
      <c r="C144" s="5" t="s">
        <v>1105</v>
      </c>
      <c r="D144" s="5" t="s">
        <v>1104</v>
      </c>
      <c r="E144" s="5" t="s">
        <v>17</v>
      </c>
      <c r="F144" s="5" t="s">
        <v>1106</v>
      </c>
      <c r="G144" s="5" t="s">
        <v>1107</v>
      </c>
      <c r="H144" s="5" t="s">
        <v>470</v>
      </c>
      <c r="I144" s="5" t="s">
        <v>21</v>
      </c>
      <c r="J144" s="5" t="s">
        <v>1108</v>
      </c>
      <c r="K144" s="5" t="s">
        <v>30</v>
      </c>
      <c r="L144" s="5" t="s">
        <v>1109</v>
      </c>
      <c r="M144" s="5" t="s">
        <v>61</v>
      </c>
      <c r="N144" s="5" t="s">
        <v>181</v>
      </c>
      <c r="O144" s="5" t="s">
        <v>660</v>
      </c>
    </row>
    <row r="145" ht="22.5" customHeight="1">
      <c r="A145" s="4">
        <v>46032.968326030095</v>
      </c>
      <c r="B145" s="5" t="s">
        <v>1110</v>
      </c>
      <c r="C145" s="5" t="s">
        <v>1111</v>
      </c>
      <c r="D145" s="5" t="s">
        <v>1110</v>
      </c>
      <c r="E145" s="5" t="s">
        <v>17</v>
      </c>
      <c r="F145" s="5" t="s">
        <v>1112</v>
      </c>
      <c r="G145" s="5" t="s">
        <v>1113</v>
      </c>
      <c r="H145" s="5" t="s">
        <v>142</v>
      </c>
      <c r="I145" s="5" t="s">
        <v>1114</v>
      </c>
      <c r="J145" s="5" t="s">
        <v>1115</v>
      </c>
      <c r="K145" s="5" t="s">
        <v>162</v>
      </c>
      <c r="L145" s="5" t="s">
        <v>1116</v>
      </c>
      <c r="M145" s="5" t="s">
        <v>119</v>
      </c>
      <c r="N145" s="5" t="s">
        <v>446</v>
      </c>
      <c r="O145" s="5" t="s">
        <v>1117</v>
      </c>
    </row>
    <row r="146" ht="22.5" customHeight="1">
      <c r="A146" s="4">
        <v>46033.06286907407</v>
      </c>
      <c r="B146" s="5" t="s">
        <v>1118</v>
      </c>
      <c r="C146" s="5" t="s">
        <v>1119</v>
      </c>
      <c r="D146" s="5" t="s">
        <v>1118</v>
      </c>
      <c r="E146" s="5" t="s">
        <v>17</v>
      </c>
      <c r="F146" s="5" t="s">
        <v>1120</v>
      </c>
      <c r="G146" s="5" t="s">
        <v>1121</v>
      </c>
      <c r="H146" s="5" t="s">
        <v>1122</v>
      </c>
      <c r="I146" s="5" t="s">
        <v>1123</v>
      </c>
      <c r="J146" s="5" t="s">
        <v>1124</v>
      </c>
      <c r="K146" s="5" t="s">
        <v>30</v>
      </c>
      <c r="L146" s="5" t="s">
        <v>1125</v>
      </c>
      <c r="M146" s="5" t="s">
        <v>164</v>
      </c>
      <c r="N146" s="5" t="s">
        <v>51</v>
      </c>
      <c r="O146" s="5" t="s">
        <v>73</v>
      </c>
    </row>
    <row r="147" ht="22.5" customHeight="1">
      <c r="A147" s="4">
        <v>46033.07515513889</v>
      </c>
      <c r="B147" s="5" t="s">
        <v>1126</v>
      </c>
      <c r="C147" s="5" t="s">
        <v>1127</v>
      </c>
      <c r="D147" s="5" t="s">
        <v>1126</v>
      </c>
      <c r="E147" s="5" t="s">
        <v>64</v>
      </c>
      <c r="F147" s="5" t="s">
        <v>1128</v>
      </c>
      <c r="G147" s="5" t="s">
        <v>1129</v>
      </c>
      <c r="H147" s="5" t="s">
        <v>274</v>
      </c>
      <c r="I147" s="5" t="s">
        <v>1130</v>
      </c>
      <c r="J147" s="5" t="s">
        <v>1131</v>
      </c>
      <c r="K147" s="5" t="s">
        <v>30</v>
      </c>
      <c r="L147" s="5" t="s">
        <v>1132</v>
      </c>
      <c r="M147" s="5" t="s">
        <v>71</v>
      </c>
      <c r="N147" s="5" t="s">
        <v>51</v>
      </c>
      <c r="O147" s="5" t="s">
        <v>52</v>
      </c>
    </row>
    <row r="148" ht="22.5" customHeight="1">
      <c r="A148" s="4">
        <v>46033.09540798611</v>
      </c>
      <c r="B148" s="5" t="s">
        <v>1133</v>
      </c>
      <c r="C148" s="5" t="s">
        <v>1134</v>
      </c>
      <c r="D148" s="5" t="s">
        <v>1133</v>
      </c>
      <c r="E148" s="5" t="s">
        <v>17</v>
      </c>
      <c r="F148" s="5" t="s">
        <v>1135</v>
      </c>
      <c r="G148" s="5" t="s">
        <v>1136</v>
      </c>
      <c r="H148" s="5" t="s">
        <v>1137</v>
      </c>
      <c r="I148" s="5" t="s">
        <v>1138</v>
      </c>
      <c r="J148" s="5" t="s">
        <v>1139</v>
      </c>
      <c r="K148" s="5" t="s">
        <v>23</v>
      </c>
      <c r="L148" s="5" t="s">
        <v>1140</v>
      </c>
      <c r="M148" s="5" t="s">
        <v>39</v>
      </c>
      <c r="N148" s="5" t="s">
        <v>592</v>
      </c>
      <c r="O148" s="5" t="s">
        <v>1141</v>
      </c>
    </row>
    <row r="149" ht="22.5" customHeight="1">
      <c r="A149" s="4">
        <v>46033.11466719907</v>
      </c>
      <c r="B149" s="5" t="s">
        <v>1142</v>
      </c>
      <c r="C149" s="5" t="s">
        <v>1143</v>
      </c>
      <c r="D149" s="5" t="s">
        <v>1142</v>
      </c>
      <c r="E149" s="5" t="s">
        <v>17</v>
      </c>
      <c r="F149" s="5" t="s">
        <v>1144</v>
      </c>
      <c r="G149" s="5" t="s">
        <v>1145</v>
      </c>
      <c r="H149" s="5" t="s">
        <v>1146</v>
      </c>
      <c r="I149" s="5" t="s">
        <v>1147</v>
      </c>
      <c r="J149" s="5" t="s">
        <v>1148</v>
      </c>
      <c r="K149" s="5" t="s">
        <v>162</v>
      </c>
      <c r="L149" s="5" t="s">
        <v>1116</v>
      </c>
      <c r="M149" s="5" t="s">
        <v>119</v>
      </c>
      <c r="N149" s="5" t="s">
        <v>833</v>
      </c>
      <c r="O149" s="5" t="s">
        <v>446</v>
      </c>
    </row>
    <row r="150" ht="22.5" customHeight="1">
      <c r="A150" s="4">
        <v>46033.14345667824</v>
      </c>
      <c r="B150" s="5" t="s">
        <v>1149</v>
      </c>
      <c r="C150" s="5" t="s">
        <v>1150</v>
      </c>
      <c r="D150" s="5" t="s">
        <v>1149</v>
      </c>
      <c r="E150" s="5" t="s">
        <v>17</v>
      </c>
      <c r="F150" s="5" t="s">
        <v>1151</v>
      </c>
      <c r="G150" s="5" t="s">
        <v>1152</v>
      </c>
      <c r="H150" s="5" t="s">
        <v>1153</v>
      </c>
      <c r="I150" s="5" t="s">
        <v>1154</v>
      </c>
      <c r="J150" s="5" t="s">
        <v>1155</v>
      </c>
      <c r="K150" s="5" t="s">
        <v>30</v>
      </c>
      <c r="L150" s="5" t="s">
        <v>1156</v>
      </c>
      <c r="M150" s="5" t="s">
        <v>71</v>
      </c>
      <c r="N150" s="5" t="s">
        <v>51</v>
      </c>
      <c r="O150" s="5" t="s">
        <v>52</v>
      </c>
    </row>
    <row r="151" ht="22.5" customHeight="1">
      <c r="A151" s="4">
        <v>46038.21836503472</v>
      </c>
      <c r="B151" s="5" t="s">
        <v>1157</v>
      </c>
      <c r="C151" s="5" t="s">
        <v>1158</v>
      </c>
      <c r="D151" s="5" t="s">
        <v>1157</v>
      </c>
      <c r="E151" s="5" t="s">
        <v>17</v>
      </c>
      <c r="F151" s="5" t="s">
        <v>1159</v>
      </c>
      <c r="G151" s="5" t="s">
        <v>1160</v>
      </c>
      <c r="H151" s="5" t="s">
        <v>1161</v>
      </c>
      <c r="I151" s="5" t="s">
        <v>1162</v>
      </c>
      <c r="J151" s="5" t="s">
        <v>1163</v>
      </c>
      <c r="K151" s="5" t="s">
        <v>162</v>
      </c>
      <c r="L151" s="5" t="s">
        <v>1164</v>
      </c>
      <c r="M151" s="5" t="s">
        <v>119</v>
      </c>
      <c r="N151" s="5" t="s">
        <v>200</v>
      </c>
      <c r="O151" s="5" t="s">
        <v>201</v>
      </c>
    </row>
    <row r="152" ht="22.5" customHeight="1">
      <c r="A152" s="4">
        <v>46033.739820092596</v>
      </c>
      <c r="B152" s="5" t="s">
        <v>1165</v>
      </c>
      <c r="C152" s="5" t="s">
        <v>1166</v>
      </c>
      <c r="D152" s="5" t="s">
        <v>1165</v>
      </c>
      <c r="E152" s="5" t="s">
        <v>17</v>
      </c>
      <c r="F152" s="5" t="s">
        <v>1167</v>
      </c>
      <c r="G152" s="5" t="s">
        <v>1168</v>
      </c>
      <c r="H152" s="5" t="s">
        <v>1169</v>
      </c>
      <c r="I152" s="5" t="s">
        <v>1170</v>
      </c>
      <c r="J152" s="5" t="s">
        <v>142</v>
      </c>
      <c r="K152" s="5" t="s">
        <v>162</v>
      </c>
      <c r="L152" s="5" t="s">
        <v>1171</v>
      </c>
      <c r="M152" s="5" t="s">
        <v>71</v>
      </c>
      <c r="N152" s="5" t="s">
        <v>734</v>
      </c>
      <c r="O152" s="5" t="s">
        <v>182</v>
      </c>
    </row>
    <row r="153" ht="22.5" customHeight="1">
      <c r="A153" s="4">
        <v>46033.98507614584</v>
      </c>
      <c r="B153" s="5" t="s">
        <v>1172</v>
      </c>
      <c r="C153" s="5" t="s">
        <v>1173</v>
      </c>
      <c r="D153" s="5" t="s">
        <v>1172</v>
      </c>
      <c r="E153" s="5" t="s">
        <v>17</v>
      </c>
      <c r="F153" s="5" t="s">
        <v>1174</v>
      </c>
      <c r="G153" s="5" t="s">
        <v>1175</v>
      </c>
      <c r="H153" s="5" t="s">
        <v>1176</v>
      </c>
      <c r="I153" s="5" t="s">
        <v>1177</v>
      </c>
      <c r="J153" s="5" t="s">
        <v>1178</v>
      </c>
      <c r="K153" s="5" t="s">
        <v>162</v>
      </c>
      <c r="L153" s="5" t="s">
        <v>1179</v>
      </c>
      <c r="M153" s="5" t="s">
        <v>61</v>
      </c>
      <c r="N153" s="5" t="s">
        <v>181</v>
      </c>
      <c r="O153" s="5" t="s">
        <v>268</v>
      </c>
    </row>
    <row r="154" ht="22.5" customHeight="1">
      <c r="A154" s="4">
        <v>46034.17789314815</v>
      </c>
      <c r="B154" s="5" t="s">
        <v>1180</v>
      </c>
      <c r="C154" s="5" t="s">
        <v>908</v>
      </c>
      <c r="D154" s="5" t="s">
        <v>1180</v>
      </c>
      <c r="E154" s="5" t="s">
        <v>131</v>
      </c>
      <c r="F154" s="5" t="s">
        <v>1181</v>
      </c>
      <c r="G154" s="5" t="s">
        <v>1182</v>
      </c>
      <c r="H154" s="5" t="s">
        <v>1183</v>
      </c>
      <c r="I154" s="5" t="s">
        <v>1184</v>
      </c>
      <c r="J154" s="5" t="s">
        <v>1185</v>
      </c>
      <c r="K154" s="5" t="s">
        <v>30</v>
      </c>
      <c r="L154" s="5" t="s">
        <v>1186</v>
      </c>
      <c r="M154" s="5" t="s">
        <v>456</v>
      </c>
      <c r="N154" s="5" t="s">
        <v>51</v>
      </c>
      <c r="O154" s="5" t="s">
        <v>52</v>
      </c>
    </row>
    <row r="155" ht="22.5" customHeight="1">
      <c r="A155" s="4">
        <v>46034.22170539352</v>
      </c>
      <c r="B155" s="5" t="s">
        <v>1187</v>
      </c>
      <c r="C155" s="5" t="s">
        <v>1188</v>
      </c>
      <c r="D155" s="5" t="s">
        <v>1187</v>
      </c>
      <c r="E155" s="5" t="s">
        <v>17</v>
      </c>
      <c r="F155" s="5" t="s">
        <v>1189</v>
      </c>
      <c r="G155" s="5" t="s">
        <v>1190</v>
      </c>
      <c r="H155" s="5" t="s">
        <v>1191</v>
      </c>
      <c r="I155" s="5" t="s">
        <v>1192</v>
      </c>
      <c r="J155" s="5" t="s">
        <v>1193</v>
      </c>
      <c r="K155" s="5" t="s">
        <v>23</v>
      </c>
      <c r="L155" s="5" t="s">
        <v>1194</v>
      </c>
      <c r="M155" s="5" t="s">
        <v>119</v>
      </c>
      <c r="N155" s="5" t="s">
        <v>1019</v>
      </c>
      <c r="O155" s="5" t="s">
        <v>1195</v>
      </c>
    </row>
    <row r="156" ht="22.5" customHeight="1">
      <c r="A156" s="4">
        <v>46034.70461796296</v>
      </c>
      <c r="B156" s="5" t="s">
        <v>1196</v>
      </c>
      <c r="C156" s="5" t="s">
        <v>1197</v>
      </c>
      <c r="D156" s="5" t="s">
        <v>1196</v>
      </c>
      <c r="E156" s="5" t="s">
        <v>17</v>
      </c>
      <c r="F156" s="5" t="s">
        <v>1198</v>
      </c>
      <c r="G156" s="5" t="s">
        <v>1199</v>
      </c>
      <c r="H156" s="5" t="s">
        <v>1200</v>
      </c>
      <c r="I156" s="5" t="s">
        <v>1201</v>
      </c>
      <c r="J156" s="5" t="s">
        <v>1202</v>
      </c>
      <c r="K156" s="5" t="s">
        <v>30</v>
      </c>
      <c r="L156" s="5" t="s">
        <v>1203</v>
      </c>
      <c r="M156" s="5" t="s">
        <v>119</v>
      </c>
      <c r="N156" s="5" t="s">
        <v>51</v>
      </c>
      <c r="O156" s="5" t="s">
        <v>51</v>
      </c>
    </row>
    <row r="157" ht="22.5" customHeight="1">
      <c r="A157" s="4">
        <v>46034.75097953704</v>
      </c>
      <c r="B157" s="5" t="s">
        <v>1204</v>
      </c>
      <c r="C157" s="5" t="s">
        <v>1205</v>
      </c>
      <c r="D157" s="5" t="s">
        <v>1204</v>
      </c>
      <c r="E157" s="5" t="s">
        <v>64</v>
      </c>
      <c r="F157" s="5" t="s">
        <v>1206</v>
      </c>
      <c r="G157" s="5" t="s">
        <v>1207</v>
      </c>
      <c r="H157" s="5" t="s">
        <v>1208</v>
      </c>
      <c r="I157" s="5" t="s">
        <v>1209</v>
      </c>
      <c r="J157" s="5" t="s">
        <v>1210</v>
      </c>
      <c r="K157" s="5" t="s">
        <v>30</v>
      </c>
      <c r="L157" s="5" t="s">
        <v>1211</v>
      </c>
      <c r="M157" s="5" t="s">
        <v>111</v>
      </c>
      <c r="N157" s="5" t="s">
        <v>51</v>
      </c>
      <c r="O157" s="5" t="s">
        <v>52</v>
      </c>
    </row>
    <row r="158" ht="22.5" customHeight="1">
      <c r="A158" s="4">
        <v>46034.80351798611</v>
      </c>
      <c r="B158" s="5" t="s">
        <v>1212</v>
      </c>
      <c r="C158" s="5" t="s">
        <v>1213</v>
      </c>
      <c r="D158" s="5" t="s">
        <v>1212</v>
      </c>
      <c r="E158" s="5" t="s">
        <v>17</v>
      </c>
      <c r="F158" s="5" t="s">
        <v>1214</v>
      </c>
      <c r="G158" s="5" t="s">
        <v>1215</v>
      </c>
      <c r="H158" s="5" t="s">
        <v>1216</v>
      </c>
      <c r="I158" s="5" t="s">
        <v>1217</v>
      </c>
      <c r="J158" s="5" t="s">
        <v>1218</v>
      </c>
      <c r="K158" s="5" t="s">
        <v>30</v>
      </c>
      <c r="L158" s="5" t="s">
        <v>1219</v>
      </c>
      <c r="M158" s="5" t="s">
        <v>61</v>
      </c>
      <c r="N158" s="5" t="s">
        <v>1220</v>
      </c>
      <c r="O158" s="5" t="s">
        <v>328</v>
      </c>
    </row>
    <row r="159" ht="22.5" customHeight="1">
      <c r="A159" s="4">
        <v>46034.85736166667</v>
      </c>
      <c r="B159" s="5" t="s">
        <v>1221</v>
      </c>
      <c r="C159" s="5" t="s">
        <v>1222</v>
      </c>
      <c r="D159" s="5" t="s">
        <v>1221</v>
      </c>
      <c r="E159" s="5" t="s">
        <v>17</v>
      </c>
      <c r="F159" s="5" t="s">
        <v>1223</v>
      </c>
      <c r="G159" s="5" t="s">
        <v>1224</v>
      </c>
      <c r="H159" s="5" t="s">
        <v>1225</v>
      </c>
      <c r="I159" s="5" t="s">
        <v>1226</v>
      </c>
      <c r="J159" s="5" t="s">
        <v>1227</v>
      </c>
      <c r="K159" s="5" t="s">
        <v>23</v>
      </c>
      <c r="L159" s="5" t="s">
        <v>1228</v>
      </c>
      <c r="M159" s="5" t="s">
        <v>61</v>
      </c>
      <c r="N159" s="5" t="s">
        <v>200</v>
      </c>
      <c r="O159" s="5" t="s">
        <v>26</v>
      </c>
    </row>
    <row r="160" ht="22.5" customHeight="1">
      <c r="A160" s="4">
        <v>46034.86142518518</v>
      </c>
      <c r="B160" s="5" t="s">
        <v>1229</v>
      </c>
      <c r="C160" s="5" t="s">
        <v>1230</v>
      </c>
      <c r="D160" s="5" t="s">
        <v>1229</v>
      </c>
      <c r="E160" s="5" t="s">
        <v>17</v>
      </c>
      <c r="F160" s="5" t="s">
        <v>1231</v>
      </c>
      <c r="G160" s="5" t="s">
        <v>1232</v>
      </c>
      <c r="H160" s="5" t="s">
        <v>1233</v>
      </c>
      <c r="I160" s="5" t="s">
        <v>1234</v>
      </c>
      <c r="J160" s="5" t="s">
        <v>1235</v>
      </c>
      <c r="K160" s="5" t="s">
        <v>30</v>
      </c>
      <c r="L160" s="5" t="s">
        <v>1236</v>
      </c>
      <c r="M160" s="5" t="s">
        <v>39</v>
      </c>
      <c r="N160" s="5" t="s">
        <v>1237</v>
      </c>
      <c r="O160" s="5" t="s">
        <v>1238</v>
      </c>
    </row>
    <row r="161" ht="22.5" customHeight="1">
      <c r="A161" s="4">
        <v>46034.941268553244</v>
      </c>
      <c r="B161" s="5" t="s">
        <v>1239</v>
      </c>
      <c r="C161" s="5" t="s">
        <v>1240</v>
      </c>
      <c r="D161" s="5" t="s">
        <v>1239</v>
      </c>
      <c r="E161" s="5" t="s">
        <v>131</v>
      </c>
      <c r="F161" s="5" t="s">
        <v>1241</v>
      </c>
      <c r="G161" s="5" t="s">
        <v>1242</v>
      </c>
      <c r="H161" s="5" t="s">
        <v>1243</v>
      </c>
      <c r="I161" s="5" t="s">
        <v>1244</v>
      </c>
      <c r="J161" s="5" t="s">
        <v>869</v>
      </c>
      <c r="K161" s="5" t="s">
        <v>30</v>
      </c>
      <c r="L161" s="5" t="s">
        <v>1245</v>
      </c>
      <c r="M161" s="5" t="s">
        <v>39</v>
      </c>
      <c r="N161" s="5" t="s">
        <v>51</v>
      </c>
      <c r="O161" s="5" t="s">
        <v>52</v>
      </c>
    </row>
    <row r="162" ht="22.5" customHeight="1">
      <c r="A162" s="4">
        <v>46034.97802268519</v>
      </c>
      <c r="B162" s="5" t="s">
        <v>1246</v>
      </c>
      <c r="C162" s="5" t="s">
        <v>1247</v>
      </c>
      <c r="D162" s="5" t="s">
        <v>1246</v>
      </c>
      <c r="E162" s="5" t="s">
        <v>64</v>
      </c>
      <c r="F162" s="5" t="s">
        <v>1248</v>
      </c>
      <c r="G162" s="5" t="s">
        <v>1249</v>
      </c>
      <c r="H162" s="5" t="s">
        <v>58</v>
      </c>
      <c r="I162" s="5" t="s">
        <v>1250</v>
      </c>
      <c r="J162" s="5" t="s">
        <v>1251</v>
      </c>
      <c r="K162" s="5" t="s">
        <v>23</v>
      </c>
      <c r="L162" s="5" t="s">
        <v>1252</v>
      </c>
      <c r="M162" s="5" t="s">
        <v>61</v>
      </c>
      <c r="N162" s="5" t="s">
        <v>200</v>
      </c>
      <c r="O162" s="5" t="s">
        <v>660</v>
      </c>
    </row>
    <row r="163" ht="22.5" customHeight="1">
      <c r="A163" s="4">
        <v>46035.12510488426</v>
      </c>
      <c r="B163" s="5" t="s">
        <v>1253</v>
      </c>
      <c r="C163" s="5" t="s">
        <v>1254</v>
      </c>
      <c r="D163" s="5" t="s">
        <v>1253</v>
      </c>
      <c r="E163" s="5" t="s">
        <v>17</v>
      </c>
      <c r="F163" s="5" t="s">
        <v>1255</v>
      </c>
      <c r="G163" s="5" t="s">
        <v>1256</v>
      </c>
      <c r="H163" s="5" t="s">
        <v>1257</v>
      </c>
      <c r="I163" s="5" t="s">
        <v>1258</v>
      </c>
      <c r="J163" s="5" t="s">
        <v>1259</v>
      </c>
      <c r="K163" s="5" t="s">
        <v>23</v>
      </c>
      <c r="L163" s="5" t="s">
        <v>1260</v>
      </c>
      <c r="M163" s="5" t="s">
        <v>71</v>
      </c>
      <c r="N163" s="5" t="s">
        <v>592</v>
      </c>
      <c r="O163" s="5" t="s">
        <v>1261</v>
      </c>
    </row>
    <row r="164" ht="22.5" customHeight="1">
      <c r="A164" s="4">
        <v>46035.24507246527</v>
      </c>
      <c r="B164" s="5" t="s">
        <v>1262</v>
      </c>
      <c r="C164" s="5" t="s">
        <v>1263</v>
      </c>
      <c r="D164" s="5" t="s">
        <v>1262</v>
      </c>
      <c r="E164" s="5" t="s">
        <v>17</v>
      </c>
      <c r="F164" s="5" t="s">
        <v>1264</v>
      </c>
      <c r="G164" s="5" t="s">
        <v>1265</v>
      </c>
      <c r="H164" s="5" t="s">
        <v>463</v>
      </c>
      <c r="I164" s="5" t="s">
        <v>46</v>
      </c>
      <c r="J164" s="5" t="s">
        <v>1266</v>
      </c>
      <c r="K164" s="5" t="s">
        <v>30</v>
      </c>
      <c r="L164" s="5" t="s">
        <v>1267</v>
      </c>
      <c r="M164" s="5" t="s">
        <v>1268</v>
      </c>
      <c r="N164" s="5" t="s">
        <v>1269</v>
      </c>
      <c r="O164" s="5" t="s">
        <v>1269</v>
      </c>
    </row>
    <row r="165" ht="22.5" customHeight="1">
      <c r="A165" s="4">
        <v>46035.29335136574</v>
      </c>
      <c r="B165" s="5" t="s">
        <v>1270</v>
      </c>
      <c r="C165" s="5" t="s">
        <v>1271</v>
      </c>
      <c r="D165" s="5" t="s">
        <v>1270</v>
      </c>
      <c r="E165" s="5" t="s">
        <v>17</v>
      </c>
      <c r="F165" s="5" t="s">
        <v>1272</v>
      </c>
      <c r="G165" s="5" t="s">
        <v>1273</v>
      </c>
      <c r="H165" s="5" t="s">
        <v>1274</v>
      </c>
      <c r="I165" s="5" t="s">
        <v>1275</v>
      </c>
      <c r="J165" s="5" t="s">
        <v>1276</v>
      </c>
      <c r="K165" s="5" t="s">
        <v>30</v>
      </c>
      <c r="L165" s="5" t="s">
        <v>1277</v>
      </c>
      <c r="M165" s="5" t="s">
        <v>111</v>
      </c>
      <c r="N165" s="5" t="s">
        <v>200</v>
      </c>
      <c r="O165" s="5" t="s">
        <v>201</v>
      </c>
    </row>
    <row r="166" ht="22.5" customHeight="1">
      <c r="A166" s="4">
        <v>46035.44183964121</v>
      </c>
      <c r="B166" s="5" t="s">
        <v>1278</v>
      </c>
      <c r="C166" s="5" t="s">
        <v>1279</v>
      </c>
      <c r="D166" s="5" t="s">
        <v>1278</v>
      </c>
      <c r="E166" s="5" t="s">
        <v>17</v>
      </c>
      <c r="F166" s="5" t="s">
        <v>1280</v>
      </c>
      <c r="G166" s="5" t="s">
        <v>1281</v>
      </c>
      <c r="H166" s="5" t="s">
        <v>1282</v>
      </c>
      <c r="I166" s="5" t="s">
        <v>1283</v>
      </c>
      <c r="J166" s="5" t="s">
        <v>1284</v>
      </c>
      <c r="K166" s="5" t="s">
        <v>162</v>
      </c>
      <c r="L166" s="5" t="s">
        <v>1285</v>
      </c>
      <c r="M166" s="5" t="s">
        <v>71</v>
      </c>
      <c r="N166" s="5" t="s">
        <v>26</v>
      </c>
      <c r="O166" s="5" t="s">
        <v>26</v>
      </c>
    </row>
    <row r="167" ht="22.5" customHeight="1">
      <c r="A167" s="4">
        <v>46035.58735023148</v>
      </c>
      <c r="B167" s="5" t="s">
        <v>1286</v>
      </c>
      <c r="C167" s="5" t="s">
        <v>1287</v>
      </c>
      <c r="D167" s="5" t="s">
        <v>1286</v>
      </c>
      <c r="E167" s="5" t="s">
        <v>17</v>
      </c>
      <c r="F167" s="5" t="s">
        <v>1288</v>
      </c>
      <c r="G167" s="5" t="s">
        <v>1289</v>
      </c>
      <c r="H167" s="5" t="s">
        <v>1290</v>
      </c>
      <c r="I167" s="5" t="s">
        <v>1291</v>
      </c>
      <c r="J167" s="5" t="s">
        <v>1292</v>
      </c>
      <c r="K167" s="5" t="s">
        <v>162</v>
      </c>
      <c r="L167" s="5" t="s">
        <v>1293</v>
      </c>
      <c r="M167" s="5" t="s">
        <v>119</v>
      </c>
      <c r="N167" s="5" t="s">
        <v>26</v>
      </c>
      <c r="O167" s="5" t="s">
        <v>26</v>
      </c>
    </row>
    <row r="168" ht="22.5" customHeight="1">
      <c r="A168" s="4">
        <v>46035.77907127315</v>
      </c>
      <c r="B168" s="5" t="s">
        <v>1294</v>
      </c>
      <c r="C168" s="5" t="s">
        <v>1295</v>
      </c>
      <c r="D168" s="5" t="s">
        <v>1294</v>
      </c>
      <c r="E168" s="5" t="s">
        <v>64</v>
      </c>
      <c r="F168" s="5" t="s">
        <v>1296</v>
      </c>
      <c r="G168" s="5" t="s">
        <v>1297</v>
      </c>
      <c r="H168" s="5" t="s">
        <v>1298</v>
      </c>
      <c r="I168" s="5" t="s">
        <v>58</v>
      </c>
      <c r="J168" s="5" t="s">
        <v>1299</v>
      </c>
      <c r="K168" s="5" t="s">
        <v>30</v>
      </c>
      <c r="L168" s="5" t="s">
        <v>1300</v>
      </c>
      <c r="M168" s="5" t="s">
        <v>119</v>
      </c>
      <c r="N168" s="5" t="s">
        <v>549</v>
      </c>
      <c r="O168" s="5" t="s">
        <v>1195</v>
      </c>
    </row>
    <row r="169" ht="22.5" customHeight="1">
      <c r="A169" s="4">
        <v>46035.82424</v>
      </c>
      <c r="B169" s="5" t="s">
        <v>112</v>
      </c>
      <c r="C169" s="5" t="s">
        <v>113</v>
      </c>
      <c r="D169" s="5" t="s">
        <v>112</v>
      </c>
      <c r="E169" s="5" t="s">
        <v>17</v>
      </c>
      <c r="F169" s="5" t="s">
        <v>114</v>
      </c>
      <c r="G169" s="5" t="s">
        <v>1301</v>
      </c>
      <c r="H169" s="5" t="s">
        <v>117</v>
      </c>
      <c r="I169" s="5" t="s">
        <v>1302</v>
      </c>
      <c r="J169" s="5" t="s">
        <v>118</v>
      </c>
      <c r="K169" s="5" t="s">
        <v>30</v>
      </c>
      <c r="L169" s="5" t="s">
        <v>81</v>
      </c>
      <c r="M169" s="5" t="s">
        <v>119</v>
      </c>
      <c r="N169" s="5" t="s">
        <v>51</v>
      </c>
      <c r="O169" s="5" t="s">
        <v>52</v>
      </c>
    </row>
    <row r="170" ht="22.5" customHeight="1">
      <c r="A170" s="4">
        <v>46035.95104532407</v>
      </c>
      <c r="B170" s="5" t="s">
        <v>760</v>
      </c>
      <c r="C170" s="5" t="s">
        <v>1303</v>
      </c>
      <c r="D170" s="5" t="s">
        <v>1304</v>
      </c>
      <c r="E170" s="5" t="s">
        <v>131</v>
      </c>
      <c r="F170" s="5" t="s">
        <v>1305</v>
      </c>
      <c r="G170" s="5" t="s">
        <v>1306</v>
      </c>
      <c r="H170" s="5" t="s">
        <v>1307</v>
      </c>
      <c r="I170" s="5" t="s">
        <v>1308</v>
      </c>
      <c r="J170" s="5" t="s">
        <v>1309</v>
      </c>
      <c r="K170" s="5" t="s">
        <v>30</v>
      </c>
      <c r="L170" s="5" t="s">
        <v>1310</v>
      </c>
      <c r="M170" s="5" t="s">
        <v>759</v>
      </c>
      <c r="N170" s="5" t="s">
        <v>72</v>
      </c>
      <c r="O170" s="5" t="s">
        <v>73</v>
      </c>
    </row>
    <row r="171" ht="22.5" customHeight="1">
      <c r="A171" s="4">
        <v>46035.9709334838</v>
      </c>
      <c r="B171" s="5" t="s">
        <v>1311</v>
      </c>
      <c r="C171" s="5" t="s">
        <v>1312</v>
      </c>
      <c r="D171" s="5" t="s">
        <v>1311</v>
      </c>
      <c r="E171" s="5" t="s">
        <v>17</v>
      </c>
      <c r="F171" s="5" t="s">
        <v>1313</v>
      </c>
      <c r="G171" s="5" t="s">
        <v>1314</v>
      </c>
      <c r="H171" s="5" t="s">
        <v>1315</v>
      </c>
      <c r="I171" s="5" t="s">
        <v>1316</v>
      </c>
      <c r="J171" s="5" t="s">
        <v>1317</v>
      </c>
      <c r="K171" s="5" t="s">
        <v>162</v>
      </c>
      <c r="L171" s="5" t="s">
        <v>1318</v>
      </c>
      <c r="M171" s="5" t="s">
        <v>61</v>
      </c>
      <c r="N171" s="5" t="s">
        <v>1319</v>
      </c>
      <c r="O171" s="5" t="s">
        <v>258</v>
      </c>
    </row>
    <row r="172" ht="22.5" customHeight="1">
      <c r="A172" s="4">
        <v>46036.029833506946</v>
      </c>
      <c r="B172" s="5" t="s">
        <v>1320</v>
      </c>
      <c r="C172" s="5" t="s">
        <v>1321</v>
      </c>
      <c r="D172" s="5" t="s">
        <v>1320</v>
      </c>
      <c r="E172" s="5" t="s">
        <v>17</v>
      </c>
      <c r="F172" s="5" t="s">
        <v>1322</v>
      </c>
      <c r="G172" s="5" t="s">
        <v>1323</v>
      </c>
      <c r="H172" s="5" t="s">
        <v>1324</v>
      </c>
      <c r="I172" s="5" t="s">
        <v>1325</v>
      </c>
      <c r="J172" s="5" t="s">
        <v>1326</v>
      </c>
      <c r="K172" s="5" t="s">
        <v>30</v>
      </c>
      <c r="L172" s="5" t="s">
        <v>785</v>
      </c>
      <c r="M172" s="5" t="s">
        <v>61</v>
      </c>
      <c r="N172" s="5" t="s">
        <v>51</v>
      </c>
      <c r="O172" s="5" t="s">
        <v>52</v>
      </c>
    </row>
    <row r="173" ht="22.5" customHeight="1">
      <c r="A173" s="4">
        <v>46036.04449672454</v>
      </c>
      <c r="B173" s="5" t="s">
        <v>1327</v>
      </c>
      <c r="C173" s="5" t="s">
        <v>1328</v>
      </c>
      <c r="D173" s="5" t="s">
        <v>1327</v>
      </c>
      <c r="E173" s="5" t="s">
        <v>17</v>
      </c>
      <c r="F173" s="5" t="s">
        <v>1329</v>
      </c>
      <c r="G173" s="5" t="s">
        <v>1330</v>
      </c>
      <c r="H173" s="5" t="s">
        <v>544</v>
      </c>
      <c r="I173" s="5" t="s">
        <v>1331</v>
      </c>
      <c r="J173" s="5" t="s">
        <v>1332</v>
      </c>
      <c r="K173" s="5" t="s">
        <v>23</v>
      </c>
      <c r="L173" s="5" t="s">
        <v>1333</v>
      </c>
      <c r="M173" s="5" t="s">
        <v>119</v>
      </c>
      <c r="N173" s="5" t="s">
        <v>549</v>
      </c>
      <c r="O173" s="5" t="s">
        <v>1195</v>
      </c>
    </row>
    <row r="174" ht="22.5" customHeight="1">
      <c r="A174" s="4">
        <v>46036.045450509264</v>
      </c>
      <c r="B174" s="5" t="s">
        <v>1239</v>
      </c>
      <c r="C174" s="5" t="s">
        <v>1240</v>
      </c>
      <c r="D174" s="5" t="s">
        <v>1239</v>
      </c>
      <c r="E174" s="5" t="s">
        <v>131</v>
      </c>
      <c r="F174" s="5" t="s">
        <v>1334</v>
      </c>
      <c r="G174" s="5" t="s">
        <v>1335</v>
      </c>
      <c r="H174" s="5" t="s">
        <v>1336</v>
      </c>
      <c r="I174" s="5" t="s">
        <v>869</v>
      </c>
      <c r="J174" s="5" t="s">
        <v>1337</v>
      </c>
      <c r="K174" s="5" t="s">
        <v>30</v>
      </c>
      <c r="L174" s="5" t="s">
        <v>1245</v>
      </c>
      <c r="M174" s="5" t="s">
        <v>39</v>
      </c>
      <c r="N174" s="5" t="s">
        <v>51</v>
      </c>
      <c r="O174" s="5" t="s">
        <v>52</v>
      </c>
    </row>
    <row r="175" ht="22.5" customHeight="1">
      <c r="A175" s="4">
        <v>46036.046442418985</v>
      </c>
      <c r="B175" s="5" t="s">
        <v>1338</v>
      </c>
      <c r="C175" s="5" t="s">
        <v>1339</v>
      </c>
      <c r="D175" s="5" t="s">
        <v>1338</v>
      </c>
      <c r="E175" s="5" t="s">
        <v>64</v>
      </c>
      <c r="F175" s="5" t="s">
        <v>1340</v>
      </c>
      <c r="G175" s="5" t="s">
        <v>1341</v>
      </c>
      <c r="H175" s="5" t="s">
        <v>1342</v>
      </c>
      <c r="I175" s="5" t="s">
        <v>1343</v>
      </c>
      <c r="J175" s="5" t="s">
        <v>1344</v>
      </c>
      <c r="K175" s="5" t="s">
        <v>30</v>
      </c>
      <c r="L175" s="5" t="s">
        <v>1345</v>
      </c>
      <c r="M175" s="5" t="s">
        <v>71</v>
      </c>
      <c r="N175" s="5" t="s">
        <v>72</v>
      </c>
      <c r="O175" s="5" t="s">
        <v>73</v>
      </c>
    </row>
    <row r="176" ht="22.5" customHeight="1">
      <c r="A176" s="4">
        <v>46036.06293961806</v>
      </c>
      <c r="B176" s="5" t="s">
        <v>1346</v>
      </c>
      <c r="C176" s="5" t="s">
        <v>1347</v>
      </c>
      <c r="D176" s="5" t="s">
        <v>1346</v>
      </c>
      <c r="E176" s="5" t="s">
        <v>64</v>
      </c>
      <c r="F176" s="5" t="s">
        <v>1348</v>
      </c>
      <c r="G176" s="5" t="s">
        <v>1349</v>
      </c>
      <c r="H176" s="5" t="s">
        <v>159</v>
      </c>
      <c r="I176" s="5" t="s">
        <v>1350</v>
      </c>
      <c r="J176" s="5" t="s">
        <v>1351</v>
      </c>
      <c r="K176" s="5" t="s">
        <v>30</v>
      </c>
      <c r="L176" s="5" t="s">
        <v>1352</v>
      </c>
      <c r="M176" s="5" t="s">
        <v>119</v>
      </c>
      <c r="N176" s="5" t="s">
        <v>267</v>
      </c>
      <c r="O176" s="5" t="s">
        <v>268</v>
      </c>
    </row>
    <row r="177" ht="22.5" customHeight="1">
      <c r="A177" s="4">
        <v>46036.13538108797</v>
      </c>
      <c r="B177" s="5" t="s">
        <v>269</v>
      </c>
      <c r="C177" s="5" t="s">
        <v>270</v>
      </c>
      <c r="D177" s="5" t="s">
        <v>269</v>
      </c>
      <c r="E177" s="5" t="s">
        <v>17</v>
      </c>
      <c r="F177" s="5" t="s">
        <v>271</v>
      </c>
      <c r="G177" s="5" t="s">
        <v>1353</v>
      </c>
      <c r="H177" s="5" t="s">
        <v>274</v>
      </c>
      <c r="I177" s="5" t="s">
        <v>1354</v>
      </c>
      <c r="J177" s="5" t="s">
        <v>275</v>
      </c>
      <c r="K177" s="5" t="s">
        <v>23</v>
      </c>
      <c r="L177" s="5" t="s">
        <v>1355</v>
      </c>
      <c r="M177" s="5" t="s">
        <v>61</v>
      </c>
      <c r="N177" s="5" t="s">
        <v>267</v>
      </c>
      <c r="O177" s="5" t="s">
        <v>268</v>
      </c>
    </row>
    <row r="178" ht="22.5" customHeight="1">
      <c r="A178" s="4">
        <v>46036.18421611111</v>
      </c>
      <c r="B178" s="5" t="s">
        <v>1356</v>
      </c>
      <c r="C178" s="5" t="s">
        <v>1357</v>
      </c>
      <c r="D178" s="5" t="s">
        <v>1356</v>
      </c>
      <c r="E178" s="5" t="s">
        <v>64</v>
      </c>
      <c r="F178" s="5" t="s">
        <v>1358</v>
      </c>
      <c r="G178" s="5" t="s">
        <v>1359</v>
      </c>
      <c r="H178" s="5" t="s">
        <v>1360</v>
      </c>
      <c r="I178" s="5" t="s">
        <v>1361</v>
      </c>
      <c r="J178" s="5" t="s">
        <v>714</v>
      </c>
      <c r="K178" s="5" t="s">
        <v>162</v>
      </c>
      <c r="L178" s="5" t="s">
        <v>1362</v>
      </c>
      <c r="M178" s="5" t="s">
        <v>1363</v>
      </c>
      <c r="N178" s="5" t="s">
        <v>734</v>
      </c>
      <c r="O178" s="5" t="s">
        <v>734</v>
      </c>
    </row>
    <row r="179" ht="22.5" customHeight="1">
      <c r="A179" s="4">
        <v>46036.2205894213</v>
      </c>
      <c r="B179" s="5" t="s">
        <v>1364</v>
      </c>
      <c r="C179" s="5" t="s">
        <v>1365</v>
      </c>
      <c r="D179" s="5" t="s">
        <v>1364</v>
      </c>
      <c r="E179" s="5" t="s">
        <v>17</v>
      </c>
      <c r="F179" s="5" t="s">
        <v>1366</v>
      </c>
      <c r="G179" s="5" t="s">
        <v>1367</v>
      </c>
      <c r="H179" s="5" t="s">
        <v>1193</v>
      </c>
      <c r="I179" s="5" t="s">
        <v>1368</v>
      </c>
      <c r="J179" s="5" t="s">
        <v>1369</v>
      </c>
      <c r="K179" s="5" t="s">
        <v>23</v>
      </c>
      <c r="L179" s="5" t="s">
        <v>1116</v>
      </c>
      <c r="M179" s="5" t="s">
        <v>119</v>
      </c>
      <c r="N179" s="5" t="s">
        <v>403</v>
      </c>
      <c r="O179" s="5" t="s">
        <v>51</v>
      </c>
    </row>
    <row r="180" ht="22.5" customHeight="1">
      <c r="A180" s="4">
        <v>46036.27091261574</v>
      </c>
      <c r="B180" s="5" t="s">
        <v>1370</v>
      </c>
      <c r="C180" s="5" t="s">
        <v>1371</v>
      </c>
      <c r="D180" s="5" t="s">
        <v>1370</v>
      </c>
      <c r="E180" s="5" t="s">
        <v>64</v>
      </c>
      <c r="F180" s="5" t="s">
        <v>1372</v>
      </c>
      <c r="G180" s="5" t="s">
        <v>1373</v>
      </c>
      <c r="H180" s="5" t="s">
        <v>1337</v>
      </c>
      <c r="I180" s="5" t="s">
        <v>715</v>
      </c>
      <c r="J180" s="5" t="s">
        <v>1374</v>
      </c>
      <c r="K180" s="5" t="s">
        <v>30</v>
      </c>
      <c r="L180" s="5" t="s">
        <v>515</v>
      </c>
      <c r="M180" s="5" t="s">
        <v>61</v>
      </c>
      <c r="N180" s="5" t="s">
        <v>51</v>
      </c>
      <c r="O180" s="5" t="s">
        <v>52</v>
      </c>
    </row>
    <row r="181" ht="22.5" customHeight="1">
      <c r="A181" s="4">
        <v>46036.425770092595</v>
      </c>
      <c r="B181" s="5" t="s">
        <v>1375</v>
      </c>
      <c r="C181" s="5" t="s">
        <v>1376</v>
      </c>
      <c r="D181" s="5" t="s">
        <v>1375</v>
      </c>
      <c r="E181" s="5" t="s">
        <v>17</v>
      </c>
      <c r="F181" s="5" t="s">
        <v>1377</v>
      </c>
      <c r="G181" s="5" t="s">
        <v>1378</v>
      </c>
      <c r="H181" s="5" t="s">
        <v>1379</v>
      </c>
      <c r="I181" s="5" t="s">
        <v>1380</v>
      </c>
      <c r="J181" s="5" t="s">
        <v>1381</v>
      </c>
      <c r="K181" s="5" t="s">
        <v>162</v>
      </c>
      <c r="L181" s="5" t="s">
        <v>1382</v>
      </c>
      <c r="M181" s="5" t="s">
        <v>1383</v>
      </c>
      <c r="N181" s="5" t="s">
        <v>200</v>
      </c>
      <c r="O181" s="5" t="s">
        <v>1384</v>
      </c>
    </row>
    <row r="182" ht="22.5" customHeight="1">
      <c r="A182" s="4">
        <v>46036.576630787036</v>
      </c>
      <c r="B182" s="5" t="s">
        <v>1385</v>
      </c>
      <c r="C182" s="5" t="s">
        <v>1386</v>
      </c>
      <c r="D182" s="5" t="s">
        <v>1385</v>
      </c>
      <c r="E182" s="5" t="s">
        <v>17</v>
      </c>
      <c r="F182" s="5" t="s">
        <v>1387</v>
      </c>
      <c r="G182" s="5" t="s">
        <v>1388</v>
      </c>
      <c r="H182" s="5" t="s">
        <v>1389</v>
      </c>
      <c r="I182" s="5" t="s">
        <v>1390</v>
      </c>
      <c r="J182" s="5" t="s">
        <v>1391</v>
      </c>
      <c r="K182" s="5" t="s">
        <v>30</v>
      </c>
      <c r="L182" s="5" t="s">
        <v>1392</v>
      </c>
      <c r="M182" s="5" t="s">
        <v>164</v>
      </c>
      <c r="N182" s="5" t="s">
        <v>51</v>
      </c>
      <c r="O182" s="5" t="s">
        <v>52</v>
      </c>
    </row>
    <row r="183" ht="22.5" customHeight="1">
      <c r="A183" s="4">
        <v>46036.722301898146</v>
      </c>
      <c r="B183" s="5" t="s">
        <v>1393</v>
      </c>
      <c r="C183" s="5" t="s">
        <v>1394</v>
      </c>
      <c r="D183" s="5" t="s">
        <v>1393</v>
      </c>
      <c r="E183" s="5" t="s">
        <v>17</v>
      </c>
      <c r="F183" s="5" t="s">
        <v>1395</v>
      </c>
      <c r="G183" s="5" t="s">
        <v>1396</v>
      </c>
      <c r="H183" s="5" t="s">
        <v>1397</v>
      </c>
      <c r="I183" s="5" t="s">
        <v>1398</v>
      </c>
      <c r="J183" s="5" t="s">
        <v>1399</v>
      </c>
      <c r="K183" s="5" t="s">
        <v>30</v>
      </c>
      <c r="L183" s="5" t="s">
        <v>1400</v>
      </c>
      <c r="M183" s="5" t="s">
        <v>119</v>
      </c>
      <c r="N183" s="5" t="s">
        <v>267</v>
      </c>
      <c r="O183" s="5" t="s">
        <v>1401</v>
      </c>
    </row>
    <row r="184" ht="22.5" customHeight="1">
      <c r="A184" s="4">
        <v>46036.755130474536</v>
      </c>
      <c r="B184" s="5" t="s">
        <v>1402</v>
      </c>
      <c r="C184" s="5" t="s">
        <v>1403</v>
      </c>
      <c r="D184" s="5" t="s">
        <v>1402</v>
      </c>
      <c r="E184" s="5" t="s">
        <v>17</v>
      </c>
      <c r="F184" s="5" t="s">
        <v>1404</v>
      </c>
      <c r="G184" s="5" t="s">
        <v>1405</v>
      </c>
      <c r="H184" s="5" t="s">
        <v>1406</v>
      </c>
      <c r="I184" s="5" t="s">
        <v>1407</v>
      </c>
      <c r="J184" s="5" t="s">
        <v>1408</v>
      </c>
      <c r="K184" s="5" t="s">
        <v>23</v>
      </c>
      <c r="L184" s="5" t="s">
        <v>1409</v>
      </c>
      <c r="M184" s="5" t="s">
        <v>1410</v>
      </c>
      <c r="N184" s="5" t="s">
        <v>592</v>
      </c>
      <c r="O184" s="5" t="s">
        <v>593</v>
      </c>
    </row>
    <row r="185" ht="22.5" customHeight="1">
      <c r="A185" s="4">
        <v>46036.76211672454</v>
      </c>
      <c r="B185" s="5" t="s">
        <v>1411</v>
      </c>
      <c r="C185" s="5" t="s">
        <v>1412</v>
      </c>
      <c r="D185" s="5" t="s">
        <v>1411</v>
      </c>
      <c r="E185" s="5" t="s">
        <v>17</v>
      </c>
      <c r="F185" s="5" t="s">
        <v>1413</v>
      </c>
      <c r="G185" s="5" t="s">
        <v>1414</v>
      </c>
      <c r="H185" s="5" t="s">
        <v>1415</v>
      </c>
      <c r="I185" s="5" t="s">
        <v>1416</v>
      </c>
      <c r="J185" s="5" t="s">
        <v>1417</v>
      </c>
      <c r="K185" s="5" t="s">
        <v>30</v>
      </c>
      <c r="L185" s="5" t="s">
        <v>1418</v>
      </c>
      <c r="M185" s="5" t="s">
        <v>119</v>
      </c>
      <c r="N185" s="5" t="s">
        <v>72</v>
      </c>
      <c r="O185" s="5" t="s">
        <v>73</v>
      </c>
    </row>
    <row r="186" ht="22.5" customHeight="1">
      <c r="A186" s="4">
        <v>46036.808092175925</v>
      </c>
      <c r="B186" s="5" t="s">
        <v>1419</v>
      </c>
      <c r="C186" s="5" t="s">
        <v>1420</v>
      </c>
      <c r="D186" s="5" t="s">
        <v>1419</v>
      </c>
      <c r="E186" s="5" t="s">
        <v>131</v>
      </c>
      <c r="F186" s="5" t="s">
        <v>1421</v>
      </c>
      <c r="G186" s="5" t="s">
        <v>1422</v>
      </c>
      <c r="H186" s="5" t="s">
        <v>1398</v>
      </c>
      <c r="I186" s="5" t="s">
        <v>1423</v>
      </c>
      <c r="J186" s="5" t="s">
        <v>1424</v>
      </c>
      <c r="K186" s="5" t="s">
        <v>23</v>
      </c>
      <c r="L186" s="5" t="s">
        <v>1425</v>
      </c>
      <c r="M186" s="5" t="s">
        <v>119</v>
      </c>
      <c r="N186" s="5" t="s">
        <v>403</v>
      </c>
      <c r="O186" s="5" t="s">
        <v>404</v>
      </c>
    </row>
    <row r="187" ht="22.5" customHeight="1">
      <c r="A187" s="4">
        <v>46036.81505146991</v>
      </c>
      <c r="B187" s="5" t="s">
        <v>1426</v>
      </c>
      <c r="C187" s="5" t="s">
        <v>1427</v>
      </c>
      <c r="D187" s="5" t="s">
        <v>1426</v>
      </c>
      <c r="E187" s="5" t="s">
        <v>131</v>
      </c>
      <c r="F187" s="5" t="s">
        <v>1428</v>
      </c>
      <c r="G187" s="5" t="s">
        <v>1429</v>
      </c>
      <c r="H187" s="5" t="s">
        <v>1430</v>
      </c>
      <c r="I187" s="5" t="s">
        <v>1431</v>
      </c>
      <c r="J187" s="5" t="s">
        <v>1432</v>
      </c>
      <c r="K187" s="5" t="s">
        <v>30</v>
      </c>
      <c r="L187" s="5" t="s">
        <v>1433</v>
      </c>
      <c r="M187" s="5" t="s">
        <v>61</v>
      </c>
      <c r="N187" s="5" t="s">
        <v>51</v>
      </c>
      <c r="O187" s="5" t="s">
        <v>73</v>
      </c>
    </row>
    <row r="188" ht="22.5" customHeight="1">
      <c r="A188" s="4">
        <v>46036.82279046296</v>
      </c>
      <c r="B188" s="5" t="s">
        <v>1434</v>
      </c>
      <c r="C188" s="5" t="s">
        <v>1435</v>
      </c>
      <c r="D188" s="5" t="s">
        <v>1434</v>
      </c>
      <c r="E188" s="5" t="s">
        <v>17</v>
      </c>
      <c r="F188" s="5" t="s">
        <v>1436</v>
      </c>
      <c r="G188" s="5" t="s">
        <v>1437</v>
      </c>
      <c r="H188" s="5" t="s">
        <v>1438</v>
      </c>
      <c r="I188" s="5" t="s">
        <v>1439</v>
      </c>
      <c r="J188" s="5" t="s">
        <v>1440</v>
      </c>
      <c r="K188" s="5" t="s">
        <v>23</v>
      </c>
      <c r="L188" s="5" t="s">
        <v>1441</v>
      </c>
      <c r="M188" s="5" t="s">
        <v>119</v>
      </c>
      <c r="N188" s="5" t="s">
        <v>181</v>
      </c>
      <c r="O188" s="5" t="s">
        <v>660</v>
      </c>
    </row>
    <row r="189" ht="22.5" customHeight="1">
      <c r="A189" s="4">
        <v>46036.82948153935</v>
      </c>
      <c r="B189" s="5" t="s">
        <v>1442</v>
      </c>
      <c r="C189" s="5" t="s">
        <v>1443</v>
      </c>
      <c r="D189" s="5" t="s">
        <v>1442</v>
      </c>
      <c r="E189" s="5" t="s">
        <v>17</v>
      </c>
      <c r="F189" s="5" t="s">
        <v>1444</v>
      </c>
      <c r="G189" s="5" t="s">
        <v>1445</v>
      </c>
      <c r="H189" s="5" t="s">
        <v>1446</v>
      </c>
      <c r="I189" s="5" t="s">
        <v>1291</v>
      </c>
      <c r="J189" s="5" t="s">
        <v>1447</v>
      </c>
      <c r="K189" s="5" t="s">
        <v>30</v>
      </c>
      <c r="L189" s="5" t="s">
        <v>1448</v>
      </c>
      <c r="M189" s="5" t="s">
        <v>1383</v>
      </c>
      <c r="N189" s="5" t="s">
        <v>200</v>
      </c>
      <c r="O189" s="5" t="s">
        <v>201</v>
      </c>
    </row>
    <row r="190" ht="22.5" customHeight="1">
      <c r="A190" s="4">
        <v>46036.827206608796</v>
      </c>
      <c r="B190" s="5" t="s">
        <v>1449</v>
      </c>
      <c r="C190" s="5" t="s">
        <v>1450</v>
      </c>
      <c r="D190" s="5" t="s">
        <v>1449</v>
      </c>
      <c r="E190" s="5" t="s">
        <v>17</v>
      </c>
      <c r="F190" s="5" t="s">
        <v>1451</v>
      </c>
      <c r="G190" s="5" t="s">
        <v>1452</v>
      </c>
      <c r="H190" s="5" t="s">
        <v>1453</v>
      </c>
      <c r="I190" s="5" t="s">
        <v>1454</v>
      </c>
      <c r="J190" s="5" t="s">
        <v>1455</v>
      </c>
      <c r="K190" s="5" t="s">
        <v>162</v>
      </c>
      <c r="L190" s="5" t="s">
        <v>1456</v>
      </c>
      <c r="M190" s="5" t="s">
        <v>119</v>
      </c>
      <c r="N190" s="5" t="s">
        <v>200</v>
      </c>
      <c r="O190" s="5" t="s">
        <v>1457</v>
      </c>
    </row>
    <row r="191" ht="22.5" customHeight="1">
      <c r="A191" s="4">
        <v>46036.834786990745</v>
      </c>
      <c r="B191" s="5" t="s">
        <v>1458</v>
      </c>
      <c r="C191" s="5" t="s">
        <v>1459</v>
      </c>
      <c r="D191" s="5" t="s">
        <v>1458</v>
      </c>
      <c r="E191" s="5" t="s">
        <v>17</v>
      </c>
      <c r="F191" s="5" t="s">
        <v>1460</v>
      </c>
      <c r="G191" s="5" t="s">
        <v>1461</v>
      </c>
      <c r="H191" s="5" t="s">
        <v>1462</v>
      </c>
      <c r="I191" s="5" t="s">
        <v>1463</v>
      </c>
      <c r="J191" s="5" t="s">
        <v>1464</v>
      </c>
      <c r="K191" s="5" t="s">
        <v>30</v>
      </c>
      <c r="L191" s="5" t="s">
        <v>1465</v>
      </c>
      <c r="M191" s="5" t="s">
        <v>71</v>
      </c>
      <c r="N191" s="5" t="s">
        <v>51</v>
      </c>
      <c r="O191" s="5" t="s">
        <v>52</v>
      </c>
    </row>
    <row r="192" ht="22.5" customHeight="1">
      <c r="A192" s="4">
        <v>46036.882518900464</v>
      </c>
      <c r="B192" s="5" t="s">
        <v>1466</v>
      </c>
      <c r="C192" s="5" t="s">
        <v>1467</v>
      </c>
      <c r="D192" s="5" t="s">
        <v>1466</v>
      </c>
      <c r="E192" s="5" t="s">
        <v>17</v>
      </c>
      <c r="F192" s="5" t="s">
        <v>1468</v>
      </c>
      <c r="G192" s="5" t="s">
        <v>1469</v>
      </c>
      <c r="H192" s="5" t="s">
        <v>1470</v>
      </c>
      <c r="I192" s="5" t="s">
        <v>1471</v>
      </c>
      <c r="J192" s="5" t="s">
        <v>1472</v>
      </c>
      <c r="K192" s="5" t="s">
        <v>23</v>
      </c>
      <c r="L192" s="5" t="s">
        <v>1473</v>
      </c>
      <c r="M192" s="5" t="s">
        <v>119</v>
      </c>
      <c r="N192" s="5" t="s">
        <v>200</v>
      </c>
      <c r="O192" s="5" t="s">
        <v>566</v>
      </c>
    </row>
    <row r="193" ht="22.5" customHeight="1">
      <c r="A193" s="4">
        <v>46036.88407650463</v>
      </c>
      <c r="B193" s="5" t="s">
        <v>1474</v>
      </c>
      <c r="C193" s="5" t="s">
        <v>1475</v>
      </c>
      <c r="D193" s="5" t="s">
        <v>1474</v>
      </c>
      <c r="E193" s="5" t="s">
        <v>131</v>
      </c>
      <c r="F193" s="5" t="s">
        <v>1476</v>
      </c>
      <c r="G193" s="5" t="s">
        <v>1477</v>
      </c>
      <c r="H193" s="5" t="s">
        <v>1478</v>
      </c>
      <c r="I193" s="5" t="s">
        <v>1479</v>
      </c>
      <c r="J193" s="5" t="s">
        <v>1480</v>
      </c>
      <c r="K193" s="5" t="s">
        <v>23</v>
      </c>
      <c r="L193" s="5" t="s">
        <v>1481</v>
      </c>
      <c r="M193" s="5" t="s">
        <v>25</v>
      </c>
      <c r="N193" s="5" t="s">
        <v>51</v>
      </c>
      <c r="O193" s="5" t="s">
        <v>73</v>
      </c>
    </row>
    <row r="194" ht="22.5" customHeight="1">
      <c r="A194" s="4">
        <v>46036.889546307866</v>
      </c>
      <c r="B194" s="5" t="s">
        <v>1474</v>
      </c>
      <c r="C194" s="5" t="s">
        <v>1475</v>
      </c>
      <c r="D194" s="5" t="s">
        <v>1474</v>
      </c>
      <c r="E194" s="5" t="s">
        <v>131</v>
      </c>
      <c r="F194" s="5" t="s">
        <v>1476</v>
      </c>
      <c r="G194" s="5" t="s">
        <v>1482</v>
      </c>
      <c r="H194" s="5" t="s">
        <v>1483</v>
      </c>
      <c r="I194" s="5" t="s">
        <v>1479</v>
      </c>
      <c r="J194" s="5" t="s">
        <v>1484</v>
      </c>
      <c r="K194" s="5" t="s">
        <v>30</v>
      </c>
      <c r="L194" s="5" t="s">
        <v>1485</v>
      </c>
      <c r="M194" s="5" t="s">
        <v>25</v>
      </c>
      <c r="N194" s="5" t="s">
        <v>51</v>
      </c>
      <c r="O194" s="5" t="s">
        <v>52</v>
      </c>
    </row>
    <row r="195" ht="22.5" customHeight="1">
      <c r="A195" s="4">
        <v>46036.97931879629</v>
      </c>
      <c r="B195" s="5" t="s">
        <v>1486</v>
      </c>
      <c r="C195" s="5" t="s">
        <v>1487</v>
      </c>
      <c r="D195" s="5" t="s">
        <v>1486</v>
      </c>
      <c r="E195" s="5" t="s">
        <v>17</v>
      </c>
      <c r="F195" s="5" t="s">
        <v>1488</v>
      </c>
      <c r="G195" s="5" t="s">
        <v>1489</v>
      </c>
      <c r="H195" s="5" t="s">
        <v>1490</v>
      </c>
      <c r="I195" s="5" t="s">
        <v>1491</v>
      </c>
      <c r="J195" s="5" t="s">
        <v>1492</v>
      </c>
      <c r="K195" s="5" t="s">
        <v>30</v>
      </c>
      <c r="L195" s="5" t="s">
        <v>878</v>
      </c>
      <c r="M195" s="5" t="s">
        <v>119</v>
      </c>
      <c r="N195" s="5" t="s">
        <v>548</v>
      </c>
      <c r="O195" s="5" t="s">
        <v>182</v>
      </c>
    </row>
    <row r="196" ht="22.5" customHeight="1">
      <c r="A196" s="4">
        <v>46036.99351947916</v>
      </c>
      <c r="B196" s="5" t="s">
        <v>1221</v>
      </c>
      <c r="C196" s="5" t="s">
        <v>1493</v>
      </c>
      <c r="D196" s="5" t="s">
        <v>1221</v>
      </c>
      <c r="E196" s="5" t="s">
        <v>17</v>
      </c>
      <c r="F196" s="5" t="s">
        <v>1494</v>
      </c>
      <c r="G196" s="5" t="s">
        <v>1495</v>
      </c>
      <c r="H196" s="5" t="s">
        <v>1496</v>
      </c>
      <c r="I196" s="5" t="s">
        <v>1497</v>
      </c>
      <c r="J196" s="5" t="s">
        <v>1498</v>
      </c>
      <c r="K196" s="5" t="s">
        <v>162</v>
      </c>
      <c r="L196" s="5" t="s">
        <v>1228</v>
      </c>
      <c r="M196" s="5" t="s">
        <v>61</v>
      </c>
      <c r="N196" s="5" t="s">
        <v>200</v>
      </c>
      <c r="O196" s="5" t="s">
        <v>26</v>
      </c>
    </row>
    <row r="197" ht="22.5" customHeight="1">
      <c r="A197" s="4">
        <v>46037.007595717594</v>
      </c>
      <c r="B197" s="5" t="s">
        <v>1499</v>
      </c>
      <c r="C197" s="5" t="s">
        <v>1500</v>
      </c>
      <c r="D197" s="5" t="s">
        <v>1499</v>
      </c>
      <c r="E197" s="5" t="s">
        <v>17</v>
      </c>
      <c r="F197" s="5" t="s">
        <v>1501</v>
      </c>
      <c r="G197" s="5" t="s">
        <v>1502</v>
      </c>
      <c r="H197" s="5" t="s">
        <v>21</v>
      </c>
      <c r="I197" s="5" t="s">
        <v>1503</v>
      </c>
      <c r="J197" s="5" t="s">
        <v>1504</v>
      </c>
      <c r="K197" s="5" t="s">
        <v>162</v>
      </c>
      <c r="L197" s="5" t="s">
        <v>1505</v>
      </c>
      <c r="M197" s="5" t="s">
        <v>31</v>
      </c>
      <c r="N197" s="5" t="s">
        <v>26</v>
      </c>
      <c r="O197" s="5" t="s">
        <v>825</v>
      </c>
    </row>
    <row r="198" ht="22.5" customHeight="1">
      <c r="A198" s="4">
        <v>46037.00824303241</v>
      </c>
      <c r="B198" s="5" t="s">
        <v>1506</v>
      </c>
      <c r="C198" s="5" t="s">
        <v>1507</v>
      </c>
      <c r="D198" s="5" t="s">
        <v>1506</v>
      </c>
      <c r="E198" s="5" t="s">
        <v>17</v>
      </c>
      <c r="F198" s="5" t="s">
        <v>1508</v>
      </c>
      <c r="G198" s="5" t="s">
        <v>1509</v>
      </c>
      <c r="H198" s="5" t="s">
        <v>1510</v>
      </c>
      <c r="I198" s="5" t="s">
        <v>1257</v>
      </c>
      <c r="J198" s="5" t="s">
        <v>1511</v>
      </c>
      <c r="K198" s="5" t="s">
        <v>162</v>
      </c>
      <c r="L198" s="5" t="s">
        <v>1260</v>
      </c>
      <c r="M198" s="5" t="s">
        <v>1512</v>
      </c>
      <c r="N198" s="5" t="s">
        <v>592</v>
      </c>
      <c r="O198" s="5" t="s">
        <v>593</v>
      </c>
    </row>
    <row r="199" ht="22.5" customHeight="1">
      <c r="A199" s="4">
        <v>46037.05882556713</v>
      </c>
      <c r="B199" s="5" t="s">
        <v>1513</v>
      </c>
      <c r="C199" s="5" t="s">
        <v>1514</v>
      </c>
      <c r="D199" s="5" t="s">
        <v>1513</v>
      </c>
      <c r="E199" s="5" t="s">
        <v>17</v>
      </c>
      <c r="F199" s="5" t="s">
        <v>1515</v>
      </c>
      <c r="G199" s="5" t="s">
        <v>1516</v>
      </c>
      <c r="H199" s="5" t="s">
        <v>1517</v>
      </c>
      <c r="I199" s="5" t="s">
        <v>1518</v>
      </c>
      <c r="J199" s="5" t="s">
        <v>1115</v>
      </c>
      <c r="K199" s="5" t="s">
        <v>162</v>
      </c>
      <c r="L199" s="5" t="s">
        <v>1519</v>
      </c>
      <c r="M199" s="5" t="s">
        <v>25</v>
      </c>
      <c r="N199" s="5" t="s">
        <v>592</v>
      </c>
      <c r="O199" s="5" t="s">
        <v>593</v>
      </c>
    </row>
    <row r="200" ht="22.5" customHeight="1">
      <c r="A200" s="4">
        <v>46037.109012569446</v>
      </c>
      <c r="B200" s="5" t="s">
        <v>1520</v>
      </c>
      <c r="C200" s="5" t="s">
        <v>1521</v>
      </c>
      <c r="D200" s="5" t="s">
        <v>1520</v>
      </c>
      <c r="E200" s="5" t="s">
        <v>17</v>
      </c>
      <c r="F200" s="5" t="s">
        <v>1522</v>
      </c>
      <c r="G200" s="5" t="s">
        <v>1523</v>
      </c>
      <c r="H200" s="5" t="s">
        <v>1524</v>
      </c>
      <c r="I200" s="5" t="s">
        <v>1525</v>
      </c>
      <c r="J200" s="5" t="s">
        <v>1526</v>
      </c>
      <c r="K200" s="5" t="s">
        <v>30</v>
      </c>
      <c r="L200" s="5" t="s">
        <v>1527</v>
      </c>
      <c r="M200" s="5" t="s">
        <v>119</v>
      </c>
      <c r="N200" s="5" t="s">
        <v>437</v>
      </c>
      <c r="O200" s="5" t="s">
        <v>328</v>
      </c>
    </row>
    <row r="201" ht="22.5" customHeight="1">
      <c r="A201" s="4">
        <v>46037.141765416665</v>
      </c>
      <c r="B201" s="5" t="s">
        <v>1528</v>
      </c>
      <c r="C201" s="5" t="s">
        <v>1529</v>
      </c>
      <c r="D201" s="5" t="s">
        <v>1528</v>
      </c>
      <c r="E201" s="5" t="s">
        <v>64</v>
      </c>
      <c r="F201" s="5" t="s">
        <v>1530</v>
      </c>
      <c r="G201" s="5" t="s">
        <v>1531</v>
      </c>
      <c r="H201" s="5" t="s">
        <v>1532</v>
      </c>
      <c r="I201" s="5" t="s">
        <v>1533</v>
      </c>
      <c r="J201" s="5" t="s">
        <v>1534</v>
      </c>
      <c r="K201" s="5" t="s">
        <v>30</v>
      </c>
      <c r="L201" s="5" t="s">
        <v>81</v>
      </c>
      <c r="M201" s="5" t="s">
        <v>61</v>
      </c>
      <c r="N201" s="5" t="s">
        <v>72</v>
      </c>
      <c r="O201" s="5" t="s">
        <v>73</v>
      </c>
    </row>
    <row r="202" ht="22.5" customHeight="1">
      <c r="A202" s="4">
        <v>46037.15891774306</v>
      </c>
      <c r="B202" s="5" t="s">
        <v>1535</v>
      </c>
      <c r="C202" s="5" t="s">
        <v>1536</v>
      </c>
      <c r="D202" s="5" t="s">
        <v>1535</v>
      </c>
      <c r="E202" s="5" t="s">
        <v>64</v>
      </c>
      <c r="F202" s="5" t="s">
        <v>1537</v>
      </c>
      <c r="G202" s="5" t="s">
        <v>1538</v>
      </c>
      <c r="H202" s="5" t="s">
        <v>1539</v>
      </c>
      <c r="I202" s="5" t="s">
        <v>1540</v>
      </c>
      <c r="J202" s="5" t="s">
        <v>1541</v>
      </c>
      <c r="K202" s="5" t="s">
        <v>23</v>
      </c>
      <c r="L202" s="5" t="s">
        <v>1116</v>
      </c>
      <c r="M202" s="5" t="s">
        <v>119</v>
      </c>
      <c r="N202" s="5" t="s">
        <v>833</v>
      </c>
      <c r="O202" s="5" t="s">
        <v>1542</v>
      </c>
    </row>
    <row r="203" ht="22.5" customHeight="1">
      <c r="A203" s="4">
        <v>46037.25124188657</v>
      </c>
      <c r="B203" s="5" t="s">
        <v>1543</v>
      </c>
      <c r="C203" s="5" t="s">
        <v>1544</v>
      </c>
      <c r="D203" s="5" t="s">
        <v>1543</v>
      </c>
      <c r="E203" s="5" t="s">
        <v>17</v>
      </c>
      <c r="F203" s="5" t="s">
        <v>1545</v>
      </c>
      <c r="G203" s="5" t="s">
        <v>1546</v>
      </c>
      <c r="H203" s="5" t="s">
        <v>1547</v>
      </c>
      <c r="I203" s="5" t="s">
        <v>1548</v>
      </c>
      <c r="J203" s="5" t="s">
        <v>1549</v>
      </c>
      <c r="K203" s="5" t="s">
        <v>23</v>
      </c>
      <c r="L203" s="5" t="s">
        <v>39</v>
      </c>
      <c r="M203" s="5" t="s">
        <v>39</v>
      </c>
      <c r="N203" s="5" t="s">
        <v>549</v>
      </c>
      <c r="O203" s="5" t="s">
        <v>1195</v>
      </c>
    </row>
    <row r="204" ht="22.5" customHeight="1">
      <c r="A204" s="4">
        <v>46037.33978311342</v>
      </c>
      <c r="B204" s="5" t="s">
        <v>1550</v>
      </c>
      <c r="C204" s="5" t="s">
        <v>1551</v>
      </c>
      <c r="D204" s="5" t="s">
        <v>1550</v>
      </c>
      <c r="E204" s="5" t="s">
        <v>17</v>
      </c>
      <c r="F204" s="5" t="s">
        <v>1552</v>
      </c>
      <c r="G204" s="5" t="s">
        <v>1553</v>
      </c>
      <c r="H204" s="5" t="s">
        <v>1554</v>
      </c>
      <c r="I204" s="5" t="s">
        <v>1432</v>
      </c>
      <c r="J204" s="5" t="s">
        <v>1555</v>
      </c>
      <c r="K204" s="5" t="s">
        <v>30</v>
      </c>
      <c r="L204" s="5" t="s">
        <v>1556</v>
      </c>
      <c r="M204" s="5" t="s">
        <v>119</v>
      </c>
      <c r="N204" s="5" t="s">
        <v>446</v>
      </c>
      <c r="O204" s="5" t="s">
        <v>446</v>
      </c>
    </row>
    <row r="205" ht="22.5" customHeight="1">
      <c r="A205" s="4">
        <v>46037.34462305556</v>
      </c>
      <c r="B205" s="5" t="s">
        <v>1557</v>
      </c>
      <c r="C205" s="5" t="s">
        <v>1558</v>
      </c>
      <c r="D205" s="5" t="s">
        <v>1557</v>
      </c>
      <c r="E205" s="5" t="s">
        <v>17</v>
      </c>
      <c r="F205" s="5" t="s">
        <v>1559</v>
      </c>
      <c r="G205" s="5" t="s">
        <v>1560</v>
      </c>
      <c r="H205" s="5" t="s">
        <v>1561</v>
      </c>
      <c r="I205" s="5" t="s">
        <v>1562</v>
      </c>
      <c r="J205" s="5" t="s">
        <v>20</v>
      </c>
      <c r="K205" s="5" t="s">
        <v>23</v>
      </c>
      <c r="L205" s="5" t="s">
        <v>1563</v>
      </c>
      <c r="M205" s="5" t="s">
        <v>119</v>
      </c>
      <c r="N205" s="5" t="s">
        <v>257</v>
      </c>
      <c r="O205" s="5" t="s">
        <v>258</v>
      </c>
    </row>
    <row r="206" ht="22.5" customHeight="1">
      <c r="A206" s="4">
        <v>46037.37063422454</v>
      </c>
      <c r="B206" s="5" t="s">
        <v>1564</v>
      </c>
      <c r="C206" s="5" t="s">
        <v>1565</v>
      </c>
      <c r="D206" s="5" t="s">
        <v>1564</v>
      </c>
      <c r="E206" s="5" t="s">
        <v>17</v>
      </c>
      <c r="F206" s="5" t="s">
        <v>1566</v>
      </c>
      <c r="G206" s="5" t="s">
        <v>1567</v>
      </c>
      <c r="H206" s="5" t="s">
        <v>1568</v>
      </c>
      <c r="I206" s="5" t="s">
        <v>1569</v>
      </c>
      <c r="J206" s="5" t="s">
        <v>1570</v>
      </c>
      <c r="K206" s="5" t="s">
        <v>30</v>
      </c>
      <c r="L206" s="5" t="s">
        <v>878</v>
      </c>
      <c r="M206" s="5" t="s">
        <v>119</v>
      </c>
      <c r="N206" s="5" t="s">
        <v>1571</v>
      </c>
      <c r="O206" s="5" t="s">
        <v>1572</v>
      </c>
    </row>
    <row r="207" ht="22.5" customHeight="1">
      <c r="A207" s="4">
        <v>46037.40196178241</v>
      </c>
      <c r="B207" s="5" t="s">
        <v>1573</v>
      </c>
      <c r="C207" s="5" t="s">
        <v>1574</v>
      </c>
      <c r="D207" s="5" t="s">
        <v>1573</v>
      </c>
      <c r="E207" s="5" t="s">
        <v>17</v>
      </c>
      <c r="F207" s="5" t="s">
        <v>1575</v>
      </c>
      <c r="G207" s="5" t="s">
        <v>1576</v>
      </c>
      <c r="H207" s="5" t="s">
        <v>1577</v>
      </c>
      <c r="I207" s="5" t="s">
        <v>21</v>
      </c>
      <c r="J207" s="5" t="s">
        <v>1578</v>
      </c>
      <c r="K207" s="5" t="s">
        <v>30</v>
      </c>
      <c r="L207" s="5" t="s">
        <v>1579</v>
      </c>
      <c r="M207" s="5" t="s">
        <v>119</v>
      </c>
      <c r="N207" s="5" t="s">
        <v>257</v>
      </c>
      <c r="O207" s="5" t="s">
        <v>1580</v>
      </c>
    </row>
    <row r="208" ht="22.5" customHeight="1">
      <c r="A208" s="4">
        <v>46037.4869652662</v>
      </c>
      <c r="B208" s="5" t="s">
        <v>1581</v>
      </c>
      <c r="C208" s="5" t="s">
        <v>1582</v>
      </c>
      <c r="D208" s="5" t="s">
        <v>1581</v>
      </c>
      <c r="E208" s="5" t="s">
        <v>17</v>
      </c>
      <c r="F208" s="5" t="s">
        <v>1583</v>
      </c>
      <c r="G208" s="5" t="s">
        <v>1584</v>
      </c>
      <c r="H208" s="5" t="s">
        <v>1585</v>
      </c>
      <c r="I208" s="5" t="s">
        <v>1586</v>
      </c>
      <c r="J208" s="5" t="s">
        <v>1587</v>
      </c>
      <c r="K208" s="5" t="s">
        <v>162</v>
      </c>
      <c r="L208" s="5" t="s">
        <v>1588</v>
      </c>
      <c r="M208" s="5" t="s">
        <v>61</v>
      </c>
      <c r="N208" s="5" t="s">
        <v>447</v>
      </c>
      <c r="O208" s="5" t="s">
        <v>1589</v>
      </c>
    </row>
    <row r="209" ht="22.5" customHeight="1">
      <c r="A209" s="4">
        <v>46037.654585543976</v>
      </c>
      <c r="B209" s="5" t="s">
        <v>1590</v>
      </c>
      <c r="C209" s="5" t="s">
        <v>1591</v>
      </c>
      <c r="D209" s="5" t="s">
        <v>1590</v>
      </c>
      <c r="E209" s="5" t="s">
        <v>17</v>
      </c>
      <c r="F209" s="5" t="s">
        <v>1592</v>
      </c>
      <c r="G209" s="5" t="s">
        <v>1593</v>
      </c>
      <c r="H209" s="5" t="s">
        <v>1594</v>
      </c>
      <c r="I209" s="5" t="s">
        <v>1595</v>
      </c>
      <c r="J209" s="5" t="s">
        <v>1596</v>
      </c>
      <c r="K209" s="5" t="s">
        <v>30</v>
      </c>
      <c r="L209" s="5" t="s">
        <v>1597</v>
      </c>
      <c r="M209" s="5" t="s">
        <v>39</v>
      </c>
      <c r="N209" s="5" t="s">
        <v>833</v>
      </c>
      <c r="O209" s="5" t="s">
        <v>404</v>
      </c>
    </row>
    <row r="210" ht="22.5" customHeight="1">
      <c r="A210" s="4">
        <v>46037.72644809028</v>
      </c>
      <c r="B210" s="5" t="s">
        <v>1598</v>
      </c>
      <c r="C210" s="5" t="s">
        <v>1599</v>
      </c>
      <c r="D210" s="5" t="s">
        <v>1600</v>
      </c>
      <c r="E210" s="5" t="s">
        <v>64</v>
      </c>
      <c r="F210" s="5" t="s">
        <v>1601</v>
      </c>
      <c r="G210" s="5" t="s">
        <v>1602</v>
      </c>
      <c r="H210" s="5" t="s">
        <v>1603</v>
      </c>
      <c r="I210" s="5" t="s">
        <v>1604</v>
      </c>
      <c r="J210" s="5" t="s">
        <v>1605</v>
      </c>
      <c r="K210" s="5" t="s">
        <v>30</v>
      </c>
      <c r="L210" s="5" t="s">
        <v>1606</v>
      </c>
      <c r="M210" s="5" t="s">
        <v>456</v>
      </c>
      <c r="N210" s="5" t="s">
        <v>51</v>
      </c>
      <c r="O210" s="5" t="s">
        <v>52</v>
      </c>
    </row>
    <row r="211" ht="22.5" customHeight="1">
      <c r="A211" s="4">
        <v>46037.750608055554</v>
      </c>
      <c r="B211" s="5" t="s">
        <v>1607</v>
      </c>
      <c r="C211" s="5" t="s">
        <v>1608</v>
      </c>
      <c r="D211" s="5" t="s">
        <v>1607</v>
      </c>
      <c r="E211" s="5" t="s">
        <v>17</v>
      </c>
      <c r="F211" s="5" t="s">
        <v>1609</v>
      </c>
      <c r="G211" s="5" t="s">
        <v>1610</v>
      </c>
      <c r="H211" s="5" t="s">
        <v>1611</v>
      </c>
      <c r="I211" s="5" t="s">
        <v>1612</v>
      </c>
      <c r="J211" s="5" t="s">
        <v>159</v>
      </c>
      <c r="K211" s="5" t="s">
        <v>162</v>
      </c>
      <c r="L211" s="5" t="s">
        <v>1613</v>
      </c>
      <c r="M211" s="5" t="s">
        <v>119</v>
      </c>
      <c r="N211" s="5" t="s">
        <v>26</v>
      </c>
      <c r="O211" s="5" t="s">
        <v>26</v>
      </c>
    </row>
    <row r="212" ht="22.5" customHeight="1">
      <c r="A212" s="4">
        <v>46037.75469607639</v>
      </c>
      <c r="B212" s="5" t="s">
        <v>1614</v>
      </c>
      <c r="C212" s="5" t="s">
        <v>1615</v>
      </c>
      <c r="D212" s="5" t="s">
        <v>1614</v>
      </c>
      <c r="E212" s="5" t="s">
        <v>64</v>
      </c>
      <c r="F212" s="5" t="s">
        <v>1616</v>
      </c>
      <c r="G212" s="5" t="s">
        <v>1617</v>
      </c>
      <c r="H212" s="5" t="s">
        <v>844</v>
      </c>
      <c r="I212" s="5" t="s">
        <v>1115</v>
      </c>
      <c r="J212" s="5" t="s">
        <v>1618</v>
      </c>
      <c r="K212" s="5" t="s">
        <v>162</v>
      </c>
      <c r="L212" s="5" t="s">
        <v>1456</v>
      </c>
      <c r="M212" s="5" t="s">
        <v>25</v>
      </c>
      <c r="N212" s="5" t="s">
        <v>437</v>
      </c>
      <c r="O212" s="5" t="s">
        <v>437</v>
      </c>
    </row>
    <row r="213" ht="22.5" customHeight="1">
      <c r="A213" s="4">
        <v>46037.780702523145</v>
      </c>
      <c r="B213" s="5" t="s">
        <v>1619</v>
      </c>
      <c r="C213" s="5" t="s">
        <v>1620</v>
      </c>
      <c r="D213" s="5" t="s">
        <v>1619</v>
      </c>
      <c r="E213" s="5" t="s">
        <v>64</v>
      </c>
      <c r="F213" s="5" t="s">
        <v>1621</v>
      </c>
      <c r="G213" s="5" t="s">
        <v>1622</v>
      </c>
      <c r="H213" s="5" t="s">
        <v>1623</v>
      </c>
      <c r="I213" s="5" t="s">
        <v>22</v>
      </c>
      <c r="J213" s="5" t="s">
        <v>1624</v>
      </c>
      <c r="K213" s="5" t="s">
        <v>30</v>
      </c>
      <c r="L213" s="5" t="s">
        <v>1625</v>
      </c>
      <c r="M213" s="5" t="s">
        <v>119</v>
      </c>
      <c r="N213" s="5" t="s">
        <v>51</v>
      </c>
      <c r="O213" s="5" t="s">
        <v>73</v>
      </c>
    </row>
    <row r="214" ht="22.5" customHeight="1">
      <c r="A214" s="4">
        <v>46037.784182407406</v>
      </c>
      <c r="B214" s="5" t="s">
        <v>1626</v>
      </c>
      <c r="C214" s="5" t="s">
        <v>1627</v>
      </c>
      <c r="D214" s="5" t="s">
        <v>1626</v>
      </c>
      <c r="E214" s="5" t="s">
        <v>64</v>
      </c>
      <c r="F214" s="5" t="s">
        <v>1628</v>
      </c>
      <c r="G214" s="5" t="s">
        <v>1629</v>
      </c>
      <c r="H214" s="5" t="s">
        <v>1630</v>
      </c>
      <c r="I214" s="5" t="s">
        <v>1631</v>
      </c>
      <c r="J214" s="5" t="s">
        <v>1632</v>
      </c>
      <c r="K214" s="5" t="s">
        <v>30</v>
      </c>
      <c r="L214" s="5" t="s">
        <v>1156</v>
      </c>
      <c r="M214" s="5" t="s">
        <v>164</v>
      </c>
      <c r="N214" s="5" t="s">
        <v>51</v>
      </c>
      <c r="O214" s="5" t="s">
        <v>52</v>
      </c>
    </row>
    <row r="215" ht="22.5" customHeight="1">
      <c r="A215" s="4">
        <v>46037.83386745371</v>
      </c>
      <c r="B215" s="5" t="s">
        <v>1633</v>
      </c>
      <c r="C215" s="5" t="s">
        <v>1634</v>
      </c>
      <c r="D215" s="5" t="s">
        <v>1633</v>
      </c>
      <c r="E215" s="5" t="s">
        <v>131</v>
      </c>
      <c r="F215" s="5" t="s">
        <v>1635</v>
      </c>
      <c r="G215" s="5" t="s">
        <v>1636</v>
      </c>
      <c r="H215" s="5" t="s">
        <v>1637</v>
      </c>
      <c r="I215" s="5" t="s">
        <v>1638</v>
      </c>
      <c r="J215" s="5" t="s">
        <v>1639</v>
      </c>
      <c r="K215" s="5" t="s">
        <v>162</v>
      </c>
      <c r="L215" s="5" t="s">
        <v>1640</v>
      </c>
      <c r="M215" s="5" t="s">
        <v>39</v>
      </c>
      <c r="N215" s="5" t="s">
        <v>548</v>
      </c>
      <c r="O215" s="5" t="s">
        <v>404</v>
      </c>
    </row>
    <row r="216" ht="22.5" customHeight="1">
      <c r="A216" s="4">
        <v>46037.835364687504</v>
      </c>
      <c r="B216" s="5" t="s">
        <v>1641</v>
      </c>
      <c r="C216" s="5" t="s">
        <v>1642</v>
      </c>
      <c r="D216" s="5" t="s">
        <v>1641</v>
      </c>
      <c r="E216" s="5" t="s">
        <v>64</v>
      </c>
      <c r="F216" s="5" t="s">
        <v>1643</v>
      </c>
      <c r="G216" s="5" t="s">
        <v>1644</v>
      </c>
      <c r="H216" s="5" t="s">
        <v>1645</v>
      </c>
      <c r="I216" s="5" t="s">
        <v>409</v>
      </c>
      <c r="J216" s="5" t="s">
        <v>1138</v>
      </c>
      <c r="K216" s="5" t="s">
        <v>162</v>
      </c>
      <c r="L216" s="5" t="s">
        <v>1646</v>
      </c>
      <c r="M216" s="5" t="s">
        <v>119</v>
      </c>
      <c r="N216" s="5" t="s">
        <v>1647</v>
      </c>
      <c r="O216" s="5" t="s">
        <v>566</v>
      </c>
    </row>
    <row r="217" ht="22.5" customHeight="1">
      <c r="A217" s="4">
        <v>46037.848872523144</v>
      </c>
      <c r="B217" s="5" t="s">
        <v>1648</v>
      </c>
      <c r="C217" s="5" t="s">
        <v>1649</v>
      </c>
      <c r="D217" s="5" t="s">
        <v>1648</v>
      </c>
      <c r="E217" s="5" t="s">
        <v>17</v>
      </c>
      <c r="F217" s="5" t="s">
        <v>1650</v>
      </c>
      <c r="G217" s="5" t="s">
        <v>1651</v>
      </c>
      <c r="H217" s="5" t="s">
        <v>274</v>
      </c>
      <c r="I217" s="5" t="s">
        <v>1652</v>
      </c>
      <c r="J217" s="5" t="s">
        <v>1653</v>
      </c>
      <c r="K217" s="5" t="s">
        <v>23</v>
      </c>
      <c r="L217" s="5" t="s">
        <v>1654</v>
      </c>
      <c r="M217" s="5" t="s">
        <v>413</v>
      </c>
      <c r="N217" s="5" t="s">
        <v>437</v>
      </c>
      <c r="O217" s="5" t="s">
        <v>328</v>
      </c>
    </row>
    <row r="218" ht="22.5" customHeight="1">
      <c r="A218" s="4">
        <v>46037.891919444446</v>
      </c>
      <c r="B218" s="5" t="s">
        <v>1655</v>
      </c>
      <c r="C218" s="5" t="s">
        <v>1656</v>
      </c>
      <c r="D218" s="5" t="s">
        <v>1655</v>
      </c>
      <c r="E218" s="5" t="s">
        <v>17</v>
      </c>
      <c r="F218" s="5" t="s">
        <v>1657</v>
      </c>
      <c r="G218" s="5" t="s">
        <v>1658</v>
      </c>
      <c r="H218" s="5" t="s">
        <v>1659</v>
      </c>
      <c r="I218" s="5" t="s">
        <v>58</v>
      </c>
      <c r="J218" s="5" t="s">
        <v>1660</v>
      </c>
      <c r="K218" s="5" t="s">
        <v>162</v>
      </c>
      <c r="L218" s="5" t="s">
        <v>1661</v>
      </c>
      <c r="M218" s="5" t="s">
        <v>31</v>
      </c>
      <c r="N218" s="5" t="s">
        <v>26</v>
      </c>
      <c r="O218" s="5" t="s">
        <v>26</v>
      </c>
    </row>
    <row r="219" ht="22.5" customHeight="1">
      <c r="A219" s="4">
        <v>46037.897460277774</v>
      </c>
      <c r="B219" s="5" t="s">
        <v>1662</v>
      </c>
      <c r="C219" s="5" t="s">
        <v>1663</v>
      </c>
      <c r="D219" s="5" t="s">
        <v>1662</v>
      </c>
      <c r="E219" s="5" t="s">
        <v>64</v>
      </c>
      <c r="F219" s="5" t="s">
        <v>1664</v>
      </c>
      <c r="G219" s="5" t="s">
        <v>1665</v>
      </c>
      <c r="H219" s="5" t="s">
        <v>1666</v>
      </c>
      <c r="I219" s="5" t="s">
        <v>1667</v>
      </c>
      <c r="J219" s="5" t="s">
        <v>1668</v>
      </c>
      <c r="K219" s="5" t="s">
        <v>30</v>
      </c>
      <c r="L219" s="5" t="s">
        <v>1669</v>
      </c>
      <c r="M219" s="5" t="s">
        <v>31</v>
      </c>
      <c r="N219" s="5" t="s">
        <v>72</v>
      </c>
      <c r="O219" s="5" t="s">
        <v>73</v>
      </c>
    </row>
    <row r="220" ht="22.5" customHeight="1">
      <c r="A220" s="4">
        <v>46037.91215359954</v>
      </c>
      <c r="B220" s="5" t="s">
        <v>1670</v>
      </c>
      <c r="C220" s="5" t="s">
        <v>1671</v>
      </c>
      <c r="D220" s="5" t="s">
        <v>1670</v>
      </c>
      <c r="E220" s="5" t="s">
        <v>64</v>
      </c>
      <c r="F220" s="5" t="s">
        <v>1672</v>
      </c>
      <c r="G220" s="5" t="s">
        <v>1673</v>
      </c>
      <c r="H220" s="5" t="s">
        <v>1674</v>
      </c>
      <c r="I220" s="5" t="s">
        <v>1675</v>
      </c>
      <c r="J220" s="5" t="s">
        <v>1676</v>
      </c>
      <c r="K220" s="5" t="s">
        <v>30</v>
      </c>
      <c r="L220" s="5" t="s">
        <v>1677</v>
      </c>
      <c r="M220" s="5" t="s">
        <v>119</v>
      </c>
      <c r="N220" s="5" t="s">
        <v>51</v>
      </c>
      <c r="O220" s="5" t="s">
        <v>1678</v>
      </c>
    </row>
    <row r="221" ht="22.5" customHeight="1">
      <c r="A221" s="4">
        <v>46037.940740590275</v>
      </c>
      <c r="B221" s="5" t="s">
        <v>1679</v>
      </c>
      <c r="C221" s="5" t="s">
        <v>1680</v>
      </c>
      <c r="D221" s="5" t="s">
        <v>1679</v>
      </c>
      <c r="E221" s="5" t="s">
        <v>17</v>
      </c>
      <c r="F221" s="5" t="s">
        <v>1681</v>
      </c>
      <c r="G221" s="5" t="s">
        <v>1682</v>
      </c>
      <c r="H221" s="5" t="s">
        <v>21</v>
      </c>
      <c r="I221" s="5" t="s">
        <v>1683</v>
      </c>
      <c r="J221" s="5" t="s">
        <v>1684</v>
      </c>
      <c r="K221" s="5" t="s">
        <v>23</v>
      </c>
      <c r="L221" s="5" t="s">
        <v>1685</v>
      </c>
      <c r="M221" s="5" t="s">
        <v>71</v>
      </c>
      <c r="N221" s="5" t="s">
        <v>200</v>
      </c>
      <c r="O221" s="5" t="s">
        <v>1401</v>
      </c>
    </row>
    <row r="222" ht="22.5" customHeight="1">
      <c r="A222" s="4">
        <v>46037.94849663194</v>
      </c>
      <c r="B222" s="5" t="s">
        <v>1686</v>
      </c>
      <c r="C222" s="5" t="s">
        <v>1687</v>
      </c>
      <c r="D222" s="5" t="s">
        <v>1686</v>
      </c>
      <c r="E222" s="5" t="s">
        <v>64</v>
      </c>
      <c r="F222" s="5" t="s">
        <v>1688</v>
      </c>
      <c r="G222" s="5" t="s">
        <v>1689</v>
      </c>
      <c r="H222" s="5" t="s">
        <v>1690</v>
      </c>
      <c r="I222" s="5" t="s">
        <v>1691</v>
      </c>
      <c r="J222" s="5" t="s">
        <v>1692</v>
      </c>
      <c r="K222" s="5" t="s">
        <v>30</v>
      </c>
      <c r="L222" s="5" t="s">
        <v>1693</v>
      </c>
      <c r="M222" s="5" t="s">
        <v>119</v>
      </c>
      <c r="N222" s="5" t="s">
        <v>403</v>
      </c>
      <c r="O222" s="5" t="s">
        <v>734</v>
      </c>
    </row>
    <row r="223" ht="22.5" customHeight="1">
      <c r="A223" s="4">
        <v>46037.952517314814</v>
      </c>
      <c r="B223" s="5" t="s">
        <v>1694</v>
      </c>
      <c r="C223" s="5" t="s">
        <v>1695</v>
      </c>
      <c r="D223" s="5" t="s">
        <v>1694</v>
      </c>
      <c r="E223" s="5" t="s">
        <v>64</v>
      </c>
      <c r="F223" s="5" t="s">
        <v>1696</v>
      </c>
      <c r="G223" s="5" t="s">
        <v>1697</v>
      </c>
      <c r="H223" s="5" t="s">
        <v>1698</v>
      </c>
      <c r="I223" s="5" t="s">
        <v>1699</v>
      </c>
      <c r="J223" s="5" t="s">
        <v>1700</v>
      </c>
      <c r="K223" s="5" t="s">
        <v>30</v>
      </c>
      <c r="L223" s="5" t="s">
        <v>1701</v>
      </c>
      <c r="M223" s="5" t="s">
        <v>1702</v>
      </c>
      <c r="N223" s="5" t="s">
        <v>1703</v>
      </c>
      <c r="O223" s="5" t="s">
        <v>1703</v>
      </c>
    </row>
    <row r="224" ht="22.5" customHeight="1">
      <c r="A224" s="4">
        <v>46037.96924219908</v>
      </c>
      <c r="B224" s="5" t="s">
        <v>1704</v>
      </c>
      <c r="C224" s="5" t="s">
        <v>1705</v>
      </c>
      <c r="D224" s="5" t="s">
        <v>1704</v>
      </c>
      <c r="E224" s="5" t="s">
        <v>17</v>
      </c>
      <c r="F224" s="5" t="s">
        <v>1706</v>
      </c>
      <c r="G224" s="5" t="s">
        <v>1707</v>
      </c>
      <c r="H224" s="5" t="s">
        <v>1708</v>
      </c>
      <c r="I224" s="5" t="s">
        <v>1709</v>
      </c>
      <c r="J224" s="5" t="s">
        <v>1710</v>
      </c>
      <c r="K224" s="5" t="s">
        <v>162</v>
      </c>
      <c r="L224" s="5" t="s">
        <v>1711</v>
      </c>
      <c r="M224" s="5" t="s">
        <v>119</v>
      </c>
      <c r="N224" s="5" t="s">
        <v>26</v>
      </c>
      <c r="O224" s="5" t="s">
        <v>26</v>
      </c>
    </row>
    <row r="225" ht="22.5" customHeight="1">
      <c r="A225" s="4">
        <v>46037.977697442126</v>
      </c>
      <c r="B225" s="5" t="s">
        <v>15</v>
      </c>
      <c r="C225" s="5" t="s">
        <v>1712</v>
      </c>
      <c r="D225" s="5" t="s">
        <v>15</v>
      </c>
      <c r="E225" s="5" t="s">
        <v>64</v>
      </c>
      <c r="F225" s="5" t="s">
        <v>1713</v>
      </c>
      <c r="G225" s="5" t="s">
        <v>1714</v>
      </c>
      <c r="H225" s="5" t="s">
        <v>720</v>
      </c>
      <c r="I225" s="5" t="s">
        <v>1715</v>
      </c>
      <c r="J225" s="5" t="s">
        <v>1716</v>
      </c>
      <c r="K225" s="5" t="s">
        <v>162</v>
      </c>
      <c r="L225" s="5" t="s">
        <v>24</v>
      </c>
      <c r="M225" s="5" t="s">
        <v>25</v>
      </c>
      <c r="N225" s="5" t="s">
        <v>26</v>
      </c>
      <c r="O225" s="5" t="s">
        <v>825</v>
      </c>
    </row>
    <row r="226" ht="22.5" customHeight="1">
      <c r="A226" s="4">
        <v>46038.05131846065</v>
      </c>
      <c r="B226" s="5" t="s">
        <v>1717</v>
      </c>
      <c r="C226" s="5" t="s">
        <v>1718</v>
      </c>
      <c r="D226" s="5" t="s">
        <v>1717</v>
      </c>
      <c r="E226" s="5" t="s">
        <v>64</v>
      </c>
      <c r="F226" s="5" t="s">
        <v>1719</v>
      </c>
      <c r="G226" s="5" t="s">
        <v>1720</v>
      </c>
      <c r="H226" s="5" t="s">
        <v>1721</v>
      </c>
      <c r="I226" s="5" t="s">
        <v>720</v>
      </c>
      <c r="J226" s="5" t="s">
        <v>1722</v>
      </c>
      <c r="K226" s="5" t="s">
        <v>162</v>
      </c>
      <c r="L226" s="5" t="s">
        <v>878</v>
      </c>
      <c r="M226" s="5" t="s">
        <v>119</v>
      </c>
      <c r="N226" s="5" t="s">
        <v>548</v>
      </c>
      <c r="O226" s="5" t="s">
        <v>548</v>
      </c>
    </row>
    <row r="227" ht="22.5" customHeight="1">
      <c r="A227" s="4">
        <v>46038.05414087963</v>
      </c>
      <c r="B227" s="5" t="s">
        <v>1723</v>
      </c>
      <c r="C227" s="5" t="s">
        <v>1724</v>
      </c>
      <c r="D227" s="5" t="s">
        <v>1723</v>
      </c>
      <c r="E227" s="5" t="s">
        <v>17</v>
      </c>
      <c r="F227" s="5" t="s">
        <v>1725</v>
      </c>
      <c r="G227" s="5" t="s">
        <v>1726</v>
      </c>
      <c r="H227" s="5" t="s">
        <v>1727</v>
      </c>
      <c r="I227" s="5" t="s">
        <v>1728</v>
      </c>
      <c r="J227" s="5" t="s">
        <v>1729</v>
      </c>
      <c r="K227" s="5" t="s">
        <v>162</v>
      </c>
      <c r="L227" s="5" t="s">
        <v>1730</v>
      </c>
      <c r="M227" s="5" t="s">
        <v>71</v>
      </c>
      <c r="N227" s="5" t="s">
        <v>1731</v>
      </c>
      <c r="O227" s="5" t="s">
        <v>182</v>
      </c>
    </row>
    <row r="228" ht="22.5" customHeight="1">
      <c r="A228" s="4">
        <v>46038.108123136575</v>
      </c>
      <c r="B228" s="5" t="s">
        <v>1732</v>
      </c>
      <c r="C228" s="5" t="s">
        <v>1733</v>
      </c>
      <c r="D228" s="5" t="s">
        <v>1732</v>
      </c>
      <c r="E228" s="5" t="s">
        <v>17</v>
      </c>
      <c r="F228" s="5" t="s">
        <v>1734</v>
      </c>
      <c r="G228" s="5" t="s">
        <v>1735</v>
      </c>
      <c r="H228" s="5" t="s">
        <v>1736</v>
      </c>
      <c r="I228" s="5" t="s">
        <v>1737</v>
      </c>
      <c r="J228" s="5" t="s">
        <v>20</v>
      </c>
      <c r="K228" s="5" t="s">
        <v>30</v>
      </c>
      <c r="L228" s="5" t="s">
        <v>1738</v>
      </c>
      <c r="M228" s="5" t="s">
        <v>119</v>
      </c>
      <c r="N228" s="5" t="s">
        <v>51</v>
      </c>
      <c r="O228" s="5" t="s">
        <v>52</v>
      </c>
    </row>
    <row r="229" ht="22.5" customHeight="1">
      <c r="A229" s="4">
        <v>46038.875274351856</v>
      </c>
      <c r="B229" s="5" t="s">
        <v>1739</v>
      </c>
      <c r="C229" s="5" t="s">
        <v>1740</v>
      </c>
      <c r="D229" s="5" t="s">
        <v>1739</v>
      </c>
      <c r="E229" s="5" t="s">
        <v>131</v>
      </c>
      <c r="F229" s="5" t="s">
        <v>1741</v>
      </c>
      <c r="G229" s="5" t="s">
        <v>1742</v>
      </c>
      <c r="H229" s="5" t="s">
        <v>1743</v>
      </c>
      <c r="I229" s="5" t="s">
        <v>1744</v>
      </c>
      <c r="J229" s="5" t="s">
        <v>1745</v>
      </c>
      <c r="K229" s="5" t="s">
        <v>162</v>
      </c>
      <c r="L229" s="5" t="s">
        <v>1746</v>
      </c>
      <c r="M229" s="5" t="s">
        <v>25</v>
      </c>
      <c r="N229" s="5" t="s">
        <v>26</v>
      </c>
      <c r="O229" s="5" t="s">
        <v>825</v>
      </c>
    </row>
    <row r="230" ht="22.5" customHeight="1">
      <c r="A230" s="4">
        <v>46038.21243915509</v>
      </c>
      <c r="B230" s="5" t="s">
        <v>1747</v>
      </c>
      <c r="C230" s="5" t="s">
        <v>1748</v>
      </c>
      <c r="D230" s="5" t="s">
        <v>1747</v>
      </c>
      <c r="E230" s="5" t="s">
        <v>17</v>
      </c>
      <c r="F230" s="5" t="s">
        <v>1749</v>
      </c>
      <c r="G230" s="5" t="s">
        <v>1750</v>
      </c>
      <c r="H230" s="5" t="s">
        <v>1751</v>
      </c>
      <c r="I230" s="5" t="s">
        <v>1752</v>
      </c>
      <c r="J230" s="5" t="s">
        <v>1753</v>
      </c>
      <c r="K230" s="5" t="s">
        <v>162</v>
      </c>
      <c r="L230" s="5" t="s">
        <v>1754</v>
      </c>
      <c r="M230" s="5" t="s">
        <v>61</v>
      </c>
      <c r="N230" s="5" t="s">
        <v>437</v>
      </c>
      <c r="O230" s="5" t="s">
        <v>268</v>
      </c>
    </row>
    <row r="231" ht="22.5" customHeight="1">
      <c r="A231" s="4">
        <v>46038.24360479167</v>
      </c>
      <c r="B231" s="5" t="s">
        <v>1755</v>
      </c>
      <c r="C231" s="5" t="s">
        <v>1756</v>
      </c>
      <c r="D231" s="5" t="s">
        <v>1755</v>
      </c>
      <c r="E231" s="5" t="s">
        <v>17</v>
      </c>
      <c r="F231" s="5" t="s">
        <v>1757</v>
      </c>
      <c r="G231" s="5" t="s">
        <v>1758</v>
      </c>
      <c r="H231" s="5" t="s">
        <v>1759</v>
      </c>
      <c r="I231" s="5" t="s">
        <v>51</v>
      </c>
      <c r="J231" s="5" t="s">
        <v>1760</v>
      </c>
      <c r="K231" s="5" t="s">
        <v>23</v>
      </c>
      <c r="L231" s="5" t="s">
        <v>1761</v>
      </c>
      <c r="M231" s="5" t="s">
        <v>39</v>
      </c>
      <c r="N231" s="5" t="s">
        <v>181</v>
      </c>
      <c r="O231" s="5" t="s">
        <v>1762</v>
      </c>
    </row>
    <row r="232" ht="22.5" customHeight="1">
      <c r="A232" s="4">
        <v>46038.245496400465</v>
      </c>
      <c r="B232" s="5" t="s">
        <v>1763</v>
      </c>
      <c r="C232" s="5" t="s">
        <v>1764</v>
      </c>
      <c r="D232" s="5" t="s">
        <v>1763</v>
      </c>
      <c r="E232" s="5" t="s">
        <v>17</v>
      </c>
      <c r="F232" s="5" t="s">
        <v>1765</v>
      </c>
      <c r="G232" s="5" t="s">
        <v>1766</v>
      </c>
      <c r="H232" s="5" t="s">
        <v>1767</v>
      </c>
      <c r="I232" s="5" t="s">
        <v>1768</v>
      </c>
      <c r="J232" s="5" t="s">
        <v>1769</v>
      </c>
      <c r="K232" s="5" t="s">
        <v>23</v>
      </c>
      <c r="L232" s="5" t="s">
        <v>1770</v>
      </c>
      <c r="M232" s="5" t="s">
        <v>456</v>
      </c>
      <c r="N232" s="5" t="s">
        <v>1771</v>
      </c>
      <c r="O232" s="5" t="s">
        <v>566</v>
      </c>
    </row>
    <row r="233" ht="22.5" customHeight="1">
      <c r="A233" s="4">
        <v>46038.25010081018</v>
      </c>
      <c r="B233" s="5" t="s">
        <v>1772</v>
      </c>
      <c r="C233" s="5" t="s">
        <v>1773</v>
      </c>
      <c r="D233" s="5" t="s">
        <v>1772</v>
      </c>
      <c r="E233" s="5" t="s">
        <v>17</v>
      </c>
      <c r="F233" s="5" t="s">
        <v>1774</v>
      </c>
      <c r="G233" s="5" t="s">
        <v>1775</v>
      </c>
      <c r="H233" s="6" t="s">
        <v>1776</v>
      </c>
      <c r="I233" s="5" t="s">
        <v>1379</v>
      </c>
      <c r="J233" s="5" t="s">
        <v>1777</v>
      </c>
      <c r="K233" s="5" t="s">
        <v>162</v>
      </c>
      <c r="L233" s="5" t="s">
        <v>1646</v>
      </c>
      <c r="M233" s="5" t="s">
        <v>119</v>
      </c>
      <c r="N233" s="5" t="s">
        <v>548</v>
      </c>
      <c r="O233" s="5" t="s">
        <v>200</v>
      </c>
    </row>
    <row r="234" ht="22.5" customHeight="1">
      <c r="A234" s="4">
        <v>46038.2560659375</v>
      </c>
      <c r="B234" s="5" t="s">
        <v>1778</v>
      </c>
      <c r="C234" s="5" t="s">
        <v>1779</v>
      </c>
      <c r="D234" s="5" t="s">
        <v>1778</v>
      </c>
      <c r="E234" s="5" t="s">
        <v>17</v>
      </c>
      <c r="F234" s="5" t="s">
        <v>1780</v>
      </c>
      <c r="G234" s="5" t="s">
        <v>1781</v>
      </c>
      <c r="H234" s="5" t="s">
        <v>1782</v>
      </c>
      <c r="I234" s="5" t="s">
        <v>1783</v>
      </c>
      <c r="J234" s="5" t="s">
        <v>1784</v>
      </c>
      <c r="K234" s="5" t="s">
        <v>23</v>
      </c>
      <c r="L234" s="5" t="s">
        <v>1785</v>
      </c>
      <c r="M234" s="5" t="s">
        <v>119</v>
      </c>
      <c r="N234" s="5" t="s">
        <v>51</v>
      </c>
      <c r="O234" s="5" t="s">
        <v>268</v>
      </c>
    </row>
    <row r="235" ht="22.5" customHeight="1">
      <c r="A235" s="4">
        <v>46038.273083506945</v>
      </c>
      <c r="B235" s="5" t="s">
        <v>1786</v>
      </c>
      <c r="C235" s="5" t="s">
        <v>1787</v>
      </c>
      <c r="D235" s="5" t="s">
        <v>1786</v>
      </c>
      <c r="E235" s="5" t="s">
        <v>17</v>
      </c>
      <c r="F235" s="5" t="s">
        <v>1788</v>
      </c>
      <c r="G235" s="5" t="s">
        <v>1789</v>
      </c>
      <c r="H235" s="5" t="s">
        <v>324</v>
      </c>
      <c r="I235" s="5" t="s">
        <v>1790</v>
      </c>
      <c r="J235" s="5" t="s">
        <v>1791</v>
      </c>
      <c r="K235" s="5" t="s">
        <v>23</v>
      </c>
      <c r="L235" s="5" t="s">
        <v>1792</v>
      </c>
      <c r="M235" s="5" t="s">
        <v>1383</v>
      </c>
      <c r="N235" s="5" t="s">
        <v>51</v>
      </c>
      <c r="O235" s="5" t="s">
        <v>200</v>
      </c>
    </row>
    <row r="236" ht="22.5" customHeight="1">
      <c r="A236" s="4">
        <v>46038.274556550925</v>
      </c>
      <c r="B236" s="5" t="s">
        <v>1793</v>
      </c>
      <c r="C236" s="5" t="s">
        <v>1794</v>
      </c>
      <c r="D236" s="5" t="s">
        <v>1793</v>
      </c>
      <c r="E236" s="5" t="s">
        <v>17</v>
      </c>
      <c r="F236" s="5" t="s">
        <v>1795</v>
      </c>
      <c r="G236" s="5" t="s">
        <v>1796</v>
      </c>
      <c r="H236" s="5" t="s">
        <v>1797</v>
      </c>
      <c r="I236" s="5" t="s">
        <v>862</v>
      </c>
      <c r="J236" s="5" t="s">
        <v>1138</v>
      </c>
      <c r="K236" s="5" t="s">
        <v>23</v>
      </c>
      <c r="L236" s="5" t="s">
        <v>1798</v>
      </c>
      <c r="M236" s="5" t="s">
        <v>119</v>
      </c>
      <c r="N236" s="5" t="s">
        <v>437</v>
      </c>
      <c r="O236" s="5" t="s">
        <v>182</v>
      </c>
    </row>
    <row r="237" ht="22.5" customHeight="1">
      <c r="A237" s="4">
        <v>46038.2774840625</v>
      </c>
      <c r="B237" s="5" t="s">
        <v>1799</v>
      </c>
      <c r="C237" s="5" t="s">
        <v>1800</v>
      </c>
      <c r="D237" s="5" t="s">
        <v>1799</v>
      </c>
      <c r="E237" s="5" t="s">
        <v>17</v>
      </c>
      <c r="F237" s="5" t="s">
        <v>1801</v>
      </c>
      <c r="G237" s="5" t="s">
        <v>1802</v>
      </c>
      <c r="H237" s="5" t="s">
        <v>1803</v>
      </c>
      <c r="I237" s="5" t="s">
        <v>1804</v>
      </c>
      <c r="J237" s="5" t="s">
        <v>1805</v>
      </c>
      <c r="K237" s="5" t="s">
        <v>30</v>
      </c>
      <c r="L237" s="5" t="s">
        <v>39</v>
      </c>
      <c r="M237" s="5" t="s">
        <v>39</v>
      </c>
      <c r="N237" s="5" t="s">
        <v>181</v>
      </c>
      <c r="O237" s="5" t="s">
        <v>660</v>
      </c>
    </row>
    <row r="238" ht="22.5" customHeight="1">
      <c r="A238" s="4">
        <v>46038.278584942134</v>
      </c>
      <c r="B238" s="5" t="s">
        <v>1806</v>
      </c>
      <c r="C238" s="5" t="s">
        <v>1807</v>
      </c>
      <c r="D238" s="5" t="s">
        <v>1806</v>
      </c>
      <c r="E238" s="5" t="s">
        <v>64</v>
      </c>
      <c r="F238" s="5" t="s">
        <v>1808</v>
      </c>
      <c r="G238" s="5" t="s">
        <v>1809</v>
      </c>
      <c r="H238" s="5" t="s">
        <v>1810</v>
      </c>
      <c r="I238" s="5" t="s">
        <v>1811</v>
      </c>
      <c r="J238" s="5" t="s">
        <v>1812</v>
      </c>
      <c r="K238" s="5" t="s">
        <v>30</v>
      </c>
      <c r="L238" s="5" t="s">
        <v>1813</v>
      </c>
      <c r="M238" s="5" t="s">
        <v>61</v>
      </c>
      <c r="N238" s="5" t="s">
        <v>51</v>
      </c>
      <c r="O238" s="5" t="s">
        <v>51</v>
      </c>
    </row>
    <row r="239" ht="22.5" customHeight="1">
      <c r="A239" s="4">
        <v>46038.28588107639</v>
      </c>
      <c r="B239" s="5" t="s">
        <v>1814</v>
      </c>
      <c r="C239" s="5" t="s">
        <v>1815</v>
      </c>
      <c r="D239" s="5" t="s">
        <v>1814</v>
      </c>
      <c r="E239" s="5" t="s">
        <v>17</v>
      </c>
      <c r="F239" s="5" t="s">
        <v>1816</v>
      </c>
      <c r="G239" s="5" t="s">
        <v>1817</v>
      </c>
      <c r="H239" s="5" t="s">
        <v>1818</v>
      </c>
      <c r="I239" s="5" t="s">
        <v>1819</v>
      </c>
      <c r="J239" s="5" t="s">
        <v>1820</v>
      </c>
      <c r="K239" s="5" t="s">
        <v>162</v>
      </c>
      <c r="L239" s="5" t="s">
        <v>1821</v>
      </c>
      <c r="M239" s="5" t="s">
        <v>1822</v>
      </c>
      <c r="N239" s="5" t="s">
        <v>592</v>
      </c>
      <c r="O239" s="5" t="s">
        <v>593</v>
      </c>
    </row>
    <row r="240" ht="22.5" customHeight="1">
      <c r="A240" s="4">
        <v>46038.30154659723</v>
      </c>
      <c r="B240" s="5" t="s">
        <v>1823</v>
      </c>
      <c r="C240" s="5" t="s">
        <v>1824</v>
      </c>
      <c r="D240" s="5" t="s">
        <v>1823</v>
      </c>
      <c r="E240" s="5" t="s">
        <v>17</v>
      </c>
      <c r="F240" s="5" t="s">
        <v>1825</v>
      </c>
      <c r="G240" s="5" t="s">
        <v>1826</v>
      </c>
      <c r="H240" s="5" t="s">
        <v>1827</v>
      </c>
      <c r="I240" s="5" t="s">
        <v>1828</v>
      </c>
      <c r="J240" s="5" t="s">
        <v>1344</v>
      </c>
      <c r="K240" s="5" t="s">
        <v>30</v>
      </c>
      <c r="L240" s="5" t="s">
        <v>1829</v>
      </c>
      <c r="M240" s="5" t="s">
        <v>1822</v>
      </c>
      <c r="N240" s="5" t="s">
        <v>51</v>
      </c>
      <c r="O240" s="5" t="s">
        <v>1830</v>
      </c>
    </row>
    <row r="241" ht="22.5" customHeight="1">
      <c r="A241" s="4">
        <v>46038.31003432871</v>
      </c>
      <c r="B241" s="5" t="s">
        <v>1814</v>
      </c>
      <c r="C241" s="5" t="s">
        <v>1815</v>
      </c>
      <c r="D241" s="5" t="s">
        <v>1814</v>
      </c>
      <c r="E241" s="5" t="s">
        <v>17</v>
      </c>
      <c r="F241" s="5" t="s">
        <v>1831</v>
      </c>
      <c r="G241" s="5" t="s">
        <v>1832</v>
      </c>
      <c r="H241" s="5" t="s">
        <v>1819</v>
      </c>
      <c r="I241" s="5" t="s">
        <v>1833</v>
      </c>
      <c r="J241" s="5" t="s">
        <v>1834</v>
      </c>
      <c r="K241" s="5" t="s">
        <v>162</v>
      </c>
      <c r="L241" s="5" t="s">
        <v>1821</v>
      </c>
      <c r="M241" s="5" t="s">
        <v>1822</v>
      </c>
      <c r="N241" s="5" t="s">
        <v>592</v>
      </c>
      <c r="O241" s="5" t="s">
        <v>593</v>
      </c>
    </row>
    <row r="242" ht="22.5" customHeight="1">
      <c r="A242" s="4">
        <v>46038.32530041666</v>
      </c>
      <c r="B242" s="5" t="s">
        <v>1835</v>
      </c>
      <c r="C242" s="5" t="s">
        <v>1836</v>
      </c>
      <c r="D242" s="5" t="s">
        <v>1835</v>
      </c>
      <c r="E242" s="5" t="s">
        <v>17</v>
      </c>
      <c r="F242" s="5" t="s">
        <v>1837</v>
      </c>
      <c r="G242" s="5" t="s">
        <v>1838</v>
      </c>
      <c r="H242" s="5" t="s">
        <v>1839</v>
      </c>
      <c r="I242" s="5" t="s">
        <v>1840</v>
      </c>
      <c r="J242" s="5" t="s">
        <v>1841</v>
      </c>
      <c r="K242" s="5" t="s">
        <v>30</v>
      </c>
      <c r="L242" s="5" t="s">
        <v>1842</v>
      </c>
      <c r="M242" s="5" t="s">
        <v>39</v>
      </c>
      <c r="N242" s="5" t="s">
        <v>51</v>
      </c>
      <c r="O242" s="5" t="s">
        <v>52</v>
      </c>
    </row>
    <row r="243" ht="22.5" customHeight="1">
      <c r="A243" s="4">
        <v>46038.33702363426</v>
      </c>
      <c r="B243" s="5" t="s">
        <v>1843</v>
      </c>
      <c r="C243" s="5" t="s">
        <v>1844</v>
      </c>
      <c r="D243" s="5" t="s">
        <v>1843</v>
      </c>
      <c r="E243" s="5" t="s">
        <v>17</v>
      </c>
      <c r="F243" s="5" t="s">
        <v>1845</v>
      </c>
      <c r="G243" s="5" t="s">
        <v>1846</v>
      </c>
      <c r="H243" s="5" t="s">
        <v>51</v>
      </c>
      <c r="I243" s="5" t="s">
        <v>1847</v>
      </c>
      <c r="J243" s="5" t="s">
        <v>1848</v>
      </c>
      <c r="K243" s="5" t="s">
        <v>162</v>
      </c>
      <c r="L243" s="5" t="s">
        <v>1849</v>
      </c>
      <c r="M243" s="5" t="s">
        <v>61</v>
      </c>
      <c r="N243" s="5" t="s">
        <v>548</v>
      </c>
      <c r="O243" s="5" t="s">
        <v>660</v>
      </c>
    </row>
    <row r="244" ht="22.5" customHeight="1">
      <c r="A244" s="4">
        <v>46039.26825141204</v>
      </c>
      <c r="B244" s="5" t="s">
        <v>1850</v>
      </c>
      <c r="C244" s="5" t="s">
        <v>1851</v>
      </c>
      <c r="D244" s="5" t="s">
        <v>1850</v>
      </c>
      <c r="E244" s="5" t="s">
        <v>17</v>
      </c>
      <c r="F244" s="5" t="s">
        <v>1852</v>
      </c>
      <c r="G244" s="5" t="s">
        <v>1853</v>
      </c>
      <c r="H244" s="5" t="s">
        <v>1854</v>
      </c>
      <c r="I244" s="5" t="s">
        <v>1855</v>
      </c>
      <c r="J244" s="5" t="s">
        <v>1856</v>
      </c>
      <c r="K244" s="5" t="s">
        <v>30</v>
      </c>
      <c r="L244" s="5" t="s">
        <v>1857</v>
      </c>
      <c r="M244" s="5" t="s">
        <v>119</v>
      </c>
      <c r="N244" s="5" t="s">
        <v>51</v>
      </c>
      <c r="O244" s="5" t="s">
        <v>52</v>
      </c>
    </row>
    <row r="245" ht="22.5" customHeight="1">
      <c r="A245" s="4">
        <v>46038.370104710644</v>
      </c>
      <c r="B245" s="5" t="s">
        <v>1858</v>
      </c>
      <c r="C245" s="5" t="s">
        <v>1859</v>
      </c>
      <c r="D245" s="5" t="s">
        <v>1858</v>
      </c>
      <c r="E245" s="5" t="s">
        <v>17</v>
      </c>
      <c r="F245" s="5" t="s">
        <v>1860</v>
      </c>
      <c r="G245" s="5" t="s">
        <v>1861</v>
      </c>
      <c r="H245" s="5" t="s">
        <v>1862</v>
      </c>
      <c r="I245" s="5" t="s">
        <v>21</v>
      </c>
      <c r="J245" s="5" t="s">
        <v>1863</v>
      </c>
      <c r="K245" s="5" t="s">
        <v>162</v>
      </c>
      <c r="L245" s="5" t="s">
        <v>1864</v>
      </c>
      <c r="M245" s="5" t="s">
        <v>164</v>
      </c>
      <c r="N245" s="5" t="s">
        <v>1865</v>
      </c>
      <c r="O245" s="5" t="s">
        <v>1237</v>
      </c>
    </row>
    <row r="246" ht="22.5" customHeight="1">
      <c r="A246" s="4">
        <v>46038.38535791667</v>
      </c>
      <c r="B246" s="5" t="s">
        <v>1866</v>
      </c>
      <c r="C246" s="5" t="s">
        <v>1867</v>
      </c>
      <c r="D246" s="5" t="s">
        <v>1866</v>
      </c>
      <c r="E246" s="5" t="s">
        <v>17</v>
      </c>
      <c r="F246" s="5" t="s">
        <v>1868</v>
      </c>
      <c r="G246" s="5" t="s">
        <v>1869</v>
      </c>
      <c r="H246" s="5" t="s">
        <v>1870</v>
      </c>
      <c r="I246" s="5" t="s">
        <v>1871</v>
      </c>
      <c r="J246" s="5" t="s">
        <v>1432</v>
      </c>
      <c r="K246" s="5" t="s">
        <v>162</v>
      </c>
      <c r="L246" s="5" t="s">
        <v>878</v>
      </c>
      <c r="M246" s="5" t="s">
        <v>1872</v>
      </c>
      <c r="N246" s="5" t="s">
        <v>548</v>
      </c>
      <c r="O246" s="5" t="s">
        <v>566</v>
      </c>
    </row>
    <row r="247" ht="22.5" customHeight="1">
      <c r="A247" s="4">
        <v>46038.43465578704</v>
      </c>
      <c r="B247" s="5" t="s">
        <v>1873</v>
      </c>
      <c r="C247" s="5" t="s">
        <v>1874</v>
      </c>
      <c r="D247" s="5" t="s">
        <v>1873</v>
      </c>
      <c r="E247" s="5" t="s">
        <v>17</v>
      </c>
      <c r="F247" s="5" t="s">
        <v>1875</v>
      </c>
      <c r="G247" s="5" t="s">
        <v>1876</v>
      </c>
      <c r="H247" s="5" t="s">
        <v>1877</v>
      </c>
      <c r="I247" s="5" t="s">
        <v>1878</v>
      </c>
      <c r="J247" s="5" t="s">
        <v>1879</v>
      </c>
      <c r="K247" s="5" t="s">
        <v>162</v>
      </c>
      <c r="L247" s="5" t="s">
        <v>1880</v>
      </c>
      <c r="M247" s="5" t="s">
        <v>71</v>
      </c>
      <c r="N247" s="5" t="s">
        <v>26</v>
      </c>
      <c r="O247" s="5" t="s">
        <v>26</v>
      </c>
    </row>
    <row r="248" ht="22.5" customHeight="1">
      <c r="A248" s="4">
        <v>46038.44758074074</v>
      </c>
      <c r="B248" s="5" t="s">
        <v>1881</v>
      </c>
      <c r="C248" s="5" t="s">
        <v>1882</v>
      </c>
      <c r="D248" s="5" t="s">
        <v>1881</v>
      </c>
      <c r="E248" s="5" t="s">
        <v>17</v>
      </c>
      <c r="F248" s="5" t="s">
        <v>1883</v>
      </c>
      <c r="G248" s="5" t="s">
        <v>1884</v>
      </c>
      <c r="H248" s="5" t="s">
        <v>1885</v>
      </c>
      <c r="I248" s="5" t="s">
        <v>1886</v>
      </c>
      <c r="J248" s="5" t="s">
        <v>1887</v>
      </c>
      <c r="K248" s="5" t="s">
        <v>30</v>
      </c>
      <c r="L248" s="5" t="s">
        <v>1888</v>
      </c>
      <c r="M248" s="5" t="s">
        <v>119</v>
      </c>
      <c r="N248" s="5" t="s">
        <v>51</v>
      </c>
      <c r="O248" s="5" t="s">
        <v>52</v>
      </c>
    </row>
    <row r="249" ht="22.5" customHeight="1">
      <c r="A249" s="4">
        <v>46038.46944533565</v>
      </c>
      <c r="B249" s="5" t="s">
        <v>1889</v>
      </c>
      <c r="C249" s="5" t="s">
        <v>1890</v>
      </c>
      <c r="D249" s="5" t="s">
        <v>1889</v>
      </c>
      <c r="E249" s="5" t="s">
        <v>17</v>
      </c>
      <c r="F249" s="5" t="s">
        <v>1891</v>
      </c>
      <c r="G249" s="5" t="s">
        <v>1892</v>
      </c>
      <c r="H249" s="5" t="s">
        <v>1893</v>
      </c>
      <c r="I249" s="5" t="s">
        <v>1894</v>
      </c>
      <c r="J249" s="5" t="s">
        <v>1895</v>
      </c>
      <c r="K249" s="5" t="s">
        <v>23</v>
      </c>
      <c r="L249" s="5" t="s">
        <v>1896</v>
      </c>
      <c r="M249" s="5" t="s">
        <v>119</v>
      </c>
      <c r="N249" s="5" t="s">
        <v>833</v>
      </c>
      <c r="O249" s="5" t="s">
        <v>794</v>
      </c>
    </row>
    <row r="250" ht="22.5" customHeight="1">
      <c r="A250" s="4">
        <v>46038.47926857639</v>
      </c>
      <c r="B250" s="5" t="s">
        <v>1897</v>
      </c>
      <c r="C250" s="5" t="s">
        <v>1898</v>
      </c>
      <c r="D250" s="5" t="s">
        <v>1897</v>
      </c>
      <c r="E250" s="5" t="s">
        <v>17</v>
      </c>
      <c r="F250" s="5" t="s">
        <v>1899</v>
      </c>
      <c r="G250" s="5" t="s">
        <v>1900</v>
      </c>
      <c r="H250" s="5" t="s">
        <v>1901</v>
      </c>
      <c r="I250" s="5" t="s">
        <v>1902</v>
      </c>
      <c r="J250" s="5" t="s">
        <v>1903</v>
      </c>
      <c r="K250" s="5" t="s">
        <v>162</v>
      </c>
      <c r="L250" s="5" t="s">
        <v>1904</v>
      </c>
      <c r="M250" s="5" t="s">
        <v>119</v>
      </c>
      <c r="N250" s="5" t="s">
        <v>437</v>
      </c>
      <c r="O250" s="5" t="s">
        <v>1905</v>
      </c>
    </row>
    <row r="251" ht="22.5" customHeight="1">
      <c r="A251" s="4">
        <v>46038.53207207176</v>
      </c>
      <c r="B251" s="5" t="s">
        <v>1906</v>
      </c>
      <c r="C251" s="5" t="s">
        <v>1907</v>
      </c>
      <c r="D251" s="5" t="s">
        <v>1908</v>
      </c>
      <c r="E251" s="5" t="s">
        <v>64</v>
      </c>
      <c r="F251" s="5" t="s">
        <v>1909</v>
      </c>
      <c r="G251" s="5" t="s">
        <v>1910</v>
      </c>
      <c r="H251" s="5" t="s">
        <v>1911</v>
      </c>
      <c r="I251" s="5" t="s">
        <v>1432</v>
      </c>
      <c r="J251" s="5" t="s">
        <v>1912</v>
      </c>
      <c r="K251" s="5" t="s">
        <v>162</v>
      </c>
      <c r="L251" s="5" t="s">
        <v>1505</v>
      </c>
      <c r="M251" s="5" t="s">
        <v>71</v>
      </c>
      <c r="N251" s="5" t="s">
        <v>26</v>
      </c>
      <c r="O251" s="5" t="s">
        <v>26</v>
      </c>
    </row>
    <row r="252" ht="22.5" customHeight="1">
      <c r="A252" s="4">
        <v>46038.911834976854</v>
      </c>
      <c r="B252" s="5" t="s">
        <v>1913</v>
      </c>
      <c r="C252" s="5" t="s">
        <v>1914</v>
      </c>
      <c r="D252" s="5" t="s">
        <v>1913</v>
      </c>
      <c r="E252" s="5" t="s">
        <v>17</v>
      </c>
      <c r="F252" s="5" t="s">
        <v>1915</v>
      </c>
      <c r="G252" s="5" t="s">
        <v>1916</v>
      </c>
      <c r="H252" s="5" t="s">
        <v>1917</v>
      </c>
      <c r="I252" s="5" t="s">
        <v>1918</v>
      </c>
      <c r="J252" s="5" t="s">
        <v>1432</v>
      </c>
      <c r="K252" s="5" t="s">
        <v>30</v>
      </c>
      <c r="L252" s="5" t="s">
        <v>1919</v>
      </c>
      <c r="M252" s="5" t="s">
        <v>39</v>
      </c>
      <c r="N252" s="5" t="s">
        <v>833</v>
      </c>
      <c r="O252" s="5" t="s">
        <v>404</v>
      </c>
    </row>
    <row r="253" ht="22.5" customHeight="1">
      <c r="A253" s="4">
        <v>46038.64733877315</v>
      </c>
      <c r="B253" s="5" t="s">
        <v>1920</v>
      </c>
      <c r="C253" s="5" t="s">
        <v>1921</v>
      </c>
      <c r="D253" s="5" t="s">
        <v>1920</v>
      </c>
      <c r="E253" s="5" t="s">
        <v>17</v>
      </c>
      <c r="F253" s="5" t="s">
        <v>1922</v>
      </c>
      <c r="G253" s="5" t="s">
        <v>1923</v>
      </c>
      <c r="H253" s="5" t="s">
        <v>1924</v>
      </c>
      <c r="I253" s="5" t="s">
        <v>1925</v>
      </c>
      <c r="J253" s="5" t="s">
        <v>1926</v>
      </c>
      <c r="K253" s="5" t="s">
        <v>162</v>
      </c>
      <c r="L253" s="5" t="s">
        <v>1927</v>
      </c>
      <c r="M253" s="5" t="s">
        <v>71</v>
      </c>
      <c r="N253" s="5" t="s">
        <v>26</v>
      </c>
      <c r="O253" s="5" t="s">
        <v>825</v>
      </c>
    </row>
    <row r="254" ht="22.5" customHeight="1">
      <c r="A254" s="4">
        <v>46038.65381555556</v>
      </c>
      <c r="B254" s="5" t="s">
        <v>1928</v>
      </c>
      <c r="C254" s="5" t="s">
        <v>1929</v>
      </c>
      <c r="D254" s="5" t="s">
        <v>1928</v>
      </c>
      <c r="E254" s="5" t="s">
        <v>17</v>
      </c>
      <c r="F254" s="5" t="s">
        <v>1930</v>
      </c>
      <c r="G254" s="5" t="s">
        <v>1931</v>
      </c>
      <c r="H254" s="5" t="s">
        <v>1932</v>
      </c>
      <c r="I254" s="5" t="s">
        <v>607</v>
      </c>
      <c r="J254" s="5" t="s">
        <v>1933</v>
      </c>
      <c r="K254" s="5" t="s">
        <v>162</v>
      </c>
      <c r="L254" s="5" t="s">
        <v>1934</v>
      </c>
      <c r="M254" s="5" t="s">
        <v>119</v>
      </c>
      <c r="N254" s="5" t="s">
        <v>26</v>
      </c>
      <c r="O254" s="5" t="s">
        <v>1935</v>
      </c>
    </row>
    <row r="255" ht="22.5" customHeight="1">
      <c r="A255" s="4">
        <v>46038.670673229164</v>
      </c>
      <c r="B255" s="5" t="s">
        <v>1936</v>
      </c>
      <c r="C255" s="5" t="s">
        <v>1937</v>
      </c>
      <c r="D255" s="5" t="s">
        <v>1936</v>
      </c>
      <c r="E255" s="5" t="s">
        <v>17</v>
      </c>
      <c r="F255" s="5" t="s">
        <v>1938</v>
      </c>
      <c r="G255" s="5" t="s">
        <v>1939</v>
      </c>
      <c r="H255" s="5" t="s">
        <v>1940</v>
      </c>
      <c r="I255" s="5" t="s">
        <v>1941</v>
      </c>
      <c r="J255" s="5" t="s">
        <v>58</v>
      </c>
      <c r="K255" s="5" t="s">
        <v>162</v>
      </c>
      <c r="L255" s="5" t="s">
        <v>1942</v>
      </c>
      <c r="M255" s="5" t="s">
        <v>39</v>
      </c>
      <c r="N255" s="5" t="s">
        <v>40</v>
      </c>
      <c r="O255" s="5" t="s">
        <v>41</v>
      </c>
    </row>
    <row r="256" ht="22.5" customHeight="1">
      <c r="A256" s="4">
        <v>46038.72625020833</v>
      </c>
      <c r="B256" s="5" t="s">
        <v>1943</v>
      </c>
      <c r="C256" s="5" t="s">
        <v>1944</v>
      </c>
      <c r="D256" s="5" t="s">
        <v>1943</v>
      </c>
      <c r="E256" s="5" t="s">
        <v>17</v>
      </c>
      <c r="F256" s="5" t="s">
        <v>1945</v>
      </c>
      <c r="G256" s="5" t="s">
        <v>1946</v>
      </c>
      <c r="H256" s="5" t="s">
        <v>1947</v>
      </c>
      <c r="I256" s="5" t="s">
        <v>1155</v>
      </c>
      <c r="J256" s="5" t="s">
        <v>1948</v>
      </c>
      <c r="K256" s="5" t="s">
        <v>23</v>
      </c>
      <c r="L256" s="5" t="s">
        <v>1949</v>
      </c>
      <c r="M256" s="5" t="s">
        <v>119</v>
      </c>
      <c r="N256" s="5" t="s">
        <v>181</v>
      </c>
      <c r="O256" s="5" t="s">
        <v>660</v>
      </c>
    </row>
    <row r="257" ht="22.5" customHeight="1">
      <c r="A257" s="4">
        <v>46038.73394730324</v>
      </c>
      <c r="B257" s="5" t="s">
        <v>1739</v>
      </c>
      <c r="C257" s="5" t="s">
        <v>1740</v>
      </c>
      <c r="D257" s="5" t="s">
        <v>1739</v>
      </c>
      <c r="E257" s="5" t="s">
        <v>17</v>
      </c>
      <c r="F257" s="5" t="s">
        <v>1950</v>
      </c>
      <c r="G257" s="5" t="s">
        <v>1951</v>
      </c>
      <c r="H257" s="5" t="s">
        <v>1952</v>
      </c>
      <c r="I257" s="5" t="s">
        <v>1743</v>
      </c>
      <c r="J257" s="5" t="s">
        <v>1953</v>
      </c>
      <c r="K257" s="5" t="s">
        <v>162</v>
      </c>
      <c r="L257" s="5" t="s">
        <v>1746</v>
      </c>
      <c r="M257" s="5" t="s">
        <v>25</v>
      </c>
      <c r="N257" s="5" t="s">
        <v>26</v>
      </c>
      <c r="O257" s="5" t="s">
        <v>825</v>
      </c>
    </row>
    <row r="258" ht="22.5" customHeight="1">
      <c r="A258" s="4">
        <v>46038.740739155095</v>
      </c>
      <c r="B258" s="5" t="s">
        <v>1954</v>
      </c>
      <c r="C258" s="5" t="s">
        <v>1955</v>
      </c>
      <c r="D258" s="5" t="s">
        <v>1954</v>
      </c>
      <c r="E258" s="5" t="s">
        <v>17</v>
      </c>
      <c r="F258" s="5" t="s">
        <v>1956</v>
      </c>
      <c r="G258" s="5" t="s">
        <v>1957</v>
      </c>
      <c r="H258" s="5" t="s">
        <v>1958</v>
      </c>
      <c r="I258" s="5" t="s">
        <v>1959</v>
      </c>
      <c r="J258" s="5" t="s">
        <v>1960</v>
      </c>
      <c r="K258" s="5" t="s">
        <v>162</v>
      </c>
      <c r="L258" s="5" t="s">
        <v>1456</v>
      </c>
      <c r="M258" s="5" t="s">
        <v>61</v>
      </c>
      <c r="N258" s="5" t="s">
        <v>1961</v>
      </c>
      <c r="O258" s="5" t="s">
        <v>1962</v>
      </c>
    </row>
    <row r="259" ht="22.5" customHeight="1">
      <c r="A259" s="4">
        <v>46038.78838571759</v>
      </c>
      <c r="B259" s="5" t="s">
        <v>1963</v>
      </c>
      <c r="C259" s="5" t="s">
        <v>1964</v>
      </c>
      <c r="D259" s="5" t="s">
        <v>1963</v>
      </c>
      <c r="E259" s="5" t="s">
        <v>17</v>
      </c>
      <c r="F259" s="5" t="s">
        <v>1965</v>
      </c>
      <c r="G259" s="5" t="s">
        <v>1966</v>
      </c>
      <c r="H259" s="5" t="s">
        <v>1967</v>
      </c>
      <c r="I259" s="5" t="s">
        <v>1968</v>
      </c>
      <c r="J259" s="5" t="s">
        <v>1969</v>
      </c>
      <c r="K259" s="5" t="s">
        <v>23</v>
      </c>
      <c r="L259" s="5" t="s">
        <v>1970</v>
      </c>
      <c r="M259" s="5" t="s">
        <v>456</v>
      </c>
      <c r="N259" s="5" t="s">
        <v>1961</v>
      </c>
      <c r="O259" s="5" t="s">
        <v>1971</v>
      </c>
    </row>
    <row r="260" ht="22.5" customHeight="1">
      <c r="A260" s="4">
        <v>46038.816313981486</v>
      </c>
      <c r="B260" s="5" t="s">
        <v>1972</v>
      </c>
      <c r="C260" s="5" t="s">
        <v>1973</v>
      </c>
      <c r="D260" s="5" t="s">
        <v>1972</v>
      </c>
      <c r="E260" s="5" t="s">
        <v>17</v>
      </c>
      <c r="F260" s="5" t="s">
        <v>1974</v>
      </c>
      <c r="G260" s="5" t="s">
        <v>1975</v>
      </c>
      <c r="H260" s="5" t="s">
        <v>1976</v>
      </c>
      <c r="I260" s="5" t="s">
        <v>274</v>
      </c>
      <c r="J260" s="5" t="s">
        <v>1977</v>
      </c>
      <c r="K260" s="5" t="s">
        <v>23</v>
      </c>
      <c r="L260" s="5" t="s">
        <v>1978</v>
      </c>
      <c r="M260" s="5" t="s">
        <v>119</v>
      </c>
      <c r="N260" s="5" t="s">
        <v>734</v>
      </c>
      <c r="O260" s="5" t="s">
        <v>182</v>
      </c>
    </row>
    <row r="261" ht="22.5" customHeight="1">
      <c r="A261" s="4">
        <v>46038.83153431713</v>
      </c>
      <c r="B261" s="5" t="s">
        <v>1979</v>
      </c>
      <c r="C261" s="5" t="s">
        <v>1980</v>
      </c>
      <c r="D261" s="5" t="s">
        <v>1979</v>
      </c>
      <c r="E261" s="5" t="s">
        <v>17</v>
      </c>
      <c r="F261" s="5" t="s">
        <v>1981</v>
      </c>
      <c r="G261" s="5" t="s">
        <v>1982</v>
      </c>
      <c r="H261" s="5" t="s">
        <v>720</v>
      </c>
      <c r="I261" s="5" t="s">
        <v>1983</v>
      </c>
      <c r="J261" s="5" t="s">
        <v>714</v>
      </c>
      <c r="K261" s="5" t="s">
        <v>23</v>
      </c>
      <c r="L261" s="5" t="s">
        <v>1984</v>
      </c>
      <c r="M261" s="5" t="s">
        <v>1985</v>
      </c>
      <c r="N261" s="5" t="s">
        <v>200</v>
      </c>
      <c r="O261" s="5" t="s">
        <v>200</v>
      </c>
    </row>
    <row r="262" ht="22.5" customHeight="1">
      <c r="A262" s="4">
        <v>46038.83332820602</v>
      </c>
      <c r="B262" s="5" t="s">
        <v>1986</v>
      </c>
      <c r="C262" s="5" t="s">
        <v>1987</v>
      </c>
      <c r="D262" s="5" t="s">
        <v>1986</v>
      </c>
      <c r="E262" s="5" t="s">
        <v>17</v>
      </c>
      <c r="F262" s="5" t="s">
        <v>1988</v>
      </c>
      <c r="G262" s="5" t="s">
        <v>1989</v>
      </c>
      <c r="H262" s="5" t="s">
        <v>1990</v>
      </c>
      <c r="I262" s="5" t="s">
        <v>461</v>
      </c>
      <c r="J262" s="5" t="s">
        <v>1991</v>
      </c>
      <c r="K262" s="5" t="s">
        <v>23</v>
      </c>
      <c r="L262" s="5" t="s">
        <v>1992</v>
      </c>
      <c r="M262" s="5" t="s">
        <v>1993</v>
      </c>
      <c r="N262" s="5" t="s">
        <v>200</v>
      </c>
      <c r="O262" s="5" t="s">
        <v>201</v>
      </c>
    </row>
    <row r="263" ht="22.5" customHeight="1">
      <c r="A263" s="4">
        <v>46038.84371128472</v>
      </c>
      <c r="B263" s="5" t="s">
        <v>1994</v>
      </c>
      <c r="C263" s="5" t="s">
        <v>1995</v>
      </c>
      <c r="D263" s="5" t="s">
        <v>1994</v>
      </c>
      <c r="E263" s="5" t="s">
        <v>17</v>
      </c>
      <c r="F263" s="5" t="s">
        <v>1996</v>
      </c>
      <c r="G263" s="5" t="s">
        <v>1997</v>
      </c>
      <c r="H263" s="5" t="s">
        <v>1998</v>
      </c>
      <c r="I263" s="5" t="s">
        <v>1999</v>
      </c>
      <c r="J263" s="5" t="s">
        <v>2000</v>
      </c>
      <c r="K263" s="5" t="s">
        <v>30</v>
      </c>
      <c r="L263" s="5" t="s">
        <v>1646</v>
      </c>
      <c r="M263" s="5" t="s">
        <v>119</v>
      </c>
      <c r="N263" s="5" t="s">
        <v>548</v>
      </c>
      <c r="O263" s="5" t="s">
        <v>40</v>
      </c>
    </row>
    <row r="264" ht="22.5" customHeight="1">
      <c r="A264" s="4">
        <v>46038.85878592593</v>
      </c>
      <c r="B264" s="5" t="s">
        <v>2001</v>
      </c>
      <c r="C264" s="5" t="s">
        <v>2002</v>
      </c>
      <c r="D264" s="5" t="s">
        <v>2003</v>
      </c>
      <c r="E264" s="5" t="s">
        <v>64</v>
      </c>
      <c r="F264" s="5" t="s">
        <v>2004</v>
      </c>
      <c r="G264" s="5" t="s">
        <v>2005</v>
      </c>
      <c r="H264" s="5" t="s">
        <v>2006</v>
      </c>
      <c r="I264" s="5" t="s">
        <v>2007</v>
      </c>
      <c r="J264" s="5" t="s">
        <v>2008</v>
      </c>
      <c r="K264" s="5" t="s">
        <v>30</v>
      </c>
      <c r="L264" s="5" t="s">
        <v>2009</v>
      </c>
      <c r="M264" s="5" t="s">
        <v>295</v>
      </c>
      <c r="N264" s="5" t="s">
        <v>51</v>
      </c>
      <c r="O264" s="5" t="s">
        <v>52</v>
      </c>
    </row>
    <row r="265" ht="22.5" customHeight="1">
      <c r="A265" s="4">
        <v>46038.87132211805</v>
      </c>
      <c r="B265" s="5" t="s">
        <v>2010</v>
      </c>
      <c r="C265" s="5" t="s">
        <v>2011</v>
      </c>
      <c r="D265" s="5" t="s">
        <v>2010</v>
      </c>
      <c r="E265" s="5" t="s">
        <v>17</v>
      </c>
      <c r="F265" s="5" t="s">
        <v>2012</v>
      </c>
      <c r="G265" s="5" t="s">
        <v>2013</v>
      </c>
      <c r="H265" s="5" t="s">
        <v>2014</v>
      </c>
      <c r="I265" s="5" t="s">
        <v>2015</v>
      </c>
      <c r="J265" s="5" t="s">
        <v>1721</v>
      </c>
      <c r="K265" s="5" t="s">
        <v>162</v>
      </c>
      <c r="L265" s="5" t="s">
        <v>2016</v>
      </c>
      <c r="M265" s="5" t="s">
        <v>61</v>
      </c>
      <c r="N265" s="5" t="s">
        <v>181</v>
      </c>
      <c r="O265" s="5" t="s">
        <v>660</v>
      </c>
    </row>
    <row r="266" ht="22.5" customHeight="1">
      <c r="A266" s="4">
        <v>46038.88456802083</v>
      </c>
      <c r="B266" s="5" t="s">
        <v>2017</v>
      </c>
      <c r="C266" s="5" t="s">
        <v>2018</v>
      </c>
      <c r="D266" s="5" t="s">
        <v>2017</v>
      </c>
      <c r="E266" s="5" t="s">
        <v>17</v>
      </c>
      <c r="F266" s="5" t="s">
        <v>2019</v>
      </c>
      <c r="G266" s="5" t="s">
        <v>2020</v>
      </c>
      <c r="H266" s="5" t="s">
        <v>488</v>
      </c>
      <c r="I266" s="5" t="s">
        <v>2021</v>
      </c>
      <c r="J266" s="5" t="s">
        <v>2022</v>
      </c>
      <c r="K266" s="5" t="s">
        <v>30</v>
      </c>
      <c r="L266" s="5" t="s">
        <v>2023</v>
      </c>
      <c r="M266" s="5" t="s">
        <v>199</v>
      </c>
      <c r="N266" s="5" t="s">
        <v>181</v>
      </c>
      <c r="O266" s="5" t="s">
        <v>660</v>
      </c>
    </row>
    <row r="267" ht="22.5" customHeight="1">
      <c r="A267" s="4">
        <v>46038.919237395836</v>
      </c>
      <c r="B267" s="5" t="s">
        <v>2024</v>
      </c>
      <c r="C267" s="5" t="s">
        <v>2025</v>
      </c>
      <c r="D267" s="5" t="s">
        <v>2024</v>
      </c>
      <c r="E267" s="5" t="s">
        <v>17</v>
      </c>
      <c r="F267" s="5" t="s">
        <v>2026</v>
      </c>
      <c r="G267" s="5" t="s">
        <v>2027</v>
      </c>
      <c r="H267" s="5" t="s">
        <v>2028</v>
      </c>
      <c r="I267" s="5" t="s">
        <v>2029</v>
      </c>
      <c r="J267" s="5" t="s">
        <v>2030</v>
      </c>
      <c r="K267" s="5" t="s">
        <v>30</v>
      </c>
      <c r="L267" s="5" t="s">
        <v>557</v>
      </c>
      <c r="M267" s="5" t="s">
        <v>61</v>
      </c>
      <c r="N267" s="5" t="s">
        <v>437</v>
      </c>
      <c r="O267" s="5" t="s">
        <v>328</v>
      </c>
    </row>
    <row r="268" ht="22.5" customHeight="1">
      <c r="A268" s="4">
        <v>46038.93685427083</v>
      </c>
      <c r="B268" s="5" t="s">
        <v>2031</v>
      </c>
      <c r="C268" s="5" t="s">
        <v>1627</v>
      </c>
      <c r="D268" s="5" t="s">
        <v>2032</v>
      </c>
      <c r="E268" s="5" t="s">
        <v>131</v>
      </c>
      <c r="F268" s="5" t="s">
        <v>2033</v>
      </c>
      <c r="G268" s="5" t="s">
        <v>2034</v>
      </c>
      <c r="H268" s="5" t="s">
        <v>2035</v>
      </c>
      <c r="I268" s="5" t="s">
        <v>2036</v>
      </c>
      <c r="J268" s="5" t="s">
        <v>2037</v>
      </c>
      <c r="K268" s="5" t="s">
        <v>30</v>
      </c>
      <c r="L268" s="5" t="s">
        <v>1156</v>
      </c>
      <c r="M268" s="5" t="s">
        <v>164</v>
      </c>
      <c r="N268" s="5" t="s">
        <v>51</v>
      </c>
      <c r="O268" s="5" t="s">
        <v>52</v>
      </c>
    </row>
    <row r="269" ht="22.5" customHeight="1">
      <c r="A269" s="4">
        <v>46038.948179942134</v>
      </c>
      <c r="B269" s="5" t="s">
        <v>2038</v>
      </c>
      <c r="C269" s="5" t="s">
        <v>2039</v>
      </c>
      <c r="D269" s="5" t="s">
        <v>2038</v>
      </c>
      <c r="E269" s="5" t="s">
        <v>64</v>
      </c>
      <c r="F269" s="5" t="s">
        <v>2040</v>
      </c>
      <c r="G269" s="5" t="s">
        <v>2041</v>
      </c>
      <c r="H269" s="5" t="s">
        <v>2042</v>
      </c>
      <c r="I269" s="5" t="s">
        <v>2043</v>
      </c>
      <c r="J269" s="5" t="s">
        <v>463</v>
      </c>
      <c r="K269" s="5" t="s">
        <v>162</v>
      </c>
      <c r="L269" s="5" t="s">
        <v>2044</v>
      </c>
      <c r="M269" s="5" t="s">
        <v>119</v>
      </c>
      <c r="N269" s="5" t="s">
        <v>26</v>
      </c>
      <c r="O269" s="5" t="s">
        <v>26</v>
      </c>
    </row>
    <row r="270" ht="22.5" customHeight="1">
      <c r="A270" s="4">
        <v>46038.96066913195</v>
      </c>
      <c r="B270" s="5" t="s">
        <v>2045</v>
      </c>
      <c r="C270" s="5" t="s">
        <v>2046</v>
      </c>
      <c r="D270" s="5" t="s">
        <v>2045</v>
      </c>
      <c r="E270" s="5" t="s">
        <v>64</v>
      </c>
      <c r="F270" s="5" t="s">
        <v>2047</v>
      </c>
      <c r="G270" s="5" t="s">
        <v>2048</v>
      </c>
      <c r="H270" s="5" t="s">
        <v>2049</v>
      </c>
      <c r="I270" s="5" t="s">
        <v>2050</v>
      </c>
      <c r="J270" s="5" t="s">
        <v>2051</v>
      </c>
      <c r="K270" s="5" t="s">
        <v>30</v>
      </c>
      <c r="L270" s="5" t="s">
        <v>2052</v>
      </c>
      <c r="M270" s="5" t="s">
        <v>71</v>
      </c>
      <c r="N270" s="5" t="s">
        <v>51</v>
      </c>
      <c r="O270" s="5" t="s">
        <v>73</v>
      </c>
    </row>
    <row r="271" ht="22.5" customHeight="1">
      <c r="A271" s="4">
        <v>46038.96105972222</v>
      </c>
      <c r="B271" s="5" t="s">
        <v>2053</v>
      </c>
      <c r="C271" s="5" t="s">
        <v>2054</v>
      </c>
      <c r="D271" s="5" t="s">
        <v>2053</v>
      </c>
      <c r="E271" s="5" t="s">
        <v>17</v>
      </c>
      <c r="F271" s="5" t="s">
        <v>2055</v>
      </c>
      <c r="G271" s="5" t="s">
        <v>2056</v>
      </c>
      <c r="H271" s="5" t="s">
        <v>2057</v>
      </c>
      <c r="I271" s="5" t="s">
        <v>2058</v>
      </c>
      <c r="J271" s="5" t="s">
        <v>2059</v>
      </c>
      <c r="K271" s="5" t="s">
        <v>162</v>
      </c>
      <c r="L271" s="5" t="s">
        <v>1579</v>
      </c>
      <c r="M271" s="5" t="s">
        <v>119</v>
      </c>
      <c r="N271" s="5" t="s">
        <v>257</v>
      </c>
      <c r="O271" s="5" t="s">
        <v>258</v>
      </c>
    </row>
    <row r="272" ht="22.5" customHeight="1">
      <c r="A272" s="4">
        <v>46038.97887851852</v>
      </c>
      <c r="B272" s="5" t="s">
        <v>2060</v>
      </c>
      <c r="C272" s="5" t="s">
        <v>2061</v>
      </c>
      <c r="D272" s="5" t="s">
        <v>2060</v>
      </c>
      <c r="E272" s="5" t="s">
        <v>64</v>
      </c>
      <c r="F272" s="5" t="s">
        <v>2062</v>
      </c>
      <c r="G272" s="5" t="s">
        <v>2063</v>
      </c>
      <c r="H272" s="5" t="s">
        <v>2064</v>
      </c>
      <c r="I272" s="5" t="s">
        <v>2065</v>
      </c>
      <c r="J272" s="5" t="s">
        <v>2066</v>
      </c>
      <c r="K272" s="5" t="s">
        <v>162</v>
      </c>
      <c r="L272" s="5" t="s">
        <v>2067</v>
      </c>
      <c r="M272" s="5" t="s">
        <v>119</v>
      </c>
      <c r="N272" s="5" t="s">
        <v>200</v>
      </c>
      <c r="O272" s="5" t="s">
        <v>201</v>
      </c>
    </row>
    <row r="273" ht="22.5" customHeight="1">
      <c r="A273" s="4">
        <v>46038.975687638886</v>
      </c>
      <c r="B273" s="5" t="s">
        <v>2068</v>
      </c>
      <c r="C273" s="5" t="s">
        <v>2069</v>
      </c>
      <c r="D273" s="5" t="s">
        <v>2068</v>
      </c>
      <c r="E273" s="5" t="s">
        <v>17</v>
      </c>
      <c r="F273" s="5" t="s">
        <v>2070</v>
      </c>
      <c r="G273" s="5" t="s">
        <v>2071</v>
      </c>
      <c r="H273" s="5" t="s">
        <v>2072</v>
      </c>
      <c r="I273" s="5" t="s">
        <v>2073</v>
      </c>
      <c r="J273" s="5" t="s">
        <v>2074</v>
      </c>
      <c r="K273" s="5" t="s">
        <v>162</v>
      </c>
      <c r="L273" s="5" t="s">
        <v>1116</v>
      </c>
      <c r="M273" s="5" t="s">
        <v>61</v>
      </c>
      <c r="N273" s="5" t="s">
        <v>833</v>
      </c>
      <c r="O273" s="5" t="s">
        <v>2075</v>
      </c>
    </row>
    <row r="274" ht="22.5" customHeight="1">
      <c r="A274" s="4">
        <v>46038.98358858796</v>
      </c>
      <c r="B274" s="5" t="s">
        <v>2076</v>
      </c>
      <c r="C274" s="5" t="s">
        <v>2077</v>
      </c>
      <c r="D274" s="5" t="s">
        <v>2076</v>
      </c>
      <c r="E274" s="5" t="s">
        <v>17</v>
      </c>
      <c r="F274" s="5" t="s">
        <v>2078</v>
      </c>
      <c r="G274" s="5" t="s">
        <v>2079</v>
      </c>
      <c r="H274" s="5" t="s">
        <v>2080</v>
      </c>
      <c r="I274" s="5" t="s">
        <v>2081</v>
      </c>
      <c r="J274" s="5" t="s">
        <v>2082</v>
      </c>
      <c r="K274" s="5" t="s">
        <v>23</v>
      </c>
      <c r="L274" s="5" t="s">
        <v>2083</v>
      </c>
      <c r="M274" s="5" t="s">
        <v>119</v>
      </c>
      <c r="N274" s="5" t="s">
        <v>200</v>
      </c>
      <c r="O274" s="5" t="s">
        <v>201</v>
      </c>
    </row>
    <row r="275" ht="22.5" customHeight="1">
      <c r="A275" s="4">
        <v>46038.98645303241</v>
      </c>
      <c r="B275" s="5" t="s">
        <v>2084</v>
      </c>
      <c r="C275" s="5" t="s">
        <v>2085</v>
      </c>
      <c r="D275" s="5" t="s">
        <v>2084</v>
      </c>
      <c r="E275" s="5" t="s">
        <v>17</v>
      </c>
      <c r="F275" s="5" t="s">
        <v>2086</v>
      </c>
      <c r="G275" s="5" t="s">
        <v>2087</v>
      </c>
      <c r="H275" s="5" t="s">
        <v>2088</v>
      </c>
      <c r="I275" s="5" t="s">
        <v>2089</v>
      </c>
      <c r="J275" s="5" t="s">
        <v>1138</v>
      </c>
      <c r="K275" s="5" t="s">
        <v>162</v>
      </c>
      <c r="L275" s="5" t="s">
        <v>878</v>
      </c>
      <c r="M275" s="5" t="s">
        <v>119</v>
      </c>
      <c r="N275" s="5" t="s">
        <v>548</v>
      </c>
      <c r="O275" s="5" t="s">
        <v>2090</v>
      </c>
    </row>
    <row r="276" ht="22.5" customHeight="1">
      <c r="A276" s="4">
        <v>46038.995707106485</v>
      </c>
      <c r="B276" s="5" t="s">
        <v>2091</v>
      </c>
      <c r="C276" s="5" t="s">
        <v>2092</v>
      </c>
      <c r="D276" s="5" t="s">
        <v>2091</v>
      </c>
      <c r="E276" s="5" t="s">
        <v>131</v>
      </c>
      <c r="F276" s="5" t="s">
        <v>2093</v>
      </c>
      <c r="G276" s="5" t="s">
        <v>2094</v>
      </c>
      <c r="H276" s="5" t="s">
        <v>2095</v>
      </c>
      <c r="I276" s="5" t="s">
        <v>2096</v>
      </c>
      <c r="J276" s="5" t="s">
        <v>2097</v>
      </c>
      <c r="K276" s="5" t="s">
        <v>162</v>
      </c>
      <c r="L276" s="5" t="s">
        <v>2098</v>
      </c>
      <c r="M276" s="5" t="s">
        <v>2099</v>
      </c>
      <c r="N276" s="5" t="s">
        <v>2100</v>
      </c>
      <c r="O276" s="5" t="s">
        <v>2101</v>
      </c>
    </row>
    <row r="277" ht="22.5" customHeight="1">
      <c r="A277" s="4">
        <v>46039.00166409722</v>
      </c>
      <c r="B277" s="5" t="s">
        <v>2102</v>
      </c>
      <c r="C277" s="5" t="s">
        <v>2103</v>
      </c>
      <c r="D277" s="5" t="s">
        <v>2102</v>
      </c>
      <c r="E277" s="5" t="s">
        <v>17</v>
      </c>
      <c r="F277" s="5" t="s">
        <v>2104</v>
      </c>
      <c r="G277" s="5" t="s">
        <v>2105</v>
      </c>
      <c r="H277" s="5" t="s">
        <v>955</v>
      </c>
      <c r="I277" s="5" t="s">
        <v>2106</v>
      </c>
      <c r="J277" s="5" t="s">
        <v>2107</v>
      </c>
      <c r="K277" s="5" t="s">
        <v>30</v>
      </c>
      <c r="L277" s="5" t="s">
        <v>2108</v>
      </c>
      <c r="M277" s="5" t="s">
        <v>39</v>
      </c>
      <c r="N277" s="5" t="s">
        <v>403</v>
      </c>
      <c r="O277" s="5" t="s">
        <v>404</v>
      </c>
    </row>
    <row r="278" ht="22.5" customHeight="1">
      <c r="A278" s="4">
        <v>46039.04539621528</v>
      </c>
      <c r="B278" s="5" t="s">
        <v>2109</v>
      </c>
      <c r="C278" s="5" t="s">
        <v>2110</v>
      </c>
      <c r="D278" s="5" t="s">
        <v>2109</v>
      </c>
      <c r="E278" s="5" t="s">
        <v>17</v>
      </c>
      <c r="F278" s="5" t="s">
        <v>2111</v>
      </c>
      <c r="G278" s="5" t="s">
        <v>2112</v>
      </c>
      <c r="H278" s="5" t="s">
        <v>2113</v>
      </c>
      <c r="I278" s="5" t="s">
        <v>2114</v>
      </c>
      <c r="J278" s="5" t="s">
        <v>2115</v>
      </c>
      <c r="K278" s="5" t="s">
        <v>162</v>
      </c>
      <c r="L278" s="5" t="s">
        <v>2116</v>
      </c>
      <c r="M278" s="5" t="s">
        <v>413</v>
      </c>
      <c r="N278" s="5" t="s">
        <v>549</v>
      </c>
      <c r="O278" s="5" t="s">
        <v>267</v>
      </c>
    </row>
    <row r="279" ht="22.5" customHeight="1">
      <c r="A279" s="4">
        <v>46039.01867425926</v>
      </c>
      <c r="B279" s="5" t="s">
        <v>2117</v>
      </c>
      <c r="C279" s="5" t="s">
        <v>2118</v>
      </c>
      <c r="D279" s="5" t="s">
        <v>2117</v>
      </c>
      <c r="E279" s="5" t="s">
        <v>17</v>
      </c>
      <c r="F279" s="5" t="s">
        <v>2119</v>
      </c>
      <c r="G279" s="5" t="s">
        <v>2120</v>
      </c>
      <c r="H279" s="5" t="s">
        <v>840</v>
      </c>
      <c r="I279" s="5" t="s">
        <v>2121</v>
      </c>
      <c r="J279" s="5" t="s">
        <v>2122</v>
      </c>
      <c r="K279" s="5" t="s">
        <v>30</v>
      </c>
      <c r="L279" s="5" t="s">
        <v>2123</v>
      </c>
      <c r="M279" s="5" t="s">
        <v>61</v>
      </c>
      <c r="N279" s="5" t="s">
        <v>1865</v>
      </c>
      <c r="O279" s="5" t="s">
        <v>660</v>
      </c>
    </row>
    <row r="280" ht="22.5" customHeight="1">
      <c r="A280" s="4">
        <v>46039.02968569445</v>
      </c>
      <c r="B280" s="5" t="s">
        <v>2124</v>
      </c>
      <c r="C280" s="5" t="s">
        <v>2125</v>
      </c>
      <c r="D280" s="5" t="s">
        <v>2124</v>
      </c>
      <c r="E280" s="5" t="s">
        <v>17</v>
      </c>
      <c r="F280" s="5" t="s">
        <v>2126</v>
      </c>
      <c r="G280" s="5" t="s">
        <v>2127</v>
      </c>
      <c r="H280" s="5" t="s">
        <v>2128</v>
      </c>
      <c r="I280" s="5" t="s">
        <v>2129</v>
      </c>
      <c r="J280" s="5" t="s">
        <v>2130</v>
      </c>
      <c r="K280" s="5" t="s">
        <v>23</v>
      </c>
      <c r="L280" s="5" t="s">
        <v>2131</v>
      </c>
      <c r="M280" s="5" t="s">
        <v>39</v>
      </c>
      <c r="N280" s="5" t="s">
        <v>267</v>
      </c>
      <c r="O280" s="5" t="s">
        <v>268</v>
      </c>
    </row>
    <row r="281" ht="22.5" customHeight="1">
      <c r="A281" s="4">
        <v>46039.04788755787</v>
      </c>
      <c r="B281" s="5" t="s">
        <v>2132</v>
      </c>
      <c r="C281" s="5" t="s">
        <v>2133</v>
      </c>
      <c r="D281" s="5" t="s">
        <v>2132</v>
      </c>
      <c r="E281" s="5" t="s">
        <v>17</v>
      </c>
      <c r="F281" s="5" t="s">
        <v>2134</v>
      </c>
      <c r="G281" s="5" t="s">
        <v>2135</v>
      </c>
      <c r="H281" s="5" t="s">
        <v>1496</v>
      </c>
      <c r="I281" s="5" t="s">
        <v>2136</v>
      </c>
      <c r="J281" s="5" t="s">
        <v>2137</v>
      </c>
      <c r="K281" s="5" t="s">
        <v>23</v>
      </c>
      <c r="L281" s="5" t="s">
        <v>2138</v>
      </c>
      <c r="M281" s="5" t="s">
        <v>111</v>
      </c>
      <c r="N281" s="5" t="s">
        <v>267</v>
      </c>
      <c r="O281" s="5" t="s">
        <v>268</v>
      </c>
    </row>
    <row r="282" ht="22.5" customHeight="1">
      <c r="A282" s="4">
        <v>46039.05267131944</v>
      </c>
      <c r="B282" s="5" t="s">
        <v>2139</v>
      </c>
      <c r="C282" s="5" t="s">
        <v>2140</v>
      </c>
      <c r="D282" s="5" t="s">
        <v>2139</v>
      </c>
      <c r="E282" s="5" t="s">
        <v>17</v>
      </c>
      <c r="F282" s="6" t="s">
        <v>2141</v>
      </c>
      <c r="G282" s="5" t="s">
        <v>2142</v>
      </c>
      <c r="H282" s="5" t="s">
        <v>2143</v>
      </c>
      <c r="I282" s="5" t="s">
        <v>2144</v>
      </c>
      <c r="J282" s="5" t="s">
        <v>2145</v>
      </c>
      <c r="K282" s="5" t="s">
        <v>162</v>
      </c>
      <c r="L282" s="5" t="s">
        <v>1116</v>
      </c>
      <c r="M282" s="5" t="s">
        <v>119</v>
      </c>
      <c r="N282" s="5" t="s">
        <v>403</v>
      </c>
      <c r="O282" s="5" t="s">
        <v>404</v>
      </c>
    </row>
    <row r="283" ht="22.5" customHeight="1">
      <c r="A283" s="4">
        <v>46039.05791665509</v>
      </c>
      <c r="B283" s="5" t="s">
        <v>2146</v>
      </c>
      <c r="C283" s="5" t="s">
        <v>2147</v>
      </c>
      <c r="D283" s="5" t="s">
        <v>2146</v>
      </c>
      <c r="E283" s="5" t="s">
        <v>17</v>
      </c>
      <c r="F283" s="5" t="s">
        <v>2148</v>
      </c>
      <c r="G283" s="5" t="s">
        <v>2149</v>
      </c>
      <c r="H283" s="5" t="s">
        <v>409</v>
      </c>
      <c r="I283" s="5" t="s">
        <v>2150</v>
      </c>
      <c r="J283" s="5" t="s">
        <v>2151</v>
      </c>
      <c r="K283" s="5" t="s">
        <v>30</v>
      </c>
      <c r="L283" s="5" t="s">
        <v>801</v>
      </c>
      <c r="M283" s="5" t="s">
        <v>119</v>
      </c>
      <c r="N283" s="5" t="s">
        <v>833</v>
      </c>
      <c r="O283" s="5" t="s">
        <v>404</v>
      </c>
    </row>
    <row r="284" ht="22.5" customHeight="1">
      <c r="A284" s="4">
        <v>46039.0583616088</v>
      </c>
      <c r="B284" s="5" t="s">
        <v>2152</v>
      </c>
      <c r="C284" s="5" t="s">
        <v>2153</v>
      </c>
      <c r="D284" s="5" t="s">
        <v>2152</v>
      </c>
      <c r="E284" s="5" t="s">
        <v>64</v>
      </c>
      <c r="F284" s="5" t="s">
        <v>2154</v>
      </c>
      <c r="G284" s="5" t="s">
        <v>2155</v>
      </c>
      <c r="H284" s="5" t="s">
        <v>2156</v>
      </c>
      <c r="I284" s="5" t="s">
        <v>2157</v>
      </c>
      <c r="J284" s="5" t="s">
        <v>343</v>
      </c>
      <c r="K284" s="5" t="s">
        <v>30</v>
      </c>
      <c r="L284" s="5" t="s">
        <v>2158</v>
      </c>
      <c r="M284" s="5" t="s">
        <v>2159</v>
      </c>
      <c r="N284" s="5" t="s">
        <v>26</v>
      </c>
      <c r="O284" s="5" t="s">
        <v>73</v>
      </c>
    </row>
    <row r="285" ht="22.5" customHeight="1">
      <c r="A285" s="4">
        <v>46039.06136317129</v>
      </c>
      <c r="B285" s="5" t="s">
        <v>2160</v>
      </c>
      <c r="C285" s="5" t="s">
        <v>2161</v>
      </c>
      <c r="D285" s="5" t="s">
        <v>2160</v>
      </c>
      <c r="E285" s="5" t="s">
        <v>17</v>
      </c>
      <c r="F285" s="5" t="s">
        <v>2162</v>
      </c>
      <c r="G285" s="5" t="s">
        <v>2163</v>
      </c>
      <c r="H285" s="5" t="s">
        <v>1827</v>
      </c>
      <c r="I285" s="5" t="s">
        <v>2164</v>
      </c>
      <c r="J285" s="5" t="s">
        <v>46</v>
      </c>
      <c r="K285" s="5" t="s">
        <v>23</v>
      </c>
      <c r="L285" s="5" t="s">
        <v>2165</v>
      </c>
      <c r="M285" s="5" t="s">
        <v>119</v>
      </c>
      <c r="N285" s="5" t="s">
        <v>734</v>
      </c>
      <c r="O285" s="5" t="s">
        <v>734</v>
      </c>
    </row>
    <row r="286" ht="22.5" customHeight="1">
      <c r="A286" s="4">
        <v>46039.07634892361</v>
      </c>
      <c r="B286" s="5" t="s">
        <v>2166</v>
      </c>
      <c r="C286" s="5" t="s">
        <v>2167</v>
      </c>
      <c r="D286" s="5" t="s">
        <v>2166</v>
      </c>
      <c r="E286" s="5" t="s">
        <v>17</v>
      </c>
      <c r="F286" s="5" t="s">
        <v>2168</v>
      </c>
      <c r="G286" s="5" t="s">
        <v>2169</v>
      </c>
      <c r="H286" s="5" t="s">
        <v>2170</v>
      </c>
      <c r="I286" s="5" t="s">
        <v>488</v>
      </c>
      <c r="J286" s="5" t="s">
        <v>2171</v>
      </c>
      <c r="K286" s="5" t="s">
        <v>30</v>
      </c>
      <c r="L286" s="5" t="s">
        <v>2172</v>
      </c>
      <c r="M286" s="5" t="s">
        <v>119</v>
      </c>
      <c r="N286" s="5" t="s">
        <v>2173</v>
      </c>
      <c r="O286" s="5" t="s">
        <v>566</v>
      </c>
    </row>
    <row r="287" ht="22.5" customHeight="1">
      <c r="A287" s="4">
        <v>46039.09289863426</v>
      </c>
      <c r="B287" s="5" t="s">
        <v>2174</v>
      </c>
      <c r="C287" s="5" t="s">
        <v>2175</v>
      </c>
      <c r="D287" s="5" t="s">
        <v>2174</v>
      </c>
      <c r="E287" s="5" t="s">
        <v>64</v>
      </c>
      <c r="F287" s="5" t="s">
        <v>2176</v>
      </c>
      <c r="G287" s="5" t="s">
        <v>2177</v>
      </c>
      <c r="H287" s="5" t="s">
        <v>2178</v>
      </c>
      <c r="I287" s="5" t="s">
        <v>2179</v>
      </c>
      <c r="J287" s="5" t="s">
        <v>2180</v>
      </c>
      <c r="K287" s="5" t="s">
        <v>162</v>
      </c>
      <c r="L287" s="5" t="s">
        <v>2181</v>
      </c>
      <c r="M287" s="5" t="s">
        <v>39</v>
      </c>
      <c r="N287" s="5" t="s">
        <v>2173</v>
      </c>
      <c r="O287" s="5" t="s">
        <v>2182</v>
      </c>
    </row>
    <row r="288" ht="22.5" customHeight="1">
      <c r="A288" s="4">
        <v>46039.102725034725</v>
      </c>
      <c r="B288" s="5" t="s">
        <v>2183</v>
      </c>
      <c r="C288" s="5" t="s">
        <v>2184</v>
      </c>
      <c r="D288" s="5" t="s">
        <v>2183</v>
      </c>
      <c r="E288" s="5" t="s">
        <v>17</v>
      </c>
      <c r="F288" s="5" t="s">
        <v>2185</v>
      </c>
      <c r="G288" s="5" t="s">
        <v>2186</v>
      </c>
      <c r="H288" s="5" t="s">
        <v>2187</v>
      </c>
      <c r="I288" s="5" t="s">
        <v>2188</v>
      </c>
      <c r="J288" s="5" t="s">
        <v>2189</v>
      </c>
      <c r="K288" s="5" t="s">
        <v>30</v>
      </c>
      <c r="L288" s="5" t="s">
        <v>39</v>
      </c>
      <c r="M288" s="5" t="s">
        <v>759</v>
      </c>
      <c r="N288" s="5" t="s">
        <v>51</v>
      </c>
      <c r="O288" s="5" t="s">
        <v>73</v>
      </c>
    </row>
    <row r="289" ht="22.5" customHeight="1">
      <c r="A289" s="4">
        <v>46039.113839074074</v>
      </c>
      <c r="B289" s="5" t="s">
        <v>2190</v>
      </c>
      <c r="C289" s="5" t="s">
        <v>2191</v>
      </c>
      <c r="D289" s="5" t="s">
        <v>2190</v>
      </c>
      <c r="E289" s="5" t="s">
        <v>17</v>
      </c>
      <c r="F289" s="5" t="s">
        <v>2192</v>
      </c>
      <c r="G289" s="5" t="s">
        <v>2193</v>
      </c>
      <c r="H289" s="5" t="s">
        <v>2194</v>
      </c>
      <c r="I289" s="5" t="s">
        <v>2195</v>
      </c>
      <c r="J289" s="5" t="s">
        <v>2196</v>
      </c>
      <c r="K289" s="5" t="s">
        <v>30</v>
      </c>
      <c r="L289" s="5" t="s">
        <v>2197</v>
      </c>
      <c r="M289" s="5" t="s">
        <v>119</v>
      </c>
      <c r="N289" s="5" t="s">
        <v>51</v>
      </c>
      <c r="O289" s="5" t="s">
        <v>52</v>
      </c>
    </row>
    <row r="290" ht="22.5" customHeight="1">
      <c r="A290" s="4">
        <v>46039.13512976852</v>
      </c>
      <c r="B290" s="5" t="s">
        <v>2198</v>
      </c>
      <c r="C290" s="5" t="s">
        <v>2199</v>
      </c>
      <c r="D290" s="5" t="s">
        <v>2198</v>
      </c>
      <c r="E290" s="5" t="s">
        <v>17</v>
      </c>
      <c r="F290" s="5" t="s">
        <v>2200</v>
      </c>
      <c r="G290" s="5" t="s">
        <v>2201</v>
      </c>
      <c r="H290" s="5" t="s">
        <v>2202</v>
      </c>
      <c r="I290" s="5" t="s">
        <v>2203</v>
      </c>
      <c r="J290" s="5" t="s">
        <v>2204</v>
      </c>
      <c r="K290" s="5" t="s">
        <v>162</v>
      </c>
      <c r="L290" s="5" t="s">
        <v>2205</v>
      </c>
      <c r="M290" s="5" t="s">
        <v>61</v>
      </c>
      <c r="N290" s="5" t="s">
        <v>1961</v>
      </c>
      <c r="O290" s="5" t="s">
        <v>660</v>
      </c>
    </row>
    <row r="291" ht="22.5" customHeight="1">
      <c r="A291" s="4">
        <v>46039.14142915509</v>
      </c>
      <c r="B291" s="5" t="s">
        <v>2206</v>
      </c>
      <c r="C291" s="5" t="s">
        <v>2207</v>
      </c>
      <c r="D291" s="5" t="s">
        <v>2206</v>
      </c>
      <c r="E291" s="5" t="s">
        <v>17</v>
      </c>
      <c r="F291" s="5" t="s">
        <v>2208</v>
      </c>
      <c r="G291" s="5" t="s">
        <v>2209</v>
      </c>
      <c r="H291" s="5" t="s">
        <v>1430</v>
      </c>
      <c r="I291" s="5" t="s">
        <v>2210</v>
      </c>
      <c r="J291" s="5" t="s">
        <v>2211</v>
      </c>
      <c r="K291" s="5" t="s">
        <v>30</v>
      </c>
      <c r="L291" s="5" t="s">
        <v>2212</v>
      </c>
      <c r="M291" s="5" t="s">
        <v>164</v>
      </c>
      <c r="N291" s="5" t="s">
        <v>72</v>
      </c>
      <c r="O291" s="5" t="s">
        <v>73</v>
      </c>
    </row>
    <row r="292" ht="22.5" customHeight="1">
      <c r="A292" s="4">
        <v>46039.156841909724</v>
      </c>
      <c r="B292" s="5" t="s">
        <v>2213</v>
      </c>
      <c r="C292" s="5" t="s">
        <v>2214</v>
      </c>
      <c r="D292" s="5" t="s">
        <v>2213</v>
      </c>
      <c r="E292" s="5" t="s">
        <v>17</v>
      </c>
      <c r="F292" s="5" t="s">
        <v>2215</v>
      </c>
      <c r="G292" s="5" t="s">
        <v>2216</v>
      </c>
      <c r="H292" s="5" t="s">
        <v>2217</v>
      </c>
      <c r="I292" s="5" t="s">
        <v>2218</v>
      </c>
      <c r="J292" s="5" t="s">
        <v>2219</v>
      </c>
      <c r="K292" s="5" t="s">
        <v>30</v>
      </c>
      <c r="L292" s="5" t="s">
        <v>2220</v>
      </c>
      <c r="M292" s="5" t="s">
        <v>119</v>
      </c>
      <c r="N292" s="5" t="s">
        <v>2221</v>
      </c>
      <c r="O292" s="5" t="s">
        <v>2222</v>
      </c>
    </row>
    <row r="293" ht="22.5" customHeight="1">
      <c r="A293" s="4">
        <v>46039.1709315162</v>
      </c>
      <c r="B293" s="5" t="s">
        <v>2223</v>
      </c>
      <c r="C293" s="5" t="s">
        <v>2224</v>
      </c>
      <c r="D293" s="5" t="s">
        <v>2223</v>
      </c>
      <c r="E293" s="5" t="s">
        <v>17</v>
      </c>
      <c r="F293" s="5" t="s">
        <v>2225</v>
      </c>
      <c r="G293" s="5" t="s">
        <v>2226</v>
      </c>
      <c r="H293" s="5" t="s">
        <v>2227</v>
      </c>
      <c r="I293" s="5" t="s">
        <v>2228</v>
      </c>
      <c r="J293" s="5" t="s">
        <v>2229</v>
      </c>
      <c r="K293" s="5" t="s">
        <v>30</v>
      </c>
      <c r="L293" s="5" t="s">
        <v>2230</v>
      </c>
      <c r="M293" s="5" t="s">
        <v>111</v>
      </c>
      <c r="N293" s="5" t="s">
        <v>51</v>
      </c>
      <c r="O293" s="5" t="s">
        <v>52</v>
      </c>
    </row>
    <row r="294" ht="22.5" customHeight="1">
      <c r="A294" s="4">
        <v>46039.176386875</v>
      </c>
      <c r="B294" s="5" t="s">
        <v>2231</v>
      </c>
      <c r="C294" s="5" t="s">
        <v>2232</v>
      </c>
      <c r="D294" s="5" t="s">
        <v>2231</v>
      </c>
      <c r="E294" s="5" t="s">
        <v>17</v>
      </c>
      <c r="F294" s="5" t="s">
        <v>2233</v>
      </c>
      <c r="G294" s="5" t="s">
        <v>2234</v>
      </c>
      <c r="H294" s="5" t="s">
        <v>2235</v>
      </c>
      <c r="I294" s="5" t="s">
        <v>1309</v>
      </c>
      <c r="J294" s="5" t="s">
        <v>2236</v>
      </c>
      <c r="K294" s="5" t="s">
        <v>23</v>
      </c>
      <c r="L294" s="5" t="s">
        <v>2237</v>
      </c>
      <c r="M294" s="5" t="s">
        <v>1822</v>
      </c>
      <c r="N294" s="5" t="s">
        <v>51</v>
      </c>
      <c r="O294" s="5" t="s">
        <v>52</v>
      </c>
    </row>
    <row r="295" ht="22.5" customHeight="1">
      <c r="A295" s="4">
        <v>46039.19614915509</v>
      </c>
      <c r="B295" s="5" t="s">
        <v>2238</v>
      </c>
      <c r="C295" s="5" t="s">
        <v>2239</v>
      </c>
      <c r="D295" s="5" t="s">
        <v>2238</v>
      </c>
      <c r="E295" s="5" t="s">
        <v>17</v>
      </c>
      <c r="F295" s="5" t="s">
        <v>2240</v>
      </c>
      <c r="G295" s="5" t="s">
        <v>2241</v>
      </c>
      <c r="H295" s="5" t="s">
        <v>2242</v>
      </c>
      <c r="I295" s="5" t="s">
        <v>2243</v>
      </c>
      <c r="J295" s="5" t="s">
        <v>2244</v>
      </c>
      <c r="K295" s="5" t="s">
        <v>30</v>
      </c>
      <c r="L295" s="5" t="s">
        <v>2245</v>
      </c>
      <c r="M295" s="5" t="s">
        <v>164</v>
      </c>
      <c r="N295" s="5" t="s">
        <v>51</v>
      </c>
      <c r="O295" s="5" t="s">
        <v>52</v>
      </c>
    </row>
    <row r="296" ht="22.5" customHeight="1">
      <c r="A296" s="4">
        <v>46039.19792119213</v>
      </c>
      <c r="B296" s="5" t="s">
        <v>2246</v>
      </c>
      <c r="C296" s="5" t="s">
        <v>2247</v>
      </c>
      <c r="D296" s="5" t="s">
        <v>2246</v>
      </c>
      <c r="E296" s="5" t="s">
        <v>17</v>
      </c>
      <c r="F296" s="5" t="s">
        <v>2248</v>
      </c>
      <c r="G296" s="5" t="s">
        <v>2249</v>
      </c>
      <c r="H296" s="5" t="s">
        <v>2250</v>
      </c>
      <c r="I296" s="5" t="s">
        <v>1645</v>
      </c>
      <c r="J296" s="5" t="s">
        <v>2251</v>
      </c>
      <c r="K296" s="5" t="s">
        <v>30</v>
      </c>
      <c r="L296" s="5" t="s">
        <v>2252</v>
      </c>
      <c r="M296" s="5" t="s">
        <v>164</v>
      </c>
      <c r="N296" s="5" t="s">
        <v>446</v>
      </c>
      <c r="O296" s="5" t="s">
        <v>446</v>
      </c>
    </row>
    <row r="297" ht="22.5" customHeight="1">
      <c r="A297" s="4">
        <v>46039.224956516206</v>
      </c>
      <c r="B297" s="5" t="s">
        <v>2253</v>
      </c>
      <c r="C297" s="5" t="s">
        <v>2254</v>
      </c>
      <c r="D297" s="5" t="s">
        <v>2253</v>
      </c>
      <c r="E297" s="5" t="s">
        <v>17</v>
      </c>
      <c r="F297" s="5" t="s">
        <v>2255</v>
      </c>
      <c r="G297" s="5" t="s">
        <v>2256</v>
      </c>
      <c r="H297" s="5" t="s">
        <v>21</v>
      </c>
      <c r="I297" s="5" t="s">
        <v>2257</v>
      </c>
      <c r="J297" s="5" t="s">
        <v>2258</v>
      </c>
      <c r="K297" s="5" t="s">
        <v>162</v>
      </c>
      <c r="L297" s="5" t="s">
        <v>1228</v>
      </c>
      <c r="M297" s="5" t="s">
        <v>71</v>
      </c>
      <c r="N297" s="5" t="s">
        <v>200</v>
      </c>
      <c r="O297" s="5" t="s">
        <v>201</v>
      </c>
    </row>
    <row r="298" ht="22.5" customHeight="1">
      <c r="A298" s="4">
        <v>46039.22976650463</v>
      </c>
      <c r="B298" s="5" t="s">
        <v>2259</v>
      </c>
      <c r="C298" s="5" t="s">
        <v>2260</v>
      </c>
      <c r="D298" s="5" t="s">
        <v>2259</v>
      </c>
      <c r="E298" s="5" t="s">
        <v>17</v>
      </c>
      <c r="F298" s="5" t="s">
        <v>2261</v>
      </c>
      <c r="G298" s="5" t="s">
        <v>2262</v>
      </c>
      <c r="H298" s="5" t="s">
        <v>2263</v>
      </c>
      <c r="I298" s="5" t="s">
        <v>21</v>
      </c>
      <c r="J298" s="5" t="s">
        <v>2264</v>
      </c>
      <c r="K298" s="5" t="s">
        <v>23</v>
      </c>
      <c r="L298" s="5" t="s">
        <v>2265</v>
      </c>
      <c r="M298" s="5" t="s">
        <v>119</v>
      </c>
      <c r="N298" s="5" t="s">
        <v>257</v>
      </c>
      <c r="O298" s="5" t="s">
        <v>258</v>
      </c>
    </row>
    <row r="299" ht="22.5" customHeight="1">
      <c r="A299" s="4">
        <v>46039.26513753472</v>
      </c>
      <c r="B299" s="5" t="s">
        <v>2266</v>
      </c>
      <c r="C299" s="5" t="s">
        <v>2267</v>
      </c>
      <c r="D299" s="5" t="s">
        <v>2266</v>
      </c>
      <c r="E299" s="5" t="s">
        <v>17</v>
      </c>
      <c r="F299" s="5" t="s">
        <v>2268</v>
      </c>
      <c r="G299" s="5" t="s">
        <v>2269</v>
      </c>
      <c r="H299" s="5" t="s">
        <v>2270</v>
      </c>
      <c r="I299" s="5" t="s">
        <v>2271</v>
      </c>
      <c r="J299" s="5" t="s">
        <v>2272</v>
      </c>
      <c r="K299" s="5" t="s">
        <v>30</v>
      </c>
      <c r="L299" s="5" t="s">
        <v>2273</v>
      </c>
      <c r="M299" s="5" t="s">
        <v>39</v>
      </c>
      <c r="N299" s="5" t="s">
        <v>51</v>
      </c>
      <c r="O299" s="5" t="s">
        <v>52</v>
      </c>
    </row>
    <row r="300" ht="22.5" customHeight="1">
      <c r="A300" s="4">
        <v>46039.311226342594</v>
      </c>
      <c r="B300" s="5" t="s">
        <v>2274</v>
      </c>
      <c r="C300" s="5" t="s">
        <v>2275</v>
      </c>
      <c r="D300" s="5" t="s">
        <v>2274</v>
      </c>
      <c r="E300" s="5" t="s">
        <v>17</v>
      </c>
      <c r="F300" s="5" t="s">
        <v>2276</v>
      </c>
      <c r="G300" s="5" t="s">
        <v>2277</v>
      </c>
      <c r="H300" s="5" t="s">
        <v>2278</v>
      </c>
      <c r="I300" s="5" t="s">
        <v>2279</v>
      </c>
      <c r="J300" s="5" t="s">
        <v>2280</v>
      </c>
      <c r="K300" s="5" t="s">
        <v>162</v>
      </c>
      <c r="L300" s="5" t="s">
        <v>2281</v>
      </c>
      <c r="M300" s="5" t="s">
        <v>456</v>
      </c>
      <c r="N300" s="5" t="s">
        <v>1703</v>
      </c>
      <c r="O300" s="5" t="s">
        <v>1703</v>
      </c>
    </row>
    <row r="301" ht="22.5" customHeight="1">
      <c r="A301" s="4">
        <v>46039.498341597224</v>
      </c>
      <c r="B301" s="5" t="s">
        <v>2282</v>
      </c>
      <c r="C301" s="5" t="s">
        <v>2283</v>
      </c>
      <c r="D301" s="5" t="s">
        <v>2282</v>
      </c>
      <c r="E301" s="5" t="s">
        <v>17</v>
      </c>
      <c r="F301" s="5" t="s">
        <v>2284</v>
      </c>
      <c r="G301" s="5" t="s">
        <v>2285</v>
      </c>
      <c r="H301" s="5" t="s">
        <v>2286</v>
      </c>
      <c r="I301" s="5" t="s">
        <v>1243</v>
      </c>
      <c r="J301" s="5" t="s">
        <v>2287</v>
      </c>
      <c r="K301" s="5" t="s">
        <v>23</v>
      </c>
      <c r="L301" s="5" t="s">
        <v>1116</v>
      </c>
      <c r="M301" s="5" t="s">
        <v>119</v>
      </c>
      <c r="N301" s="5" t="s">
        <v>548</v>
      </c>
      <c r="O301" s="5" t="s">
        <v>566</v>
      </c>
    </row>
    <row r="302" ht="22.5" customHeight="1">
      <c r="A302" s="4">
        <v>46039.54242871528</v>
      </c>
      <c r="B302" s="4">
        <v>46039.54242871528</v>
      </c>
      <c r="C302" s="5" t="s">
        <v>2288</v>
      </c>
      <c r="D302" s="5" t="s">
        <v>2289</v>
      </c>
      <c r="E302" s="5" t="s">
        <v>64</v>
      </c>
      <c r="F302" s="5" t="s">
        <v>2290</v>
      </c>
      <c r="G302" s="5" t="s">
        <v>2291</v>
      </c>
      <c r="H302" s="5" t="s">
        <v>2170</v>
      </c>
      <c r="I302" s="5" t="s">
        <v>2292</v>
      </c>
      <c r="J302" s="5" t="s">
        <v>2293</v>
      </c>
      <c r="K302" s="5" t="s">
        <v>162</v>
      </c>
      <c r="L302" s="5" t="s">
        <v>2294</v>
      </c>
      <c r="M302" s="5" t="s">
        <v>119</v>
      </c>
      <c r="N302" s="5" t="s">
        <v>403</v>
      </c>
      <c r="O302" s="5" t="s">
        <v>1401</v>
      </c>
    </row>
    <row r="303" ht="22.5" customHeight="1">
      <c r="A303" s="4">
        <v>46039.56412962963</v>
      </c>
      <c r="B303" s="5" t="s">
        <v>2295</v>
      </c>
      <c r="C303" s="5" t="s">
        <v>2296</v>
      </c>
      <c r="D303" s="5" t="s">
        <v>2297</v>
      </c>
      <c r="E303" s="5" t="s">
        <v>17</v>
      </c>
      <c r="F303" s="5" t="s">
        <v>2298</v>
      </c>
      <c r="G303" s="5" t="s">
        <v>2299</v>
      </c>
      <c r="H303" s="5" t="s">
        <v>400</v>
      </c>
      <c r="I303" s="5" t="s">
        <v>2300</v>
      </c>
      <c r="J303" s="5" t="s">
        <v>2301</v>
      </c>
      <c r="K303" s="5" t="s">
        <v>30</v>
      </c>
      <c r="L303" s="5" t="s">
        <v>2302</v>
      </c>
      <c r="M303" s="5" t="s">
        <v>71</v>
      </c>
      <c r="N303" s="5" t="s">
        <v>592</v>
      </c>
      <c r="O303" s="5" t="s">
        <v>2303</v>
      </c>
    </row>
    <row r="304" ht="22.5" customHeight="1">
      <c r="A304" s="4">
        <v>46039.76005753472</v>
      </c>
      <c r="B304" s="5" t="s">
        <v>2304</v>
      </c>
      <c r="C304" s="5" t="s">
        <v>2305</v>
      </c>
      <c r="D304" s="5" t="s">
        <v>2304</v>
      </c>
      <c r="E304" s="5" t="s">
        <v>131</v>
      </c>
      <c r="F304" s="5" t="s">
        <v>2306</v>
      </c>
      <c r="G304" s="5" t="s">
        <v>2307</v>
      </c>
      <c r="H304" s="5" t="s">
        <v>22</v>
      </c>
      <c r="I304" s="5" t="s">
        <v>2308</v>
      </c>
      <c r="J304" s="5" t="s">
        <v>2309</v>
      </c>
      <c r="K304" s="5" t="s">
        <v>162</v>
      </c>
      <c r="L304" s="5" t="s">
        <v>2310</v>
      </c>
      <c r="M304" s="5" t="s">
        <v>456</v>
      </c>
      <c r="N304" s="5" t="s">
        <v>26</v>
      </c>
      <c r="O304" s="5" t="s">
        <v>26</v>
      </c>
    </row>
    <row r="305" ht="22.5" customHeight="1">
      <c r="A305" s="2"/>
      <c r="B305" s="3"/>
      <c r="C305" s="3"/>
      <c r="D305" s="3"/>
      <c r="E305" s="3"/>
      <c r="F305" s="3"/>
      <c r="G305" s="3"/>
      <c r="H305" s="3"/>
      <c r="I305" s="3"/>
      <c r="J305" s="3"/>
      <c r="K305" s="3"/>
      <c r="L305" s="3"/>
      <c r="M305" s="3"/>
      <c r="N305" s="3"/>
      <c r="O305" s="3"/>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18.88"/>
    <col customWidth="1" min="3" max="3" width="29.63"/>
    <col customWidth="1" min="4" max="4" width="18.88"/>
    <col customWidth="1" hidden="1" min="5" max="5" width="20.88"/>
    <col customWidth="1" min="6" max="6" width="20.38"/>
    <col customWidth="1" min="7" max="7" width="63.75"/>
    <col customWidth="1" min="8" max="8" width="178.25"/>
    <col customWidth="1" min="9" max="11" width="18.88"/>
    <col customWidth="1" min="12" max="12" width="37.63"/>
    <col customWidth="1" min="13" max="14" width="18.88"/>
    <col customWidth="1" min="15" max="15" width="20.88"/>
    <col customWidth="1" min="16" max="16" width="15.63"/>
    <col customWidth="1" min="17" max="17" width="51.25"/>
    <col customWidth="1" min="18" max="22" width="18.88"/>
  </cols>
  <sheetData>
    <row r="1" ht="22.5" customHeight="1">
      <c r="A1" s="7" t="s">
        <v>2311</v>
      </c>
      <c r="B1" s="1" t="s">
        <v>0</v>
      </c>
      <c r="C1" s="1" t="s">
        <v>1</v>
      </c>
      <c r="D1" s="1" t="s">
        <v>2</v>
      </c>
      <c r="E1" s="1" t="s">
        <v>3</v>
      </c>
      <c r="F1" s="1" t="s">
        <v>4</v>
      </c>
      <c r="G1" s="8" t="s">
        <v>5</v>
      </c>
      <c r="H1" s="8" t="s">
        <v>6</v>
      </c>
      <c r="I1" s="8" t="s">
        <v>7</v>
      </c>
      <c r="J1" s="8" t="s">
        <v>8</v>
      </c>
      <c r="K1" s="8" t="s">
        <v>9</v>
      </c>
      <c r="L1" s="1" t="s">
        <v>10</v>
      </c>
      <c r="M1" s="1" t="s">
        <v>11</v>
      </c>
      <c r="N1" s="1" t="s">
        <v>12</v>
      </c>
      <c r="O1" s="1" t="s">
        <v>13</v>
      </c>
      <c r="P1" s="1" t="s">
        <v>14</v>
      </c>
      <c r="Q1" s="9" t="s">
        <v>2312</v>
      </c>
    </row>
    <row r="2" ht="22.5" customHeight="1">
      <c r="A2" s="10">
        <v>260001.0</v>
      </c>
      <c r="B2" s="4">
        <v>45974.34493689815</v>
      </c>
      <c r="C2" s="5" t="s">
        <v>32</v>
      </c>
      <c r="D2" s="5" t="s">
        <v>33</v>
      </c>
      <c r="E2" s="5" t="s">
        <v>32</v>
      </c>
      <c r="F2" s="5" t="s">
        <v>17</v>
      </c>
      <c r="G2" s="11" t="s">
        <v>34</v>
      </c>
      <c r="H2" s="11" t="s">
        <v>35</v>
      </c>
      <c r="I2" s="11" t="s">
        <v>36</v>
      </c>
      <c r="J2" s="11" t="s">
        <v>37</v>
      </c>
      <c r="K2" s="11" t="s">
        <v>38</v>
      </c>
      <c r="L2" s="5" t="s">
        <v>23</v>
      </c>
      <c r="M2" s="5" t="s">
        <v>39</v>
      </c>
      <c r="N2" s="5" t="s">
        <v>39</v>
      </c>
      <c r="O2" s="5" t="s">
        <v>40</v>
      </c>
      <c r="P2" s="5" t="s">
        <v>41</v>
      </c>
      <c r="Q2" s="12"/>
    </row>
    <row r="3" ht="22.5" customHeight="1">
      <c r="A3" s="10">
        <v>260002.0</v>
      </c>
      <c r="B3" s="4">
        <v>45975.225543356486</v>
      </c>
      <c r="C3" s="5" t="s">
        <v>42</v>
      </c>
      <c r="D3" s="5" t="s">
        <v>43</v>
      </c>
      <c r="E3" s="5" t="s">
        <v>42</v>
      </c>
      <c r="F3" s="5" t="s">
        <v>17</v>
      </c>
      <c r="G3" s="11" t="s">
        <v>44</v>
      </c>
      <c r="H3" s="11" t="s">
        <v>45</v>
      </c>
      <c r="I3" s="11" t="s">
        <v>46</v>
      </c>
      <c r="J3" s="11" t="s">
        <v>47</v>
      </c>
      <c r="K3" s="11" t="s">
        <v>48</v>
      </c>
      <c r="L3" s="5" t="s">
        <v>30</v>
      </c>
      <c r="M3" s="5" t="s">
        <v>49</v>
      </c>
      <c r="N3" s="5" t="s">
        <v>50</v>
      </c>
      <c r="O3" s="5" t="s">
        <v>51</v>
      </c>
      <c r="P3" s="5" t="s">
        <v>52</v>
      </c>
      <c r="Q3" s="12"/>
    </row>
    <row r="4" ht="22.5" customHeight="1">
      <c r="A4" s="10">
        <v>260003.0</v>
      </c>
      <c r="B4" s="4">
        <v>45975.335964513884</v>
      </c>
      <c r="C4" s="5" t="s">
        <v>53</v>
      </c>
      <c r="D4" s="5" t="s">
        <v>54</v>
      </c>
      <c r="E4" s="5" t="s">
        <v>53</v>
      </c>
      <c r="F4" s="5" t="s">
        <v>17</v>
      </c>
      <c r="G4" s="11" t="s">
        <v>55</v>
      </c>
      <c r="H4" s="11" t="s">
        <v>2313</v>
      </c>
      <c r="I4" s="11" t="s">
        <v>57</v>
      </c>
      <c r="J4" s="11" t="s">
        <v>58</v>
      </c>
      <c r="K4" s="11" t="s">
        <v>59</v>
      </c>
      <c r="L4" s="5" t="s">
        <v>30</v>
      </c>
      <c r="M4" s="5" t="s">
        <v>60</v>
      </c>
      <c r="N4" s="5" t="s">
        <v>61</v>
      </c>
      <c r="O4" s="5" t="s">
        <v>51</v>
      </c>
      <c r="P4" s="5" t="s">
        <v>52</v>
      </c>
      <c r="Q4" s="12"/>
    </row>
    <row r="5" ht="22.5" customHeight="1">
      <c r="A5" s="10">
        <v>260004.0</v>
      </c>
      <c r="B5" s="4">
        <v>45975.726207430554</v>
      </c>
      <c r="C5" s="5" t="s">
        <v>62</v>
      </c>
      <c r="D5" s="5" t="s">
        <v>63</v>
      </c>
      <c r="E5" s="5" t="s">
        <v>62</v>
      </c>
      <c r="F5" s="5" t="s">
        <v>64</v>
      </c>
      <c r="G5" s="11" t="s">
        <v>65</v>
      </c>
      <c r="H5" s="11" t="s">
        <v>66</v>
      </c>
      <c r="I5" s="11" t="s">
        <v>67</v>
      </c>
      <c r="J5" s="11" t="s">
        <v>68</v>
      </c>
      <c r="K5" s="11" t="s">
        <v>69</v>
      </c>
      <c r="L5" s="5" t="s">
        <v>30</v>
      </c>
      <c r="M5" s="5" t="s">
        <v>70</v>
      </c>
      <c r="N5" s="5" t="s">
        <v>71</v>
      </c>
      <c r="O5" s="5" t="s">
        <v>72</v>
      </c>
      <c r="P5" s="5" t="s">
        <v>73</v>
      </c>
      <c r="Q5" s="12"/>
    </row>
    <row r="6" ht="22.5" customHeight="1">
      <c r="A6" s="10">
        <v>260005.0</v>
      </c>
      <c r="B6" s="4">
        <v>45977.07979894676</v>
      </c>
      <c r="C6" s="5" t="s">
        <v>74</v>
      </c>
      <c r="D6" s="5" t="s">
        <v>75</v>
      </c>
      <c r="E6" s="5" t="s">
        <v>74</v>
      </c>
      <c r="F6" s="5" t="s">
        <v>17</v>
      </c>
      <c r="G6" s="11" t="s">
        <v>76</v>
      </c>
      <c r="H6" s="11" t="s">
        <v>77</v>
      </c>
      <c r="I6" s="11" t="s">
        <v>78</v>
      </c>
      <c r="J6" s="11" t="s">
        <v>79</v>
      </c>
      <c r="K6" s="11" t="s">
        <v>80</v>
      </c>
      <c r="L6" s="5" t="s">
        <v>30</v>
      </c>
      <c r="M6" s="5" t="s">
        <v>81</v>
      </c>
      <c r="N6" s="5" t="s">
        <v>61</v>
      </c>
      <c r="O6" s="5" t="s">
        <v>51</v>
      </c>
      <c r="P6" s="5" t="s">
        <v>51</v>
      </c>
      <c r="Q6" s="12"/>
    </row>
    <row r="7" ht="22.5" customHeight="1">
      <c r="A7" s="10">
        <v>260006.0</v>
      </c>
      <c r="B7" s="4">
        <v>45978.73710452546</v>
      </c>
      <c r="C7" s="5" t="s">
        <v>82</v>
      </c>
      <c r="D7" s="5" t="s">
        <v>83</v>
      </c>
      <c r="E7" s="5" t="s">
        <v>82</v>
      </c>
      <c r="F7" s="5" t="s">
        <v>17</v>
      </c>
      <c r="G7" s="11" t="s">
        <v>84</v>
      </c>
      <c r="H7" s="11" t="s">
        <v>85</v>
      </c>
      <c r="I7" s="11" t="s">
        <v>86</v>
      </c>
      <c r="J7" s="11" t="s">
        <v>87</v>
      </c>
      <c r="K7" s="11" t="s">
        <v>88</v>
      </c>
      <c r="L7" s="5" t="s">
        <v>30</v>
      </c>
      <c r="M7" s="5" t="s">
        <v>89</v>
      </c>
      <c r="N7" s="5" t="s">
        <v>25</v>
      </c>
      <c r="O7" s="5" t="s">
        <v>51</v>
      </c>
      <c r="P7" s="5" t="s">
        <v>52</v>
      </c>
      <c r="Q7" s="12"/>
    </row>
    <row r="8" ht="22.5" customHeight="1">
      <c r="A8" s="10">
        <v>260007.0</v>
      </c>
      <c r="B8" s="4">
        <v>45978.74664513889</v>
      </c>
      <c r="C8" s="5" t="s">
        <v>82</v>
      </c>
      <c r="D8" s="5" t="s">
        <v>83</v>
      </c>
      <c r="E8" s="5" t="s">
        <v>82</v>
      </c>
      <c r="F8" s="5" t="s">
        <v>17</v>
      </c>
      <c r="G8" s="11" t="s">
        <v>90</v>
      </c>
      <c r="H8" s="11" t="s">
        <v>91</v>
      </c>
      <c r="I8" s="11" t="s">
        <v>92</v>
      </c>
      <c r="J8" s="11" t="s">
        <v>93</v>
      </c>
      <c r="K8" s="11" t="s">
        <v>94</v>
      </c>
      <c r="L8" s="5" t="s">
        <v>30</v>
      </c>
      <c r="M8" s="5" t="s">
        <v>89</v>
      </c>
      <c r="N8" s="5" t="s">
        <v>25</v>
      </c>
      <c r="O8" s="5" t="s">
        <v>51</v>
      </c>
      <c r="P8" s="5" t="s">
        <v>52</v>
      </c>
      <c r="Q8" s="12"/>
    </row>
    <row r="9" ht="22.5" customHeight="1">
      <c r="A9" s="10">
        <v>260008.0</v>
      </c>
      <c r="B9" s="4">
        <v>45978.752676296295</v>
      </c>
      <c r="C9" s="5" t="s">
        <v>82</v>
      </c>
      <c r="D9" s="5" t="s">
        <v>83</v>
      </c>
      <c r="E9" s="5" t="s">
        <v>82</v>
      </c>
      <c r="F9" s="5" t="s">
        <v>17</v>
      </c>
      <c r="G9" s="11" t="s">
        <v>95</v>
      </c>
      <c r="H9" s="11" t="s">
        <v>96</v>
      </c>
      <c r="I9" s="11" t="s">
        <v>97</v>
      </c>
      <c r="J9" s="11" t="s">
        <v>98</v>
      </c>
      <c r="K9" s="11" t="s">
        <v>99</v>
      </c>
      <c r="L9" s="5" t="s">
        <v>30</v>
      </c>
      <c r="M9" s="5" t="s">
        <v>89</v>
      </c>
      <c r="N9" s="5" t="s">
        <v>25</v>
      </c>
      <c r="O9" s="5" t="s">
        <v>51</v>
      </c>
      <c r="P9" s="5" t="s">
        <v>52</v>
      </c>
      <c r="Q9" s="12"/>
    </row>
    <row r="10" ht="22.5" customHeight="1">
      <c r="A10" s="10">
        <v>260009.0</v>
      </c>
      <c r="B10" s="4">
        <v>45978.76234328704</v>
      </c>
      <c r="C10" s="5" t="s">
        <v>82</v>
      </c>
      <c r="D10" s="5" t="s">
        <v>83</v>
      </c>
      <c r="E10" s="5" t="s">
        <v>82</v>
      </c>
      <c r="F10" s="5" t="s">
        <v>64</v>
      </c>
      <c r="G10" s="11" t="s">
        <v>100</v>
      </c>
      <c r="H10" s="11" t="s">
        <v>101</v>
      </c>
      <c r="I10" s="11" t="s">
        <v>86</v>
      </c>
      <c r="J10" s="11" t="s">
        <v>102</v>
      </c>
      <c r="K10" s="11" t="s">
        <v>103</v>
      </c>
      <c r="L10" s="5" t="s">
        <v>30</v>
      </c>
      <c r="M10" s="5" t="s">
        <v>89</v>
      </c>
      <c r="N10" s="5" t="s">
        <v>25</v>
      </c>
      <c r="O10" s="5" t="s">
        <v>51</v>
      </c>
      <c r="P10" s="5" t="s">
        <v>51</v>
      </c>
      <c r="Q10" s="12"/>
    </row>
    <row r="11" ht="22.5" customHeight="1">
      <c r="A11" s="10">
        <v>260010.0</v>
      </c>
      <c r="B11" s="4">
        <v>45978.95245471065</v>
      </c>
      <c r="C11" s="5" t="s">
        <v>104</v>
      </c>
      <c r="D11" s="5" t="s">
        <v>104</v>
      </c>
      <c r="E11" s="5" t="s">
        <v>104</v>
      </c>
      <c r="F11" s="5" t="s">
        <v>17</v>
      </c>
      <c r="G11" s="11" t="s">
        <v>105</v>
      </c>
      <c r="H11" s="11" t="s">
        <v>106</v>
      </c>
      <c r="I11" s="11" t="s">
        <v>107</v>
      </c>
      <c r="J11" s="11" t="s">
        <v>108</v>
      </c>
      <c r="K11" s="11" t="s">
        <v>109</v>
      </c>
      <c r="L11" s="5" t="s">
        <v>30</v>
      </c>
      <c r="M11" s="5" t="s">
        <v>110</v>
      </c>
      <c r="N11" s="5" t="s">
        <v>111</v>
      </c>
      <c r="O11" s="5" t="s">
        <v>51</v>
      </c>
      <c r="P11" s="5" t="s">
        <v>73</v>
      </c>
      <c r="Q11" s="12"/>
    </row>
    <row r="12" ht="22.5" customHeight="1">
      <c r="A12" s="10">
        <v>260011.0</v>
      </c>
      <c r="B12" s="4">
        <v>45979.30210460648</v>
      </c>
      <c r="C12" s="5" t="s">
        <v>112</v>
      </c>
      <c r="D12" s="5" t="s">
        <v>113</v>
      </c>
      <c r="E12" s="5" t="s">
        <v>112</v>
      </c>
      <c r="F12" s="5" t="s">
        <v>17</v>
      </c>
      <c r="G12" s="11" t="s">
        <v>114</v>
      </c>
      <c r="H12" s="11" t="s">
        <v>115</v>
      </c>
      <c r="I12" s="11" t="s">
        <v>116</v>
      </c>
      <c r="J12" s="11" t="s">
        <v>117</v>
      </c>
      <c r="K12" s="11" t="s">
        <v>118</v>
      </c>
      <c r="L12" s="5" t="s">
        <v>30</v>
      </c>
      <c r="M12" s="5" t="s">
        <v>81</v>
      </c>
      <c r="N12" s="5" t="s">
        <v>119</v>
      </c>
      <c r="O12" s="5" t="s">
        <v>51</v>
      </c>
      <c r="P12" s="5" t="s">
        <v>52</v>
      </c>
      <c r="Q12" s="12"/>
    </row>
    <row r="13" ht="22.5" customHeight="1">
      <c r="A13" s="10">
        <v>260012.0</v>
      </c>
      <c r="B13" s="4">
        <v>45979.31965983796</v>
      </c>
      <c r="C13" s="5" t="s">
        <v>120</v>
      </c>
      <c r="D13" s="5" t="s">
        <v>121</v>
      </c>
      <c r="E13" s="5" t="s">
        <v>120</v>
      </c>
      <c r="F13" s="5" t="s">
        <v>64</v>
      </c>
      <c r="G13" s="11" t="s">
        <v>122</v>
      </c>
      <c r="H13" s="11" t="s">
        <v>123</v>
      </c>
      <c r="I13" s="11" t="s">
        <v>124</v>
      </c>
      <c r="J13" s="11" t="s">
        <v>125</v>
      </c>
      <c r="K13" s="11" t="s">
        <v>126</v>
      </c>
      <c r="L13" s="5" t="s">
        <v>30</v>
      </c>
      <c r="M13" s="5" t="s">
        <v>127</v>
      </c>
      <c r="N13" s="5" t="s">
        <v>128</v>
      </c>
      <c r="O13" s="5" t="s">
        <v>51</v>
      </c>
      <c r="P13" s="5" t="s">
        <v>52</v>
      </c>
      <c r="Q13" s="12"/>
    </row>
    <row r="14" ht="22.5" customHeight="1">
      <c r="A14" s="10">
        <v>260013.0</v>
      </c>
      <c r="B14" s="4">
        <v>45979.78735119213</v>
      </c>
      <c r="C14" s="5" t="s">
        <v>129</v>
      </c>
      <c r="D14" s="5" t="s">
        <v>130</v>
      </c>
      <c r="E14" s="5" t="s">
        <v>129</v>
      </c>
      <c r="F14" s="5" t="s">
        <v>131</v>
      </c>
      <c r="G14" s="11" t="s">
        <v>132</v>
      </c>
      <c r="H14" s="11" t="s">
        <v>133</v>
      </c>
      <c r="I14" s="11" t="s">
        <v>134</v>
      </c>
      <c r="J14" s="11" t="s">
        <v>135</v>
      </c>
      <c r="K14" s="11" t="s">
        <v>136</v>
      </c>
      <c r="L14" s="5" t="s">
        <v>30</v>
      </c>
      <c r="M14" s="5" t="s">
        <v>137</v>
      </c>
      <c r="N14" s="5" t="s">
        <v>61</v>
      </c>
      <c r="O14" s="5" t="s">
        <v>72</v>
      </c>
      <c r="P14" s="5" t="s">
        <v>73</v>
      </c>
      <c r="Q14" s="12"/>
    </row>
    <row r="15" ht="22.5" customHeight="1">
      <c r="A15" s="10">
        <v>260014.0</v>
      </c>
      <c r="B15" s="4">
        <v>45980.88713109954</v>
      </c>
      <c r="C15" s="5" t="s">
        <v>138</v>
      </c>
      <c r="D15" s="5" t="s">
        <v>139</v>
      </c>
      <c r="E15" s="5" t="s">
        <v>138</v>
      </c>
      <c r="F15" s="5" t="s">
        <v>17</v>
      </c>
      <c r="G15" s="11" t="s">
        <v>140</v>
      </c>
      <c r="H15" s="11" t="s">
        <v>141</v>
      </c>
      <c r="I15" s="11" t="s">
        <v>142</v>
      </c>
      <c r="J15" s="11" t="s">
        <v>143</v>
      </c>
      <c r="K15" s="11" t="s">
        <v>144</v>
      </c>
      <c r="L15" s="5" t="s">
        <v>30</v>
      </c>
      <c r="M15" s="5" t="s">
        <v>145</v>
      </c>
      <c r="N15" s="5" t="s">
        <v>119</v>
      </c>
      <c r="O15" s="5" t="s">
        <v>51</v>
      </c>
      <c r="P15" s="5" t="s">
        <v>52</v>
      </c>
      <c r="Q15" s="12"/>
    </row>
    <row r="16" ht="22.5" customHeight="1">
      <c r="A16" s="10">
        <v>260015.0</v>
      </c>
      <c r="B16" s="4">
        <v>45981.13116849537</v>
      </c>
      <c r="C16" s="5" t="s">
        <v>146</v>
      </c>
      <c r="D16" s="5" t="s">
        <v>147</v>
      </c>
      <c r="E16" s="5" t="s">
        <v>146</v>
      </c>
      <c r="F16" s="5" t="s">
        <v>64</v>
      </c>
      <c r="G16" s="11" t="s">
        <v>148</v>
      </c>
      <c r="H16" s="11" t="s">
        <v>149</v>
      </c>
      <c r="I16" s="11" t="s">
        <v>150</v>
      </c>
      <c r="J16" s="11" t="s">
        <v>151</v>
      </c>
      <c r="K16" s="11" t="s">
        <v>152</v>
      </c>
      <c r="L16" s="5" t="s">
        <v>30</v>
      </c>
      <c r="M16" s="5" t="s">
        <v>153</v>
      </c>
      <c r="N16" s="5" t="s">
        <v>71</v>
      </c>
      <c r="O16" s="5" t="s">
        <v>154</v>
      </c>
      <c r="P16" s="5" t="s">
        <v>52</v>
      </c>
      <c r="Q16" s="12"/>
    </row>
    <row r="17" ht="22.5" customHeight="1">
      <c r="A17" s="10">
        <v>260016.0</v>
      </c>
      <c r="B17" s="4">
        <v>45981.39701994213</v>
      </c>
      <c r="C17" s="5" t="s">
        <v>155</v>
      </c>
      <c r="D17" s="5" t="s">
        <v>156</v>
      </c>
      <c r="E17" s="5" t="s">
        <v>155</v>
      </c>
      <c r="F17" s="5" t="s">
        <v>17</v>
      </c>
      <c r="G17" s="11" t="s">
        <v>157</v>
      </c>
      <c r="H17" s="11" t="s">
        <v>158</v>
      </c>
      <c r="I17" s="11" t="s">
        <v>159</v>
      </c>
      <c r="J17" s="11" t="s">
        <v>160</v>
      </c>
      <c r="K17" s="11" t="s">
        <v>161</v>
      </c>
      <c r="L17" s="5" t="s">
        <v>162</v>
      </c>
      <c r="M17" s="5" t="s">
        <v>163</v>
      </c>
      <c r="N17" s="5" t="s">
        <v>164</v>
      </c>
      <c r="O17" s="5" t="s">
        <v>40</v>
      </c>
      <c r="P17" s="5" t="s">
        <v>40</v>
      </c>
      <c r="Q17" s="12"/>
    </row>
    <row r="18" ht="22.5" customHeight="1">
      <c r="A18" s="10">
        <v>260017.0</v>
      </c>
      <c r="B18" s="4">
        <v>45982.02289770833</v>
      </c>
      <c r="C18" s="5" t="s">
        <v>165</v>
      </c>
      <c r="D18" s="5" t="s">
        <v>166</v>
      </c>
      <c r="E18" s="5" t="s">
        <v>165</v>
      </c>
      <c r="F18" s="5" t="s">
        <v>17</v>
      </c>
      <c r="G18" s="11" t="s">
        <v>167</v>
      </c>
      <c r="H18" s="11" t="s">
        <v>168</v>
      </c>
      <c r="I18" s="11" t="s">
        <v>169</v>
      </c>
      <c r="J18" s="11" t="s">
        <v>170</v>
      </c>
      <c r="K18" s="11" t="s">
        <v>171</v>
      </c>
      <c r="L18" s="5" t="s">
        <v>30</v>
      </c>
      <c r="M18" s="5" t="s">
        <v>145</v>
      </c>
      <c r="N18" s="5" t="s">
        <v>172</v>
      </c>
      <c r="O18" s="5" t="s">
        <v>173</v>
      </c>
      <c r="P18" s="5" t="s">
        <v>52</v>
      </c>
      <c r="Q18" s="12"/>
    </row>
    <row r="19" ht="22.5" customHeight="1">
      <c r="A19" s="10">
        <v>260018.0</v>
      </c>
      <c r="B19" s="4">
        <v>45982.975774293984</v>
      </c>
      <c r="C19" s="5" t="s">
        <v>174</v>
      </c>
      <c r="D19" s="5" t="s">
        <v>175</v>
      </c>
      <c r="E19" s="5" t="s">
        <v>174</v>
      </c>
      <c r="F19" s="5" t="s">
        <v>17</v>
      </c>
      <c r="G19" s="11" t="s">
        <v>176</v>
      </c>
      <c r="H19" s="11" t="s">
        <v>177</v>
      </c>
      <c r="I19" s="11" t="s">
        <v>178</v>
      </c>
      <c r="J19" s="11" t="s">
        <v>58</v>
      </c>
      <c r="K19" s="11" t="s">
        <v>179</v>
      </c>
      <c r="L19" s="5" t="s">
        <v>30</v>
      </c>
      <c r="M19" s="5" t="s">
        <v>180</v>
      </c>
      <c r="N19" s="5" t="s">
        <v>119</v>
      </c>
      <c r="O19" s="5" t="s">
        <v>181</v>
      </c>
      <c r="P19" s="5" t="s">
        <v>182</v>
      </c>
      <c r="Q19" s="12"/>
    </row>
    <row r="20" ht="22.5" customHeight="1">
      <c r="A20" s="10">
        <v>260019.0</v>
      </c>
      <c r="B20" s="4">
        <v>45984.148277326385</v>
      </c>
      <c r="C20" s="5" t="s">
        <v>183</v>
      </c>
      <c r="D20" s="5" t="s">
        <v>184</v>
      </c>
      <c r="E20" s="5" t="s">
        <v>183</v>
      </c>
      <c r="F20" s="5" t="s">
        <v>17</v>
      </c>
      <c r="G20" s="11" t="s">
        <v>185</v>
      </c>
      <c r="H20" s="11" t="s">
        <v>186</v>
      </c>
      <c r="I20" s="11" t="s">
        <v>187</v>
      </c>
      <c r="J20" s="11" t="s">
        <v>188</v>
      </c>
      <c r="K20" s="11" t="s">
        <v>189</v>
      </c>
      <c r="L20" s="5" t="s">
        <v>30</v>
      </c>
      <c r="M20" s="5" t="s">
        <v>190</v>
      </c>
      <c r="N20" s="5" t="s">
        <v>61</v>
      </c>
      <c r="O20" s="5" t="s">
        <v>51</v>
      </c>
      <c r="P20" s="5" t="s">
        <v>52</v>
      </c>
      <c r="Q20" s="12"/>
    </row>
    <row r="21" ht="22.5" customHeight="1">
      <c r="A21" s="10">
        <v>260020.0</v>
      </c>
      <c r="B21" s="4">
        <v>45986.02287238426</v>
      </c>
      <c r="C21" s="5" t="s">
        <v>191</v>
      </c>
      <c r="D21" s="5" t="s">
        <v>192</v>
      </c>
      <c r="E21" s="5" t="s">
        <v>191</v>
      </c>
      <c r="F21" s="5" t="s">
        <v>17</v>
      </c>
      <c r="G21" s="11" t="s">
        <v>193</v>
      </c>
      <c r="H21" s="11" t="s">
        <v>194</v>
      </c>
      <c r="I21" s="11" t="s">
        <v>195</v>
      </c>
      <c r="J21" s="11" t="s">
        <v>196</v>
      </c>
      <c r="K21" s="11" t="s">
        <v>197</v>
      </c>
      <c r="L21" s="5" t="s">
        <v>162</v>
      </c>
      <c r="M21" s="5" t="s">
        <v>198</v>
      </c>
      <c r="N21" s="5" t="s">
        <v>199</v>
      </c>
      <c r="O21" s="5" t="s">
        <v>200</v>
      </c>
      <c r="P21" s="5" t="s">
        <v>201</v>
      </c>
      <c r="Q21" s="12"/>
    </row>
    <row r="22" ht="22.5" customHeight="1">
      <c r="A22" s="10">
        <v>260021.0</v>
      </c>
      <c r="B22" s="4">
        <v>45987.11282105324</v>
      </c>
      <c r="C22" s="5" t="s">
        <v>202</v>
      </c>
      <c r="D22" s="5" t="s">
        <v>203</v>
      </c>
      <c r="E22" s="5" t="s">
        <v>202</v>
      </c>
      <c r="F22" s="5" t="s">
        <v>17</v>
      </c>
      <c r="G22" s="11" t="s">
        <v>204</v>
      </c>
      <c r="H22" s="11" t="s">
        <v>205</v>
      </c>
      <c r="I22" s="11" t="s">
        <v>206</v>
      </c>
      <c r="J22" s="11" t="s">
        <v>207</v>
      </c>
      <c r="K22" s="11" t="s">
        <v>208</v>
      </c>
      <c r="L22" s="5" t="s">
        <v>30</v>
      </c>
      <c r="M22" s="5" t="s">
        <v>209</v>
      </c>
      <c r="N22" s="5" t="s">
        <v>61</v>
      </c>
      <c r="O22" s="5" t="s">
        <v>210</v>
      </c>
      <c r="P22" s="5" t="s">
        <v>73</v>
      </c>
      <c r="Q22" s="12"/>
    </row>
    <row r="23" ht="22.5" customHeight="1">
      <c r="A23" s="10">
        <v>260022.0</v>
      </c>
      <c r="B23" s="4">
        <v>45987.706804490736</v>
      </c>
      <c r="C23" s="5" t="s">
        <v>211</v>
      </c>
      <c r="D23" s="5" t="s">
        <v>212</v>
      </c>
      <c r="E23" s="5" t="s">
        <v>211</v>
      </c>
      <c r="F23" s="5" t="s">
        <v>17</v>
      </c>
      <c r="G23" s="11" t="s">
        <v>213</v>
      </c>
      <c r="H23" s="11" t="s">
        <v>214</v>
      </c>
      <c r="I23" s="11" t="s">
        <v>215</v>
      </c>
      <c r="J23" s="11" t="s">
        <v>216</v>
      </c>
      <c r="K23" s="11" t="s">
        <v>217</v>
      </c>
      <c r="L23" s="5" t="s">
        <v>30</v>
      </c>
      <c r="M23" s="5" t="s">
        <v>218</v>
      </c>
      <c r="N23" s="5" t="s">
        <v>164</v>
      </c>
      <c r="O23" s="5" t="s">
        <v>219</v>
      </c>
      <c r="P23" s="5" t="s">
        <v>52</v>
      </c>
      <c r="Q23" s="12"/>
    </row>
    <row r="24" ht="22.5" customHeight="1">
      <c r="A24" s="10">
        <v>260023.0</v>
      </c>
      <c r="B24" s="4">
        <v>45987.85969388889</v>
      </c>
      <c r="C24" s="5" t="s">
        <v>138</v>
      </c>
      <c r="D24" s="5" t="s">
        <v>139</v>
      </c>
      <c r="E24" s="5" t="s">
        <v>138</v>
      </c>
      <c r="F24" s="5" t="s">
        <v>17</v>
      </c>
      <c r="G24" s="11" t="s">
        <v>220</v>
      </c>
      <c r="H24" s="11" t="s">
        <v>221</v>
      </c>
      <c r="I24" s="11" t="s">
        <v>195</v>
      </c>
      <c r="J24" s="11" t="s">
        <v>222</v>
      </c>
      <c r="K24" s="11" t="s">
        <v>223</v>
      </c>
      <c r="L24" s="5" t="s">
        <v>30</v>
      </c>
      <c r="M24" s="5" t="s">
        <v>145</v>
      </c>
      <c r="N24" s="5" t="s">
        <v>119</v>
      </c>
      <c r="O24" s="5" t="s">
        <v>51</v>
      </c>
      <c r="P24" s="5" t="s">
        <v>52</v>
      </c>
      <c r="Q24" s="12"/>
    </row>
    <row r="25" ht="22.5" customHeight="1">
      <c r="A25" s="10">
        <v>260024.0</v>
      </c>
      <c r="B25" s="4">
        <v>45989.617146770834</v>
      </c>
      <c r="C25" s="5" t="s">
        <v>224</v>
      </c>
      <c r="D25" s="5" t="s">
        <v>225</v>
      </c>
      <c r="E25" s="5" t="s">
        <v>224</v>
      </c>
      <c r="F25" s="5" t="s">
        <v>17</v>
      </c>
      <c r="G25" s="11" t="s">
        <v>226</v>
      </c>
      <c r="H25" s="11" t="s">
        <v>227</v>
      </c>
      <c r="I25" s="11" t="s">
        <v>228</v>
      </c>
      <c r="J25" s="11" t="s">
        <v>229</v>
      </c>
      <c r="K25" s="11" t="s">
        <v>230</v>
      </c>
      <c r="L25" s="5" t="s">
        <v>23</v>
      </c>
      <c r="M25" s="5" t="s">
        <v>231</v>
      </c>
      <c r="N25" s="5" t="s">
        <v>111</v>
      </c>
      <c r="O25" s="5" t="s">
        <v>232</v>
      </c>
      <c r="P25" s="5" t="s">
        <v>233</v>
      </c>
      <c r="Q25" s="12"/>
    </row>
    <row r="26" ht="22.5" customHeight="1">
      <c r="A26" s="10">
        <v>260025.0</v>
      </c>
      <c r="B26" s="4">
        <v>45990.470499814815</v>
      </c>
      <c r="C26" s="5" t="s">
        <v>234</v>
      </c>
      <c r="D26" s="5" t="s">
        <v>235</v>
      </c>
      <c r="E26" s="5" t="s">
        <v>234</v>
      </c>
      <c r="F26" s="5" t="s">
        <v>17</v>
      </c>
      <c r="G26" s="11" t="s">
        <v>236</v>
      </c>
      <c r="H26" s="13" t="s">
        <v>237</v>
      </c>
      <c r="I26" s="11" t="s">
        <v>238</v>
      </c>
      <c r="J26" s="11" t="s">
        <v>239</v>
      </c>
      <c r="K26" s="11" t="s">
        <v>240</v>
      </c>
      <c r="L26" s="5" t="s">
        <v>162</v>
      </c>
      <c r="M26" s="5" t="s">
        <v>241</v>
      </c>
      <c r="N26" s="5" t="s">
        <v>71</v>
      </c>
      <c r="O26" s="5" t="s">
        <v>40</v>
      </c>
      <c r="P26" s="5" t="s">
        <v>242</v>
      </c>
      <c r="Q26" s="12"/>
    </row>
    <row r="27" ht="22.5" customHeight="1">
      <c r="A27" s="10">
        <v>260026.0</v>
      </c>
      <c r="B27" s="4">
        <v>45992.17593991898</v>
      </c>
      <c r="C27" s="5" t="s">
        <v>243</v>
      </c>
      <c r="D27" s="5" t="s">
        <v>244</v>
      </c>
      <c r="E27" s="5" t="s">
        <v>243</v>
      </c>
      <c r="F27" s="5" t="s">
        <v>131</v>
      </c>
      <c r="G27" s="11" t="s">
        <v>245</v>
      </c>
      <c r="H27" s="13" t="s">
        <v>246</v>
      </c>
      <c r="I27" s="11" t="s">
        <v>247</v>
      </c>
      <c r="J27" s="11" t="s">
        <v>248</v>
      </c>
      <c r="K27" s="11" t="s">
        <v>249</v>
      </c>
      <c r="L27" s="5" t="s">
        <v>30</v>
      </c>
      <c r="M27" s="5" t="s">
        <v>250</v>
      </c>
      <c r="N27" s="5" t="s">
        <v>61</v>
      </c>
      <c r="O27" s="5" t="s">
        <v>51</v>
      </c>
      <c r="P27" s="5" t="s">
        <v>51</v>
      </c>
      <c r="Q27" s="12"/>
    </row>
    <row r="28" ht="22.5" customHeight="1">
      <c r="A28" s="10">
        <v>260027.0</v>
      </c>
      <c r="B28" s="4">
        <v>45992.80528344907</v>
      </c>
      <c r="C28" s="5" t="s">
        <v>251</v>
      </c>
      <c r="D28" s="5" t="s">
        <v>252</v>
      </c>
      <c r="E28" s="5" t="s">
        <v>251</v>
      </c>
      <c r="F28" s="5" t="s">
        <v>17</v>
      </c>
      <c r="G28" s="11" t="s">
        <v>253</v>
      </c>
      <c r="H28" s="13" t="s">
        <v>254</v>
      </c>
      <c r="I28" s="11" t="s">
        <v>21</v>
      </c>
      <c r="J28" s="11" t="s">
        <v>255</v>
      </c>
      <c r="K28" s="11" t="s">
        <v>161</v>
      </c>
      <c r="L28" s="5" t="s">
        <v>23</v>
      </c>
      <c r="M28" s="5" t="s">
        <v>256</v>
      </c>
      <c r="N28" s="5" t="s">
        <v>61</v>
      </c>
      <c r="O28" s="5" t="s">
        <v>257</v>
      </c>
      <c r="P28" s="5" t="s">
        <v>258</v>
      </c>
      <c r="Q28" s="12"/>
    </row>
    <row r="29" ht="22.5" customHeight="1">
      <c r="A29" s="10">
        <v>260028.0</v>
      </c>
      <c r="B29" s="4">
        <v>45992.91002244213</v>
      </c>
      <c r="C29" s="5" t="s">
        <v>259</v>
      </c>
      <c r="D29" s="5" t="s">
        <v>260</v>
      </c>
      <c r="E29" s="5" t="s">
        <v>259</v>
      </c>
      <c r="F29" s="5" t="s">
        <v>17</v>
      </c>
      <c r="G29" s="11" t="s">
        <v>261</v>
      </c>
      <c r="H29" s="11" t="s">
        <v>262</v>
      </c>
      <c r="I29" s="11" t="s">
        <v>263</v>
      </c>
      <c r="J29" s="11" t="s">
        <v>264</v>
      </c>
      <c r="K29" s="11" t="s">
        <v>265</v>
      </c>
      <c r="L29" s="5" t="s">
        <v>162</v>
      </c>
      <c r="M29" s="5" t="s">
        <v>266</v>
      </c>
      <c r="N29" s="5" t="s">
        <v>111</v>
      </c>
      <c r="O29" s="5" t="s">
        <v>267</v>
      </c>
      <c r="P29" s="5" t="s">
        <v>268</v>
      </c>
      <c r="Q29" s="12"/>
    </row>
    <row r="30" ht="22.5" customHeight="1">
      <c r="A30" s="10">
        <v>260029.0</v>
      </c>
      <c r="B30" s="4">
        <v>45993.19297202546</v>
      </c>
      <c r="C30" s="5" t="s">
        <v>269</v>
      </c>
      <c r="D30" s="5" t="s">
        <v>270</v>
      </c>
      <c r="E30" s="5" t="s">
        <v>269</v>
      </c>
      <c r="F30" s="5" t="s">
        <v>17</v>
      </c>
      <c r="G30" s="11" t="s">
        <v>271</v>
      </c>
      <c r="H30" s="11" t="s">
        <v>272</v>
      </c>
      <c r="I30" s="11" t="s">
        <v>273</v>
      </c>
      <c r="J30" s="11" t="s">
        <v>274</v>
      </c>
      <c r="K30" s="11" t="s">
        <v>275</v>
      </c>
      <c r="L30" s="5" t="s">
        <v>162</v>
      </c>
      <c r="M30" s="5" t="s">
        <v>276</v>
      </c>
      <c r="N30" s="5" t="s">
        <v>61</v>
      </c>
      <c r="O30" s="5" t="s">
        <v>267</v>
      </c>
      <c r="P30" s="5" t="s">
        <v>268</v>
      </c>
      <c r="Q30" s="12"/>
    </row>
    <row r="31" ht="22.5" customHeight="1">
      <c r="A31" s="10">
        <v>260030.0</v>
      </c>
      <c r="B31" s="4">
        <v>45993.198013506946</v>
      </c>
      <c r="C31" s="5" t="s">
        <v>269</v>
      </c>
      <c r="D31" s="5" t="s">
        <v>270</v>
      </c>
      <c r="E31" s="5" t="s">
        <v>269</v>
      </c>
      <c r="F31" s="5" t="s">
        <v>17</v>
      </c>
      <c r="G31" s="11" t="s">
        <v>271</v>
      </c>
      <c r="H31" s="11" t="s">
        <v>277</v>
      </c>
      <c r="I31" s="11" t="s">
        <v>273</v>
      </c>
      <c r="J31" s="11" t="s">
        <v>274</v>
      </c>
      <c r="K31" s="11" t="s">
        <v>275</v>
      </c>
      <c r="L31" s="5" t="s">
        <v>23</v>
      </c>
      <c r="M31" s="5" t="s">
        <v>278</v>
      </c>
      <c r="N31" s="5" t="s">
        <v>61</v>
      </c>
      <c r="O31" s="5" t="s">
        <v>267</v>
      </c>
      <c r="P31" s="5" t="s">
        <v>268</v>
      </c>
      <c r="Q31" s="12"/>
    </row>
    <row r="32" ht="22.5" customHeight="1">
      <c r="A32" s="10">
        <v>260031.0</v>
      </c>
      <c r="B32" s="4">
        <v>45994.032765254626</v>
      </c>
      <c r="C32" s="5" t="s">
        <v>279</v>
      </c>
      <c r="D32" s="5" t="s">
        <v>280</v>
      </c>
      <c r="E32" s="5" t="s">
        <v>279</v>
      </c>
      <c r="F32" s="5" t="s">
        <v>17</v>
      </c>
      <c r="G32" s="11" t="s">
        <v>281</v>
      </c>
      <c r="H32" s="11" t="s">
        <v>282</v>
      </c>
      <c r="I32" s="11" t="s">
        <v>283</v>
      </c>
      <c r="J32" s="11" t="s">
        <v>284</v>
      </c>
      <c r="K32" s="11" t="s">
        <v>285</v>
      </c>
      <c r="L32" s="5" t="s">
        <v>30</v>
      </c>
      <c r="M32" s="5" t="s">
        <v>286</v>
      </c>
      <c r="N32" s="5" t="s">
        <v>39</v>
      </c>
      <c r="O32" s="5" t="s">
        <v>51</v>
      </c>
      <c r="P32" s="5" t="s">
        <v>52</v>
      </c>
      <c r="Q32" s="12"/>
    </row>
    <row r="33" ht="22.5" customHeight="1">
      <c r="A33" s="14">
        <v>260032.0</v>
      </c>
      <c r="B33" s="4">
        <v>45995.16403530093</v>
      </c>
      <c r="C33" s="5" t="s">
        <v>287</v>
      </c>
      <c r="D33" s="5" t="s">
        <v>288</v>
      </c>
      <c r="E33" s="5" t="s">
        <v>287</v>
      </c>
      <c r="F33" s="5" t="s">
        <v>17</v>
      </c>
      <c r="G33" s="13" t="s">
        <v>289</v>
      </c>
      <c r="H33" s="13" t="s">
        <v>290</v>
      </c>
      <c r="I33" s="11" t="s">
        <v>291</v>
      </c>
      <c r="J33" s="11" t="s">
        <v>292</v>
      </c>
      <c r="K33" s="11" t="s">
        <v>293</v>
      </c>
      <c r="L33" s="5" t="s">
        <v>30</v>
      </c>
      <c r="M33" s="5" t="s">
        <v>294</v>
      </c>
      <c r="N33" s="5" t="s">
        <v>295</v>
      </c>
      <c r="O33" s="5" t="s">
        <v>51</v>
      </c>
      <c r="P33" s="5" t="s">
        <v>52</v>
      </c>
      <c r="Q33" s="12"/>
    </row>
    <row r="34" ht="22.5" customHeight="1">
      <c r="A34" s="10">
        <v>260033.0</v>
      </c>
      <c r="B34" s="4">
        <v>45995.22060008102</v>
      </c>
      <c r="C34" s="5" t="s">
        <v>296</v>
      </c>
      <c r="D34" s="5" t="s">
        <v>297</v>
      </c>
      <c r="E34" s="5" t="s">
        <v>296</v>
      </c>
      <c r="F34" s="5" t="s">
        <v>17</v>
      </c>
      <c r="G34" s="11" t="s">
        <v>298</v>
      </c>
      <c r="H34" s="13" t="s">
        <v>299</v>
      </c>
      <c r="I34" s="11" t="s">
        <v>300</v>
      </c>
      <c r="J34" s="11" t="s">
        <v>301</v>
      </c>
      <c r="K34" s="11" t="s">
        <v>302</v>
      </c>
      <c r="L34" s="5" t="s">
        <v>30</v>
      </c>
      <c r="M34" s="5" t="s">
        <v>303</v>
      </c>
      <c r="N34" s="5" t="s">
        <v>61</v>
      </c>
      <c r="O34" s="5" t="s">
        <v>304</v>
      </c>
      <c r="P34" s="5" t="s">
        <v>73</v>
      </c>
      <c r="Q34" s="12"/>
    </row>
    <row r="35" ht="22.5" customHeight="1">
      <c r="A35" s="10">
        <v>260034.0</v>
      </c>
      <c r="B35" s="4">
        <v>45995.225694513894</v>
      </c>
      <c r="C35" s="5" t="s">
        <v>305</v>
      </c>
      <c r="D35" s="5" t="s">
        <v>306</v>
      </c>
      <c r="E35" s="5" t="s">
        <v>305</v>
      </c>
      <c r="F35" s="5" t="s">
        <v>64</v>
      </c>
      <c r="G35" s="11" t="s">
        <v>307</v>
      </c>
      <c r="H35" s="11" t="s">
        <v>308</v>
      </c>
      <c r="I35" s="11" t="s">
        <v>309</v>
      </c>
      <c r="J35" s="11" t="s">
        <v>310</v>
      </c>
      <c r="K35" s="11" t="s">
        <v>311</v>
      </c>
      <c r="L35" s="5" t="s">
        <v>30</v>
      </c>
      <c r="M35" s="5" t="s">
        <v>312</v>
      </c>
      <c r="N35" s="5" t="s">
        <v>61</v>
      </c>
      <c r="O35" s="5" t="s">
        <v>51</v>
      </c>
      <c r="P35" s="5" t="s">
        <v>52</v>
      </c>
      <c r="Q35" s="12"/>
    </row>
    <row r="36" ht="22.5" customHeight="1">
      <c r="A36" s="10">
        <v>260035.0</v>
      </c>
      <c r="B36" s="4">
        <v>45995.23972916667</v>
      </c>
      <c r="C36" s="5" t="s">
        <v>313</v>
      </c>
      <c r="D36" s="5" t="s">
        <v>314</v>
      </c>
      <c r="E36" s="5" t="s">
        <v>313</v>
      </c>
      <c r="F36" s="5" t="s">
        <v>17</v>
      </c>
      <c r="G36" s="11" t="s">
        <v>315</v>
      </c>
      <c r="H36" s="13" t="s">
        <v>316</v>
      </c>
      <c r="I36" s="11" t="s">
        <v>317</v>
      </c>
      <c r="J36" s="11" t="s">
        <v>58</v>
      </c>
      <c r="K36" s="11" t="s">
        <v>318</v>
      </c>
      <c r="L36" s="5" t="s">
        <v>30</v>
      </c>
      <c r="M36" s="5" t="s">
        <v>319</v>
      </c>
      <c r="N36" s="5" t="s">
        <v>61</v>
      </c>
      <c r="O36" s="5" t="s">
        <v>51</v>
      </c>
      <c r="P36" s="5" t="s">
        <v>52</v>
      </c>
      <c r="Q36" s="12"/>
    </row>
    <row r="37" ht="22.5" customHeight="1">
      <c r="A37" s="10">
        <v>260036.0</v>
      </c>
      <c r="B37" s="4">
        <v>45995.583238148145</v>
      </c>
      <c r="C37" s="5" t="s">
        <v>320</v>
      </c>
      <c r="D37" s="5" t="s">
        <v>321</v>
      </c>
      <c r="E37" s="5" t="s">
        <v>320</v>
      </c>
      <c r="F37" s="5" t="s">
        <v>17</v>
      </c>
      <c r="G37" s="11" t="s">
        <v>322</v>
      </c>
      <c r="H37" s="11" t="s">
        <v>323</v>
      </c>
      <c r="I37" s="11" t="s">
        <v>324</v>
      </c>
      <c r="J37" s="11" t="s">
        <v>325</v>
      </c>
      <c r="K37" s="11" t="s">
        <v>326</v>
      </c>
      <c r="L37" s="5" t="s">
        <v>162</v>
      </c>
      <c r="M37" s="5" t="s">
        <v>327</v>
      </c>
      <c r="N37" s="5" t="s">
        <v>39</v>
      </c>
      <c r="O37" s="5" t="s">
        <v>26</v>
      </c>
      <c r="P37" s="5" t="s">
        <v>328</v>
      </c>
      <c r="Q37" s="12"/>
    </row>
    <row r="38" ht="22.5" customHeight="1">
      <c r="A38" s="10">
        <v>260037.0</v>
      </c>
      <c r="B38" s="4">
        <v>45995.81633001157</v>
      </c>
      <c r="C38" s="5" t="s">
        <v>329</v>
      </c>
      <c r="D38" s="5" t="s">
        <v>330</v>
      </c>
      <c r="E38" s="5" t="s">
        <v>329</v>
      </c>
      <c r="F38" s="5" t="s">
        <v>17</v>
      </c>
      <c r="G38" s="11" t="s">
        <v>331</v>
      </c>
      <c r="H38" s="11" t="s">
        <v>332</v>
      </c>
      <c r="I38" s="11" t="s">
        <v>333</v>
      </c>
      <c r="J38" s="11" t="s">
        <v>334</v>
      </c>
      <c r="K38" s="11" t="s">
        <v>335</v>
      </c>
      <c r="L38" s="5" t="s">
        <v>30</v>
      </c>
      <c r="M38" s="5" t="s">
        <v>336</v>
      </c>
      <c r="N38" s="5" t="s">
        <v>295</v>
      </c>
      <c r="O38" s="5" t="s">
        <v>51</v>
      </c>
      <c r="P38" s="5" t="s">
        <v>52</v>
      </c>
      <c r="Q38" s="12"/>
    </row>
    <row r="39" ht="22.5" customHeight="1">
      <c r="A39" s="10">
        <v>260038.0</v>
      </c>
      <c r="B39" s="4">
        <v>45996.29656130787</v>
      </c>
      <c r="C39" s="5" t="s">
        <v>337</v>
      </c>
      <c r="D39" s="5" t="s">
        <v>338</v>
      </c>
      <c r="E39" s="5" t="s">
        <v>337</v>
      </c>
      <c r="F39" s="5" t="s">
        <v>17</v>
      </c>
      <c r="G39" s="11" t="s">
        <v>339</v>
      </c>
      <c r="H39" s="11" t="s">
        <v>340</v>
      </c>
      <c r="I39" s="11" t="s">
        <v>341</v>
      </c>
      <c r="J39" s="11" t="s">
        <v>342</v>
      </c>
      <c r="K39" s="11" t="s">
        <v>343</v>
      </c>
      <c r="L39" s="5" t="s">
        <v>30</v>
      </c>
      <c r="M39" s="5" t="s">
        <v>344</v>
      </c>
      <c r="N39" s="5" t="s">
        <v>119</v>
      </c>
      <c r="O39" s="5" t="s">
        <v>72</v>
      </c>
      <c r="P39" s="5" t="s">
        <v>345</v>
      </c>
      <c r="Q39" s="12"/>
    </row>
    <row r="40" ht="22.5" customHeight="1">
      <c r="A40" s="10">
        <v>260039.0</v>
      </c>
      <c r="B40" s="4">
        <v>45996.30838923611</v>
      </c>
      <c r="C40" s="5" t="s">
        <v>337</v>
      </c>
      <c r="D40" s="5" t="s">
        <v>338</v>
      </c>
      <c r="E40" s="5" t="s">
        <v>337</v>
      </c>
      <c r="F40" s="5" t="s">
        <v>131</v>
      </c>
      <c r="G40" s="11" t="s">
        <v>346</v>
      </c>
      <c r="H40" s="13" t="s">
        <v>347</v>
      </c>
      <c r="I40" s="11" t="s">
        <v>348</v>
      </c>
      <c r="J40" s="11" t="s">
        <v>349</v>
      </c>
      <c r="K40" s="11" t="s">
        <v>350</v>
      </c>
      <c r="L40" s="5" t="s">
        <v>30</v>
      </c>
      <c r="M40" s="5" t="s">
        <v>351</v>
      </c>
      <c r="N40" s="5" t="s">
        <v>119</v>
      </c>
      <c r="O40" s="5" t="s">
        <v>72</v>
      </c>
      <c r="P40" s="5" t="s">
        <v>345</v>
      </c>
      <c r="Q40" s="12"/>
    </row>
    <row r="41" ht="22.5" customHeight="1">
      <c r="A41" s="10">
        <v>260040.0</v>
      </c>
      <c r="B41" s="4">
        <v>45996.31199994213</v>
      </c>
      <c r="C41" s="5" t="s">
        <v>337</v>
      </c>
      <c r="D41" s="5" t="s">
        <v>338</v>
      </c>
      <c r="E41" s="5" t="s">
        <v>337</v>
      </c>
      <c r="F41" s="5" t="s">
        <v>64</v>
      </c>
      <c r="G41" s="11" t="s">
        <v>352</v>
      </c>
      <c r="H41" s="11" t="s">
        <v>353</v>
      </c>
      <c r="I41" s="11" t="s">
        <v>354</v>
      </c>
      <c r="J41" s="11" t="s">
        <v>355</v>
      </c>
      <c r="K41" s="11" t="s">
        <v>356</v>
      </c>
      <c r="L41" s="5" t="s">
        <v>30</v>
      </c>
      <c r="M41" s="5" t="s">
        <v>351</v>
      </c>
      <c r="N41" s="5" t="s">
        <v>119</v>
      </c>
      <c r="O41" s="5" t="s">
        <v>72</v>
      </c>
      <c r="P41" s="5" t="s">
        <v>345</v>
      </c>
      <c r="Q41" s="12"/>
    </row>
    <row r="42" ht="22.5" customHeight="1">
      <c r="A42" s="10">
        <v>260041.0</v>
      </c>
      <c r="B42" s="4">
        <v>45996.795115706016</v>
      </c>
      <c r="C42" s="5" t="s">
        <v>357</v>
      </c>
      <c r="D42" s="5" t="s">
        <v>358</v>
      </c>
      <c r="E42" s="5" t="s">
        <v>357</v>
      </c>
      <c r="F42" s="5" t="s">
        <v>17</v>
      </c>
      <c r="G42" s="11" t="s">
        <v>359</v>
      </c>
      <c r="H42" s="11" t="s">
        <v>360</v>
      </c>
      <c r="I42" s="11" t="s">
        <v>361</v>
      </c>
      <c r="J42" s="11" t="s">
        <v>362</v>
      </c>
      <c r="K42" s="11" t="s">
        <v>46</v>
      </c>
      <c r="L42" s="5" t="s">
        <v>30</v>
      </c>
      <c r="M42" s="5" t="s">
        <v>363</v>
      </c>
      <c r="N42" s="5" t="s">
        <v>295</v>
      </c>
      <c r="O42" s="5" t="s">
        <v>51</v>
      </c>
      <c r="P42" s="5" t="s">
        <v>52</v>
      </c>
      <c r="Q42" s="12"/>
    </row>
    <row r="43" ht="22.5" customHeight="1">
      <c r="A43" s="10">
        <v>260042.0</v>
      </c>
      <c r="B43" s="4">
        <v>45997.87670946759</v>
      </c>
      <c r="C43" s="5" t="s">
        <v>364</v>
      </c>
      <c r="D43" s="5" t="s">
        <v>365</v>
      </c>
      <c r="E43" s="5" t="s">
        <v>364</v>
      </c>
      <c r="F43" s="5" t="s">
        <v>64</v>
      </c>
      <c r="G43" s="11" t="s">
        <v>366</v>
      </c>
      <c r="H43" s="11" t="s">
        <v>367</v>
      </c>
      <c r="I43" s="11" t="s">
        <v>368</v>
      </c>
      <c r="J43" s="11" t="s">
        <v>369</v>
      </c>
      <c r="K43" s="11" t="s">
        <v>370</v>
      </c>
      <c r="L43" s="5" t="s">
        <v>30</v>
      </c>
      <c r="M43" s="5" t="s">
        <v>371</v>
      </c>
      <c r="N43" s="5" t="s">
        <v>71</v>
      </c>
      <c r="O43" s="5" t="s">
        <v>372</v>
      </c>
      <c r="P43" s="5" t="s">
        <v>73</v>
      </c>
      <c r="Q43" s="12"/>
    </row>
    <row r="44" ht="22.5" customHeight="1">
      <c r="A44" s="10">
        <v>260043.0</v>
      </c>
      <c r="B44" s="4">
        <v>45997.92493675926</v>
      </c>
      <c r="C44" s="5" t="s">
        <v>364</v>
      </c>
      <c r="D44" s="5" t="s">
        <v>373</v>
      </c>
      <c r="E44" s="5" t="s">
        <v>364</v>
      </c>
      <c r="F44" s="5" t="s">
        <v>64</v>
      </c>
      <c r="G44" s="11" t="s">
        <v>374</v>
      </c>
      <c r="H44" s="11" t="s">
        <v>375</v>
      </c>
      <c r="I44" s="11" t="s">
        <v>376</v>
      </c>
      <c r="J44" s="11" t="s">
        <v>377</v>
      </c>
      <c r="K44" s="11" t="s">
        <v>378</v>
      </c>
      <c r="L44" s="5" t="s">
        <v>30</v>
      </c>
      <c r="M44" s="5" t="s">
        <v>379</v>
      </c>
      <c r="N44" s="5" t="s">
        <v>71</v>
      </c>
      <c r="O44" s="5" t="s">
        <v>380</v>
      </c>
      <c r="P44" s="5" t="s">
        <v>73</v>
      </c>
      <c r="Q44" s="12"/>
    </row>
    <row r="45" ht="22.5" customHeight="1">
      <c r="A45" s="10">
        <v>260044.0</v>
      </c>
      <c r="B45" s="4">
        <v>45997.980853483794</v>
      </c>
      <c r="C45" s="5" t="s">
        <v>364</v>
      </c>
      <c r="D45" s="5" t="s">
        <v>381</v>
      </c>
      <c r="E45" s="5" t="s">
        <v>364</v>
      </c>
      <c r="F45" s="5" t="s">
        <v>64</v>
      </c>
      <c r="G45" s="11" t="s">
        <v>382</v>
      </c>
      <c r="H45" s="11" t="s">
        <v>375</v>
      </c>
      <c r="I45" s="11" t="s">
        <v>383</v>
      </c>
      <c r="J45" s="11" t="s">
        <v>384</v>
      </c>
      <c r="K45" s="11" t="s">
        <v>385</v>
      </c>
      <c r="L45" s="5" t="s">
        <v>30</v>
      </c>
      <c r="M45" s="5" t="s">
        <v>386</v>
      </c>
      <c r="N45" s="5" t="s">
        <v>71</v>
      </c>
      <c r="O45" s="5" t="s">
        <v>219</v>
      </c>
      <c r="P45" s="5" t="s">
        <v>52</v>
      </c>
      <c r="Q45" s="12"/>
    </row>
    <row r="46" ht="22.5" customHeight="1">
      <c r="A46" s="10">
        <v>260045.0</v>
      </c>
      <c r="B46" s="4">
        <v>45999.81358971065</v>
      </c>
      <c r="C46" s="5" t="s">
        <v>387</v>
      </c>
      <c r="D46" s="5" t="s">
        <v>388</v>
      </c>
      <c r="E46" s="5" t="s">
        <v>387</v>
      </c>
      <c r="F46" s="5" t="s">
        <v>17</v>
      </c>
      <c r="G46" s="11" t="s">
        <v>389</v>
      </c>
      <c r="H46" s="11" t="s">
        <v>390</v>
      </c>
      <c r="I46" s="11" t="s">
        <v>391</v>
      </c>
      <c r="J46" s="11" t="s">
        <v>392</v>
      </c>
      <c r="K46" s="11" t="s">
        <v>393</v>
      </c>
      <c r="L46" s="5" t="s">
        <v>30</v>
      </c>
      <c r="M46" s="5" t="s">
        <v>394</v>
      </c>
      <c r="N46" s="5" t="s">
        <v>39</v>
      </c>
      <c r="O46" s="5" t="s">
        <v>51</v>
      </c>
      <c r="P46" s="5" t="s">
        <v>52</v>
      </c>
      <c r="Q46" s="12"/>
    </row>
    <row r="47" ht="22.5" customHeight="1">
      <c r="A47" s="14">
        <v>260046.0</v>
      </c>
      <c r="B47" s="4">
        <v>46000.40799091435</v>
      </c>
      <c r="C47" s="5" t="s">
        <v>395</v>
      </c>
      <c r="D47" s="5" t="s">
        <v>396</v>
      </c>
      <c r="E47" s="5" t="s">
        <v>395</v>
      </c>
      <c r="F47" s="5" t="s">
        <v>17</v>
      </c>
      <c r="G47" s="13" t="s">
        <v>397</v>
      </c>
      <c r="H47" s="13" t="s">
        <v>398</v>
      </c>
      <c r="I47" s="11" t="s">
        <v>399</v>
      </c>
      <c r="J47" s="11" t="s">
        <v>400</v>
      </c>
      <c r="K47" s="11" t="s">
        <v>401</v>
      </c>
      <c r="L47" s="5" t="s">
        <v>30</v>
      </c>
      <c r="M47" s="5" t="s">
        <v>402</v>
      </c>
      <c r="N47" s="5" t="s">
        <v>119</v>
      </c>
      <c r="O47" s="5" t="s">
        <v>403</v>
      </c>
      <c r="P47" s="5" t="s">
        <v>404</v>
      </c>
      <c r="Q47" s="12"/>
    </row>
    <row r="48" ht="22.5" customHeight="1">
      <c r="A48" s="10">
        <v>260047.0</v>
      </c>
      <c r="B48" s="4">
        <v>46000.5171346875</v>
      </c>
      <c r="C48" s="5" t="s">
        <v>405</v>
      </c>
      <c r="D48" s="5" t="s">
        <v>406</v>
      </c>
      <c r="E48" s="5" t="s">
        <v>405</v>
      </c>
      <c r="F48" s="5" t="s">
        <v>17</v>
      </c>
      <c r="G48" s="11" t="s">
        <v>407</v>
      </c>
      <c r="H48" s="13" t="s">
        <v>408</v>
      </c>
      <c r="I48" s="11" t="s">
        <v>409</v>
      </c>
      <c r="J48" s="11" t="s">
        <v>410</v>
      </c>
      <c r="K48" s="11" t="s">
        <v>411</v>
      </c>
      <c r="L48" s="5" t="s">
        <v>162</v>
      </c>
      <c r="M48" s="5" t="s">
        <v>412</v>
      </c>
      <c r="N48" s="5" t="s">
        <v>413</v>
      </c>
      <c r="O48" s="5" t="s">
        <v>26</v>
      </c>
      <c r="P48" s="5" t="s">
        <v>26</v>
      </c>
      <c r="Q48" s="12"/>
    </row>
    <row r="49" ht="22.5" customHeight="1">
      <c r="A49" s="14">
        <v>260048.0</v>
      </c>
      <c r="B49" s="4">
        <v>46005.84276788194</v>
      </c>
      <c r="C49" s="5" t="s">
        <v>414</v>
      </c>
      <c r="D49" s="5" t="s">
        <v>415</v>
      </c>
      <c r="E49" s="5" t="s">
        <v>414</v>
      </c>
      <c r="F49" s="5" t="s">
        <v>17</v>
      </c>
      <c r="G49" s="13" t="s">
        <v>416</v>
      </c>
      <c r="H49" s="13" t="s">
        <v>417</v>
      </c>
      <c r="I49" s="11" t="s">
        <v>418</v>
      </c>
      <c r="J49" s="11" t="s">
        <v>419</v>
      </c>
      <c r="K49" s="11" t="s">
        <v>420</v>
      </c>
      <c r="L49" s="5" t="s">
        <v>30</v>
      </c>
      <c r="M49" s="5" t="s">
        <v>421</v>
      </c>
      <c r="N49" s="5" t="s">
        <v>61</v>
      </c>
      <c r="O49" s="5" t="s">
        <v>267</v>
      </c>
      <c r="P49" s="5" t="s">
        <v>268</v>
      </c>
      <c r="Q49" s="12"/>
    </row>
    <row r="50" ht="22.5" customHeight="1">
      <c r="A50" s="10">
        <v>260049.0</v>
      </c>
      <c r="B50" s="4">
        <v>46005.97040075231</v>
      </c>
      <c r="C50" s="5" t="s">
        <v>422</v>
      </c>
      <c r="D50" s="5" t="s">
        <v>423</v>
      </c>
      <c r="E50" s="5" t="s">
        <v>422</v>
      </c>
      <c r="F50" s="5" t="s">
        <v>17</v>
      </c>
      <c r="G50" s="11" t="s">
        <v>424</v>
      </c>
      <c r="H50" s="11" t="s">
        <v>425</v>
      </c>
      <c r="I50" s="11" t="s">
        <v>426</v>
      </c>
      <c r="J50" s="11" t="s">
        <v>145</v>
      </c>
      <c r="K50" s="11" t="s">
        <v>427</v>
      </c>
      <c r="L50" s="5" t="s">
        <v>30</v>
      </c>
      <c r="M50" s="5" t="s">
        <v>145</v>
      </c>
      <c r="N50" s="5" t="s">
        <v>71</v>
      </c>
      <c r="O50" s="5" t="s">
        <v>51</v>
      </c>
      <c r="P50" s="5" t="s">
        <v>52</v>
      </c>
      <c r="Q50" s="12"/>
    </row>
    <row r="51" ht="22.5" customHeight="1">
      <c r="A51" s="10">
        <v>260050.0</v>
      </c>
      <c r="B51" s="4">
        <v>46006.88478525463</v>
      </c>
      <c r="C51" s="5" t="s">
        <v>428</v>
      </c>
      <c r="D51" s="5" t="s">
        <v>429</v>
      </c>
      <c r="E51" s="5" t="s">
        <v>428</v>
      </c>
      <c r="F51" s="5" t="s">
        <v>17</v>
      </c>
      <c r="G51" s="11" t="s">
        <v>430</v>
      </c>
      <c r="H51" s="11" t="s">
        <v>431</v>
      </c>
      <c r="I51" s="11" t="s">
        <v>432</v>
      </c>
      <c r="J51" s="11" t="s">
        <v>433</v>
      </c>
      <c r="K51" s="11" t="s">
        <v>434</v>
      </c>
      <c r="L51" s="5" t="s">
        <v>23</v>
      </c>
      <c r="M51" s="5" t="s">
        <v>435</v>
      </c>
      <c r="N51" s="5" t="s">
        <v>436</v>
      </c>
      <c r="O51" s="5" t="s">
        <v>437</v>
      </c>
      <c r="P51" s="5" t="s">
        <v>328</v>
      </c>
      <c r="Q51" s="12"/>
    </row>
    <row r="52" ht="22.5" customHeight="1">
      <c r="A52" s="14">
        <v>260051.0</v>
      </c>
      <c r="B52" s="4">
        <v>46007.54120821759</v>
      </c>
      <c r="C52" s="5" t="s">
        <v>438</v>
      </c>
      <c r="D52" s="5" t="s">
        <v>439</v>
      </c>
      <c r="E52" s="5" t="s">
        <v>438</v>
      </c>
      <c r="F52" s="5" t="s">
        <v>17</v>
      </c>
      <c r="G52" s="13" t="s">
        <v>440</v>
      </c>
      <c r="H52" s="13" t="s">
        <v>441</v>
      </c>
      <c r="I52" s="11" t="s">
        <v>442</v>
      </c>
      <c r="J52" s="11" t="s">
        <v>443</v>
      </c>
      <c r="K52" s="11" t="s">
        <v>444</v>
      </c>
      <c r="L52" s="5" t="s">
        <v>23</v>
      </c>
      <c r="M52" s="5" t="s">
        <v>445</v>
      </c>
      <c r="N52" s="5" t="s">
        <v>119</v>
      </c>
      <c r="O52" s="5" t="s">
        <v>446</v>
      </c>
      <c r="P52" s="5" t="s">
        <v>447</v>
      </c>
      <c r="Q52" s="12"/>
    </row>
    <row r="53" ht="22.5" customHeight="1">
      <c r="A53" s="10">
        <v>260052.0</v>
      </c>
      <c r="B53" s="4">
        <v>46007.848261886575</v>
      </c>
      <c r="C53" s="5" t="s">
        <v>448</v>
      </c>
      <c r="D53" s="5" t="s">
        <v>449</v>
      </c>
      <c r="E53" s="5" t="s">
        <v>450</v>
      </c>
      <c r="F53" s="5" t="s">
        <v>17</v>
      </c>
      <c r="G53" s="11" t="s">
        <v>451</v>
      </c>
      <c r="H53" s="13" t="s">
        <v>452</v>
      </c>
      <c r="I53" s="11" t="s">
        <v>453</v>
      </c>
      <c r="J53" s="11" t="s">
        <v>454</v>
      </c>
      <c r="K53" s="11" t="s">
        <v>20</v>
      </c>
      <c r="L53" s="5" t="s">
        <v>30</v>
      </c>
      <c r="M53" s="5" t="s">
        <v>455</v>
      </c>
      <c r="N53" s="5" t="s">
        <v>456</v>
      </c>
      <c r="O53" s="5" t="s">
        <v>51</v>
      </c>
      <c r="P53" s="5" t="s">
        <v>52</v>
      </c>
      <c r="Q53" s="12"/>
    </row>
    <row r="54" ht="22.5" customHeight="1">
      <c r="A54" s="10">
        <v>260053.0</v>
      </c>
      <c r="B54" s="4">
        <v>46008.00482423611</v>
      </c>
      <c r="C54" s="5" t="s">
        <v>457</v>
      </c>
      <c r="D54" s="5" t="s">
        <v>458</v>
      </c>
      <c r="E54" s="5" t="s">
        <v>457</v>
      </c>
      <c r="F54" s="5" t="s">
        <v>17</v>
      </c>
      <c r="G54" s="11" t="s">
        <v>459</v>
      </c>
      <c r="H54" s="11" t="s">
        <v>460</v>
      </c>
      <c r="I54" s="11" t="s">
        <v>461</v>
      </c>
      <c r="J54" s="11" t="s">
        <v>462</v>
      </c>
      <c r="K54" s="11" t="s">
        <v>463</v>
      </c>
      <c r="L54" s="5" t="s">
        <v>162</v>
      </c>
      <c r="M54" s="5" t="s">
        <v>464</v>
      </c>
      <c r="N54" s="5" t="s">
        <v>61</v>
      </c>
      <c r="O54" s="5" t="s">
        <v>181</v>
      </c>
      <c r="P54" s="5" t="s">
        <v>181</v>
      </c>
      <c r="Q54" s="12"/>
    </row>
    <row r="55" ht="22.5" customHeight="1">
      <c r="A55" s="10">
        <v>260054.0</v>
      </c>
      <c r="B55" s="4">
        <v>46008.31772184028</v>
      </c>
      <c r="C55" s="5" t="s">
        <v>465</v>
      </c>
      <c r="D55" s="5" t="s">
        <v>466</v>
      </c>
      <c r="E55" s="5" t="s">
        <v>465</v>
      </c>
      <c r="F55" s="5" t="s">
        <v>17</v>
      </c>
      <c r="G55" s="11" t="s">
        <v>467</v>
      </c>
      <c r="H55" s="11" t="s">
        <v>2314</v>
      </c>
      <c r="I55" s="11" t="s">
        <v>409</v>
      </c>
      <c r="J55" s="11" t="s">
        <v>469</v>
      </c>
      <c r="K55" s="11" t="s">
        <v>470</v>
      </c>
      <c r="L55" s="5" t="s">
        <v>23</v>
      </c>
      <c r="M55" s="5" t="s">
        <v>471</v>
      </c>
      <c r="N55" s="5" t="s">
        <v>119</v>
      </c>
      <c r="O55" s="5" t="s">
        <v>472</v>
      </c>
      <c r="P55" s="5" t="s">
        <v>473</v>
      </c>
      <c r="Q55" s="12"/>
    </row>
    <row r="56" ht="22.5" customHeight="1">
      <c r="A56" s="10">
        <v>260055.0</v>
      </c>
      <c r="B56" s="4">
        <v>46009.61777222222</v>
      </c>
      <c r="C56" s="5" t="s">
        <v>474</v>
      </c>
      <c r="D56" s="5" t="s">
        <v>475</v>
      </c>
      <c r="E56" s="5" t="s">
        <v>474</v>
      </c>
      <c r="F56" s="5" t="s">
        <v>17</v>
      </c>
      <c r="G56" s="11" t="s">
        <v>476</v>
      </c>
      <c r="H56" s="11" t="s">
        <v>477</v>
      </c>
      <c r="I56" s="11" t="s">
        <v>478</v>
      </c>
      <c r="J56" s="11" t="s">
        <v>479</v>
      </c>
      <c r="K56" s="11" t="s">
        <v>480</v>
      </c>
      <c r="L56" s="5" t="s">
        <v>23</v>
      </c>
      <c r="M56" s="5" t="s">
        <v>481</v>
      </c>
      <c r="N56" s="5" t="s">
        <v>119</v>
      </c>
      <c r="O56" s="5" t="s">
        <v>51</v>
      </c>
      <c r="P56" s="5" t="s">
        <v>52</v>
      </c>
      <c r="Q56" s="12"/>
    </row>
    <row r="57" ht="22.5" customHeight="1">
      <c r="A57" s="10">
        <v>260056.0</v>
      </c>
      <c r="B57" s="4">
        <v>46009.6199905324</v>
      </c>
      <c r="C57" s="5" t="s">
        <v>474</v>
      </c>
      <c r="D57" s="5" t="s">
        <v>475</v>
      </c>
      <c r="E57" s="5" t="s">
        <v>474</v>
      </c>
      <c r="F57" s="5" t="s">
        <v>17</v>
      </c>
      <c r="G57" s="11" t="s">
        <v>482</v>
      </c>
      <c r="H57" s="11" t="s">
        <v>477</v>
      </c>
      <c r="I57" s="11" t="s">
        <v>478</v>
      </c>
      <c r="J57" s="11" t="s">
        <v>479</v>
      </c>
      <c r="K57" s="11" t="s">
        <v>480</v>
      </c>
      <c r="L57" s="5" t="s">
        <v>23</v>
      </c>
      <c r="M57" s="5" t="s">
        <v>481</v>
      </c>
      <c r="N57" s="5" t="s">
        <v>119</v>
      </c>
      <c r="O57" s="5" t="s">
        <v>51</v>
      </c>
      <c r="P57" s="5" t="s">
        <v>52</v>
      </c>
      <c r="Q57" s="12"/>
    </row>
    <row r="58" ht="22.5" customHeight="1">
      <c r="A58" s="10">
        <v>260057.0</v>
      </c>
      <c r="B58" s="4">
        <v>46009.88627265046</v>
      </c>
      <c r="C58" s="5" t="s">
        <v>483</v>
      </c>
      <c r="D58" s="5" t="s">
        <v>484</v>
      </c>
      <c r="E58" s="5" t="s">
        <v>483</v>
      </c>
      <c r="F58" s="5" t="s">
        <v>64</v>
      </c>
      <c r="G58" s="11" t="s">
        <v>485</v>
      </c>
      <c r="H58" s="11" t="s">
        <v>486</v>
      </c>
      <c r="I58" s="11" t="s">
        <v>487</v>
      </c>
      <c r="J58" s="11" t="s">
        <v>488</v>
      </c>
      <c r="K58" s="11" t="s">
        <v>195</v>
      </c>
      <c r="L58" s="5" t="s">
        <v>30</v>
      </c>
      <c r="M58" s="5" t="s">
        <v>489</v>
      </c>
      <c r="N58" s="5" t="s">
        <v>164</v>
      </c>
      <c r="O58" s="5" t="s">
        <v>490</v>
      </c>
      <c r="P58" s="5" t="s">
        <v>52</v>
      </c>
      <c r="Q58" s="12"/>
    </row>
    <row r="59" ht="22.5" customHeight="1">
      <c r="A59" s="10">
        <v>260058.0</v>
      </c>
      <c r="B59" s="4">
        <v>46011.11834981482</v>
      </c>
      <c r="C59" s="5" t="s">
        <v>491</v>
      </c>
      <c r="D59" s="5" t="s">
        <v>492</v>
      </c>
      <c r="E59" s="5" t="s">
        <v>491</v>
      </c>
      <c r="F59" s="5" t="s">
        <v>17</v>
      </c>
      <c r="G59" s="11" t="s">
        <v>493</v>
      </c>
      <c r="H59" s="11" t="s">
        <v>494</v>
      </c>
      <c r="I59" s="11" t="s">
        <v>495</v>
      </c>
      <c r="J59" s="11" t="s">
        <v>496</v>
      </c>
      <c r="K59" s="11" t="s">
        <v>497</v>
      </c>
      <c r="L59" s="5" t="s">
        <v>30</v>
      </c>
      <c r="M59" s="5" t="s">
        <v>498</v>
      </c>
      <c r="N59" s="5" t="s">
        <v>111</v>
      </c>
      <c r="O59" s="5" t="s">
        <v>51</v>
      </c>
      <c r="P59" s="5" t="s">
        <v>52</v>
      </c>
      <c r="Q59" s="12"/>
    </row>
    <row r="60" ht="22.5" customHeight="1">
      <c r="A60" s="10">
        <v>260059.0</v>
      </c>
      <c r="B60" s="4">
        <v>46011.23641533565</v>
      </c>
      <c r="C60" s="5" t="s">
        <v>499</v>
      </c>
      <c r="D60" s="5" t="s">
        <v>500</v>
      </c>
      <c r="E60" s="5" t="s">
        <v>499</v>
      </c>
      <c r="F60" s="5" t="s">
        <v>17</v>
      </c>
      <c r="G60" s="11" t="s">
        <v>501</v>
      </c>
      <c r="H60" s="11" t="s">
        <v>502</v>
      </c>
      <c r="I60" s="11" t="s">
        <v>503</v>
      </c>
      <c r="J60" s="11" t="s">
        <v>504</v>
      </c>
      <c r="K60" s="11" t="s">
        <v>505</v>
      </c>
      <c r="L60" s="5" t="s">
        <v>30</v>
      </c>
      <c r="M60" s="5" t="s">
        <v>506</v>
      </c>
      <c r="N60" s="5" t="s">
        <v>295</v>
      </c>
      <c r="O60" s="5" t="s">
        <v>507</v>
      </c>
      <c r="P60" s="5" t="s">
        <v>52</v>
      </c>
      <c r="Q60" s="12"/>
    </row>
    <row r="61" ht="22.5" customHeight="1">
      <c r="A61" s="10">
        <v>260060.0</v>
      </c>
      <c r="B61" s="4">
        <v>46011.277141122686</v>
      </c>
      <c r="C61" s="5" t="s">
        <v>508</v>
      </c>
      <c r="D61" s="5" t="s">
        <v>509</v>
      </c>
      <c r="E61" s="5" t="s">
        <v>508</v>
      </c>
      <c r="F61" s="5" t="s">
        <v>17</v>
      </c>
      <c r="G61" s="11" t="s">
        <v>510</v>
      </c>
      <c r="H61" s="11" t="s">
        <v>511</v>
      </c>
      <c r="I61" s="11" t="s">
        <v>512</v>
      </c>
      <c r="J61" s="11" t="s">
        <v>513</v>
      </c>
      <c r="K61" s="11" t="s">
        <v>514</v>
      </c>
      <c r="L61" s="5" t="s">
        <v>30</v>
      </c>
      <c r="M61" s="5" t="s">
        <v>515</v>
      </c>
      <c r="N61" s="5" t="s">
        <v>119</v>
      </c>
      <c r="O61" s="5" t="s">
        <v>51</v>
      </c>
      <c r="P61" s="5" t="s">
        <v>52</v>
      </c>
      <c r="Q61" s="12"/>
    </row>
    <row r="62" ht="22.5" customHeight="1">
      <c r="A62" s="10">
        <v>260061.0</v>
      </c>
      <c r="B62" s="4">
        <v>46011.44342289351</v>
      </c>
      <c r="C62" s="5" t="s">
        <v>516</v>
      </c>
      <c r="D62" s="5" t="s">
        <v>517</v>
      </c>
      <c r="E62" s="5" t="s">
        <v>518</v>
      </c>
      <c r="F62" s="5" t="s">
        <v>131</v>
      </c>
      <c r="G62" s="11" t="s">
        <v>519</v>
      </c>
      <c r="H62" s="13" t="s">
        <v>520</v>
      </c>
      <c r="I62" s="11" t="s">
        <v>521</v>
      </c>
      <c r="J62" s="11" t="s">
        <v>522</v>
      </c>
      <c r="K62" s="11" t="s">
        <v>523</v>
      </c>
      <c r="L62" s="5" t="s">
        <v>162</v>
      </c>
      <c r="M62" s="5" t="s">
        <v>524</v>
      </c>
      <c r="N62" s="5" t="s">
        <v>61</v>
      </c>
      <c r="O62" s="5" t="s">
        <v>525</v>
      </c>
      <c r="P62" s="5" t="s">
        <v>73</v>
      </c>
      <c r="Q62" s="12"/>
    </row>
    <row r="63" ht="22.5" customHeight="1">
      <c r="A63" s="10">
        <v>260062.0</v>
      </c>
      <c r="B63" s="4">
        <v>46011.94055318287</v>
      </c>
      <c r="C63" s="5" t="s">
        <v>526</v>
      </c>
      <c r="D63" s="5" t="s">
        <v>527</v>
      </c>
      <c r="E63" s="5" t="s">
        <v>526</v>
      </c>
      <c r="F63" s="5" t="s">
        <v>17</v>
      </c>
      <c r="G63" s="11" t="s">
        <v>528</v>
      </c>
      <c r="H63" s="11" t="s">
        <v>529</v>
      </c>
      <c r="I63" s="11" t="s">
        <v>530</v>
      </c>
      <c r="J63" s="11" t="s">
        <v>531</v>
      </c>
      <c r="K63" s="11" t="s">
        <v>532</v>
      </c>
      <c r="L63" s="5" t="s">
        <v>30</v>
      </c>
      <c r="M63" s="5" t="s">
        <v>533</v>
      </c>
      <c r="N63" s="5" t="s">
        <v>25</v>
      </c>
      <c r="O63" s="5" t="s">
        <v>51</v>
      </c>
      <c r="P63" s="5" t="s">
        <v>52</v>
      </c>
      <c r="Q63" s="12"/>
    </row>
    <row r="64" ht="22.5" customHeight="1">
      <c r="A64" s="10">
        <v>260063.0</v>
      </c>
      <c r="B64" s="4">
        <v>46012.81772482639</v>
      </c>
      <c r="C64" s="5" t="s">
        <v>516</v>
      </c>
      <c r="D64" s="5" t="s">
        <v>517</v>
      </c>
      <c r="E64" s="5" t="s">
        <v>518</v>
      </c>
      <c r="F64" s="5" t="s">
        <v>64</v>
      </c>
      <c r="G64" s="11" t="s">
        <v>534</v>
      </c>
      <c r="H64" s="11" t="s">
        <v>535</v>
      </c>
      <c r="I64" s="11" t="s">
        <v>536</v>
      </c>
      <c r="J64" s="11" t="s">
        <v>537</v>
      </c>
      <c r="K64" s="11" t="s">
        <v>538</v>
      </c>
      <c r="L64" s="5" t="s">
        <v>162</v>
      </c>
      <c r="M64" s="5" t="s">
        <v>539</v>
      </c>
      <c r="N64" s="5" t="s">
        <v>61</v>
      </c>
      <c r="O64" s="5" t="s">
        <v>525</v>
      </c>
      <c r="P64" s="5" t="s">
        <v>73</v>
      </c>
      <c r="Q64" s="12"/>
    </row>
    <row r="65" ht="22.5" customHeight="1">
      <c r="A65" s="10">
        <v>260064.0</v>
      </c>
      <c r="B65" s="4">
        <v>46012.889185011576</v>
      </c>
      <c r="C65" s="5" t="s">
        <v>540</v>
      </c>
      <c r="D65" s="5" t="s">
        <v>541</v>
      </c>
      <c r="E65" s="5" t="s">
        <v>540</v>
      </c>
      <c r="F65" s="5" t="s">
        <v>17</v>
      </c>
      <c r="G65" s="11" t="s">
        <v>542</v>
      </c>
      <c r="H65" s="11" t="s">
        <v>543</v>
      </c>
      <c r="I65" s="11" t="s">
        <v>544</v>
      </c>
      <c r="J65" s="11" t="s">
        <v>545</v>
      </c>
      <c r="K65" s="11" t="s">
        <v>546</v>
      </c>
      <c r="L65" s="5" t="s">
        <v>162</v>
      </c>
      <c r="M65" s="5" t="s">
        <v>547</v>
      </c>
      <c r="N65" s="5" t="s">
        <v>436</v>
      </c>
      <c r="O65" s="5" t="s">
        <v>548</v>
      </c>
      <c r="P65" s="5" t="s">
        <v>549</v>
      </c>
      <c r="Q65" s="12"/>
    </row>
    <row r="66" ht="22.5" customHeight="1">
      <c r="A66" s="10">
        <v>260065.0</v>
      </c>
      <c r="B66" s="4">
        <v>46013.02834600695</v>
      </c>
      <c r="C66" s="5" t="s">
        <v>550</v>
      </c>
      <c r="D66" s="5" t="s">
        <v>551</v>
      </c>
      <c r="E66" s="5" t="s">
        <v>550</v>
      </c>
      <c r="F66" s="5" t="s">
        <v>64</v>
      </c>
      <c r="G66" s="11" t="s">
        <v>552</v>
      </c>
      <c r="H66" s="11" t="s">
        <v>553</v>
      </c>
      <c r="I66" s="11" t="s">
        <v>554</v>
      </c>
      <c r="J66" s="11" t="s">
        <v>555</v>
      </c>
      <c r="K66" s="11" t="s">
        <v>556</v>
      </c>
      <c r="L66" s="5" t="s">
        <v>30</v>
      </c>
      <c r="M66" s="5" t="s">
        <v>557</v>
      </c>
      <c r="N66" s="5" t="s">
        <v>119</v>
      </c>
      <c r="O66" s="5" t="s">
        <v>437</v>
      </c>
      <c r="P66" s="5" t="s">
        <v>328</v>
      </c>
      <c r="Q66" s="12"/>
    </row>
    <row r="67" ht="22.5" customHeight="1">
      <c r="A67" s="10">
        <v>260066.0</v>
      </c>
      <c r="B67" s="4">
        <v>46013.88109043981</v>
      </c>
      <c r="C67" s="5" t="s">
        <v>558</v>
      </c>
      <c r="D67" s="5" t="s">
        <v>559</v>
      </c>
      <c r="E67" s="5" t="s">
        <v>558</v>
      </c>
      <c r="F67" s="5" t="s">
        <v>17</v>
      </c>
      <c r="G67" s="11" t="s">
        <v>560</v>
      </c>
      <c r="H67" s="11" t="s">
        <v>561</v>
      </c>
      <c r="I67" s="11" t="s">
        <v>562</v>
      </c>
      <c r="J67" s="11" t="s">
        <v>563</v>
      </c>
      <c r="K67" s="11" t="s">
        <v>564</v>
      </c>
      <c r="L67" s="5" t="s">
        <v>30</v>
      </c>
      <c r="M67" s="5" t="s">
        <v>565</v>
      </c>
      <c r="N67" s="5" t="s">
        <v>119</v>
      </c>
      <c r="O67" s="5" t="s">
        <v>548</v>
      </c>
      <c r="P67" s="5" t="s">
        <v>566</v>
      </c>
      <c r="Q67" s="12"/>
    </row>
    <row r="68" ht="22.5" customHeight="1">
      <c r="A68" s="10">
        <v>260067.0</v>
      </c>
      <c r="B68" s="4">
        <v>46013.95161520834</v>
      </c>
      <c r="C68" s="5" t="s">
        <v>567</v>
      </c>
      <c r="D68" s="5" t="s">
        <v>568</v>
      </c>
      <c r="E68" s="5" t="s">
        <v>567</v>
      </c>
      <c r="F68" s="5" t="s">
        <v>17</v>
      </c>
      <c r="G68" s="11" t="s">
        <v>569</v>
      </c>
      <c r="H68" s="11" t="s">
        <v>570</v>
      </c>
      <c r="I68" s="11" t="s">
        <v>571</v>
      </c>
      <c r="J68" s="11" t="s">
        <v>572</v>
      </c>
      <c r="K68" s="11" t="s">
        <v>573</v>
      </c>
      <c r="L68" s="5" t="s">
        <v>30</v>
      </c>
      <c r="M68" s="5" t="s">
        <v>574</v>
      </c>
      <c r="N68" s="5" t="s">
        <v>71</v>
      </c>
      <c r="O68" s="5" t="s">
        <v>51</v>
      </c>
      <c r="P68" s="5" t="s">
        <v>52</v>
      </c>
      <c r="Q68" s="12"/>
    </row>
    <row r="69" ht="22.5" customHeight="1">
      <c r="A69" s="14">
        <v>260068.0</v>
      </c>
      <c r="B69" s="4">
        <v>46014.77528809028</v>
      </c>
      <c r="C69" s="5" t="s">
        <v>575</v>
      </c>
      <c r="D69" s="5" t="s">
        <v>576</v>
      </c>
      <c r="E69" s="5" t="s">
        <v>575</v>
      </c>
      <c r="F69" s="5" t="s">
        <v>17</v>
      </c>
      <c r="G69" s="13" t="s">
        <v>577</v>
      </c>
      <c r="H69" s="13" t="s">
        <v>578</v>
      </c>
      <c r="I69" s="11" t="s">
        <v>579</v>
      </c>
      <c r="J69" s="11" t="s">
        <v>580</v>
      </c>
      <c r="K69" s="11" t="s">
        <v>581</v>
      </c>
      <c r="L69" s="5" t="s">
        <v>162</v>
      </c>
      <c r="M69" s="5" t="s">
        <v>582</v>
      </c>
      <c r="N69" s="5" t="s">
        <v>25</v>
      </c>
      <c r="O69" s="5" t="s">
        <v>446</v>
      </c>
      <c r="P69" s="5" t="s">
        <v>583</v>
      </c>
      <c r="Q69" s="12"/>
    </row>
    <row r="70" ht="22.5" customHeight="1">
      <c r="A70" s="10">
        <v>260069.0</v>
      </c>
      <c r="B70" s="4">
        <v>46019.42048075232</v>
      </c>
      <c r="C70" s="5" t="s">
        <v>584</v>
      </c>
      <c r="D70" s="5" t="s">
        <v>585</v>
      </c>
      <c r="E70" s="5" t="s">
        <v>584</v>
      </c>
      <c r="F70" s="5" t="s">
        <v>17</v>
      </c>
      <c r="G70" s="11" t="s">
        <v>586</v>
      </c>
      <c r="H70" s="13" t="s">
        <v>587</v>
      </c>
      <c r="I70" s="11" t="s">
        <v>588</v>
      </c>
      <c r="J70" s="11" t="s">
        <v>589</v>
      </c>
      <c r="K70" s="11" t="s">
        <v>590</v>
      </c>
      <c r="L70" s="5" t="s">
        <v>30</v>
      </c>
      <c r="M70" s="5" t="s">
        <v>591</v>
      </c>
      <c r="N70" s="5" t="s">
        <v>71</v>
      </c>
      <c r="O70" s="5" t="s">
        <v>592</v>
      </c>
      <c r="P70" s="5" t="s">
        <v>593</v>
      </c>
      <c r="Q70" s="12"/>
    </row>
    <row r="71" ht="22.5" customHeight="1">
      <c r="A71" s="10">
        <v>260070.0</v>
      </c>
      <c r="B71" s="4">
        <v>46019.924238437496</v>
      </c>
      <c r="C71" s="5" t="s">
        <v>594</v>
      </c>
      <c r="D71" s="5" t="s">
        <v>595</v>
      </c>
      <c r="E71" s="5" t="s">
        <v>594</v>
      </c>
      <c r="F71" s="5" t="s">
        <v>17</v>
      </c>
      <c r="G71" s="11" t="s">
        <v>596</v>
      </c>
      <c r="H71" s="13" t="s">
        <v>597</v>
      </c>
      <c r="I71" s="11" t="s">
        <v>598</v>
      </c>
      <c r="J71" s="11" t="s">
        <v>599</v>
      </c>
      <c r="K71" s="11" t="s">
        <v>600</v>
      </c>
      <c r="L71" s="5" t="s">
        <v>30</v>
      </c>
      <c r="M71" s="5" t="s">
        <v>601</v>
      </c>
      <c r="N71" s="5" t="s">
        <v>25</v>
      </c>
      <c r="O71" s="5" t="s">
        <v>51</v>
      </c>
      <c r="P71" s="5" t="s">
        <v>52</v>
      </c>
      <c r="Q71" s="12"/>
    </row>
    <row r="72" ht="22.5" customHeight="1">
      <c r="A72" s="10">
        <v>260071.0</v>
      </c>
      <c r="B72" s="4">
        <v>46020.11814233796</v>
      </c>
      <c r="C72" s="5" t="s">
        <v>602</v>
      </c>
      <c r="D72" s="5" t="s">
        <v>603</v>
      </c>
      <c r="E72" s="5" t="s">
        <v>602</v>
      </c>
      <c r="F72" s="5" t="s">
        <v>17</v>
      </c>
      <c r="G72" s="11" t="s">
        <v>604</v>
      </c>
      <c r="H72" s="11" t="s">
        <v>605</v>
      </c>
      <c r="I72" s="11" t="s">
        <v>606</v>
      </c>
      <c r="J72" s="11" t="s">
        <v>607</v>
      </c>
      <c r="K72" s="11" t="s">
        <v>608</v>
      </c>
      <c r="L72" s="5" t="s">
        <v>30</v>
      </c>
      <c r="M72" s="5" t="s">
        <v>609</v>
      </c>
      <c r="N72" s="5" t="s">
        <v>61</v>
      </c>
      <c r="O72" s="5" t="s">
        <v>72</v>
      </c>
      <c r="P72" s="5" t="s">
        <v>73</v>
      </c>
      <c r="Q72" s="12"/>
    </row>
    <row r="73" ht="22.5" customHeight="1">
      <c r="A73" s="10">
        <v>260072.0</v>
      </c>
      <c r="B73" s="4">
        <v>46020.13940921296</v>
      </c>
      <c r="C73" s="5" t="s">
        <v>602</v>
      </c>
      <c r="D73" s="5" t="s">
        <v>610</v>
      </c>
      <c r="E73" s="5" t="s">
        <v>602</v>
      </c>
      <c r="F73" s="5" t="s">
        <v>17</v>
      </c>
      <c r="G73" s="11" t="s">
        <v>611</v>
      </c>
      <c r="H73" s="11" t="s">
        <v>612</v>
      </c>
      <c r="I73" s="11" t="s">
        <v>613</v>
      </c>
      <c r="J73" s="11" t="s">
        <v>614</v>
      </c>
      <c r="K73" s="11" t="s">
        <v>608</v>
      </c>
      <c r="L73" s="5" t="s">
        <v>30</v>
      </c>
      <c r="M73" s="5" t="s">
        <v>615</v>
      </c>
      <c r="N73" s="5" t="s">
        <v>61</v>
      </c>
      <c r="O73" s="5" t="s">
        <v>72</v>
      </c>
      <c r="P73" s="5" t="s">
        <v>73</v>
      </c>
      <c r="Q73" s="12"/>
    </row>
    <row r="74" ht="22.5" customHeight="1">
      <c r="A74" s="10">
        <v>260073.0</v>
      </c>
      <c r="B74" s="4">
        <v>46020.6864296875</v>
      </c>
      <c r="C74" s="5" t="s">
        <v>616</v>
      </c>
      <c r="D74" s="5" t="s">
        <v>617</v>
      </c>
      <c r="E74" s="5" t="s">
        <v>616</v>
      </c>
      <c r="F74" s="5" t="s">
        <v>17</v>
      </c>
      <c r="G74" s="11" t="s">
        <v>618</v>
      </c>
      <c r="H74" s="13" t="s">
        <v>619</v>
      </c>
      <c r="I74" s="11" t="s">
        <v>620</v>
      </c>
      <c r="J74" s="11" t="s">
        <v>621</v>
      </c>
      <c r="K74" s="11" t="s">
        <v>622</v>
      </c>
      <c r="L74" s="5" t="s">
        <v>30</v>
      </c>
      <c r="M74" s="5" t="s">
        <v>623</v>
      </c>
      <c r="N74" s="5" t="s">
        <v>61</v>
      </c>
      <c r="O74" s="5" t="s">
        <v>51</v>
      </c>
      <c r="P74" s="5" t="s">
        <v>73</v>
      </c>
      <c r="Q74" s="12"/>
    </row>
    <row r="75" ht="22.5" customHeight="1">
      <c r="A75" s="10">
        <v>260074.0</v>
      </c>
      <c r="B75" s="4">
        <v>46020.83637142361</v>
      </c>
      <c r="C75" s="5" t="s">
        <v>624</v>
      </c>
      <c r="D75" s="5" t="s">
        <v>625</v>
      </c>
      <c r="E75" s="5" t="s">
        <v>626</v>
      </c>
      <c r="F75" s="5" t="s">
        <v>64</v>
      </c>
      <c r="G75" s="11" t="s">
        <v>627</v>
      </c>
      <c r="H75" s="11" t="s">
        <v>628</v>
      </c>
      <c r="I75" s="11" t="s">
        <v>629</v>
      </c>
      <c r="J75" s="11" t="s">
        <v>630</v>
      </c>
      <c r="K75" s="11" t="s">
        <v>631</v>
      </c>
      <c r="L75" s="5" t="s">
        <v>30</v>
      </c>
      <c r="M75" s="5" t="s">
        <v>632</v>
      </c>
      <c r="N75" s="5" t="s">
        <v>39</v>
      </c>
      <c r="O75" s="5" t="s">
        <v>51</v>
      </c>
      <c r="P75" s="5" t="s">
        <v>52</v>
      </c>
      <c r="Q75" s="12"/>
    </row>
    <row r="76" ht="22.5" customHeight="1">
      <c r="A76" s="10">
        <v>260075.0</v>
      </c>
      <c r="B76" s="4">
        <v>46021.79745049769</v>
      </c>
      <c r="C76" s="5" t="s">
        <v>633</v>
      </c>
      <c r="D76" s="5" t="s">
        <v>634</v>
      </c>
      <c r="E76" s="5" t="s">
        <v>633</v>
      </c>
      <c r="F76" s="5" t="s">
        <v>17</v>
      </c>
      <c r="G76" s="11" t="s">
        <v>635</v>
      </c>
      <c r="H76" s="11" t="s">
        <v>636</v>
      </c>
      <c r="I76" s="11" t="s">
        <v>637</v>
      </c>
      <c r="J76" s="11" t="s">
        <v>638</v>
      </c>
      <c r="K76" s="11" t="s">
        <v>639</v>
      </c>
      <c r="L76" s="5" t="s">
        <v>30</v>
      </c>
      <c r="M76" s="5" t="s">
        <v>640</v>
      </c>
      <c r="N76" s="5" t="s">
        <v>119</v>
      </c>
      <c r="O76" s="5" t="s">
        <v>641</v>
      </c>
      <c r="P76" s="5" t="s">
        <v>642</v>
      </c>
      <c r="Q76" s="12"/>
    </row>
    <row r="77" ht="22.5" customHeight="1">
      <c r="A77" s="10">
        <v>260076.0</v>
      </c>
      <c r="B77" s="4">
        <v>46022.02933295139</v>
      </c>
      <c r="C77" s="5" t="s">
        <v>643</v>
      </c>
      <c r="D77" s="5" t="s">
        <v>644</v>
      </c>
      <c r="E77" s="5" t="s">
        <v>643</v>
      </c>
      <c r="F77" s="5" t="s">
        <v>64</v>
      </c>
      <c r="G77" s="11" t="s">
        <v>645</v>
      </c>
      <c r="H77" s="11" t="s">
        <v>646</v>
      </c>
      <c r="I77" s="11" t="s">
        <v>647</v>
      </c>
      <c r="J77" s="11" t="s">
        <v>648</v>
      </c>
      <c r="K77" s="11" t="s">
        <v>649</v>
      </c>
      <c r="L77" s="5" t="s">
        <v>30</v>
      </c>
      <c r="M77" s="5" t="s">
        <v>650</v>
      </c>
      <c r="N77" s="5" t="s">
        <v>119</v>
      </c>
      <c r="O77" s="5" t="s">
        <v>267</v>
      </c>
      <c r="P77" s="5" t="s">
        <v>267</v>
      </c>
      <c r="Q77" s="12"/>
    </row>
    <row r="78" ht="22.5" customHeight="1">
      <c r="A78" s="14">
        <v>260077.0</v>
      </c>
      <c r="B78" s="4">
        <v>46022.09623420139</v>
      </c>
      <c r="C78" s="5" t="s">
        <v>651</v>
      </c>
      <c r="D78" s="5" t="s">
        <v>652</v>
      </c>
      <c r="E78" s="5" t="s">
        <v>651</v>
      </c>
      <c r="F78" s="5" t="s">
        <v>64</v>
      </c>
      <c r="G78" s="13" t="s">
        <v>653</v>
      </c>
      <c r="H78" s="13" t="s">
        <v>654</v>
      </c>
      <c r="I78" s="11" t="s">
        <v>655</v>
      </c>
      <c r="J78" s="11" t="s">
        <v>656</v>
      </c>
      <c r="K78" s="11" t="s">
        <v>657</v>
      </c>
      <c r="L78" s="5" t="s">
        <v>23</v>
      </c>
      <c r="M78" s="5" t="s">
        <v>658</v>
      </c>
      <c r="N78" s="5" t="s">
        <v>659</v>
      </c>
      <c r="O78" s="5" t="s">
        <v>181</v>
      </c>
      <c r="P78" s="5" t="s">
        <v>660</v>
      </c>
      <c r="Q78" s="12"/>
    </row>
    <row r="79" ht="22.5" customHeight="1">
      <c r="A79" s="10">
        <v>260078.0</v>
      </c>
      <c r="B79" s="4">
        <v>46023.168129375</v>
      </c>
      <c r="C79" s="5" t="s">
        <v>661</v>
      </c>
      <c r="D79" s="5" t="s">
        <v>662</v>
      </c>
      <c r="E79" s="5" t="s">
        <v>661</v>
      </c>
      <c r="F79" s="5" t="s">
        <v>64</v>
      </c>
      <c r="G79" s="11" t="s">
        <v>663</v>
      </c>
      <c r="H79" s="13" t="s">
        <v>664</v>
      </c>
      <c r="I79" s="11" t="s">
        <v>665</v>
      </c>
      <c r="J79" s="11" t="s">
        <v>666</v>
      </c>
      <c r="K79" s="11" t="s">
        <v>667</v>
      </c>
      <c r="L79" s="5" t="s">
        <v>30</v>
      </c>
      <c r="M79" s="5" t="s">
        <v>668</v>
      </c>
      <c r="N79" s="5" t="s">
        <v>61</v>
      </c>
      <c r="O79" s="5" t="s">
        <v>669</v>
      </c>
      <c r="P79" s="5" t="s">
        <v>73</v>
      </c>
      <c r="Q79" s="12"/>
    </row>
    <row r="80" ht="22.5" customHeight="1">
      <c r="A80" s="10">
        <v>260079.0</v>
      </c>
      <c r="B80" s="4">
        <v>46023.785281006945</v>
      </c>
      <c r="C80" s="5" t="s">
        <v>670</v>
      </c>
      <c r="D80" s="5" t="s">
        <v>671</v>
      </c>
      <c r="E80" s="5" t="s">
        <v>670</v>
      </c>
      <c r="F80" s="5" t="s">
        <v>17</v>
      </c>
      <c r="G80" s="11" t="s">
        <v>672</v>
      </c>
      <c r="H80" s="11" t="s">
        <v>673</v>
      </c>
      <c r="I80" s="11" t="s">
        <v>674</v>
      </c>
      <c r="J80" s="11" t="s">
        <v>675</v>
      </c>
      <c r="K80" s="11" t="s">
        <v>676</v>
      </c>
      <c r="L80" s="5" t="s">
        <v>162</v>
      </c>
      <c r="M80" s="5" t="s">
        <v>677</v>
      </c>
      <c r="N80" s="5" t="s">
        <v>119</v>
      </c>
      <c r="O80" s="5" t="s">
        <v>26</v>
      </c>
      <c r="P80" s="5" t="s">
        <v>26</v>
      </c>
      <c r="Q80" s="12"/>
    </row>
    <row r="81" ht="22.5" customHeight="1">
      <c r="A81" s="10">
        <v>260080.0</v>
      </c>
      <c r="B81" s="4">
        <v>46023.78988265047</v>
      </c>
      <c r="C81" s="5" t="s">
        <v>670</v>
      </c>
      <c r="D81" s="5" t="s">
        <v>671</v>
      </c>
      <c r="E81" s="5" t="s">
        <v>670</v>
      </c>
      <c r="F81" s="5" t="s">
        <v>131</v>
      </c>
      <c r="G81" s="11" t="s">
        <v>678</v>
      </c>
      <c r="H81" s="11" t="s">
        <v>679</v>
      </c>
      <c r="I81" s="11" t="s">
        <v>680</v>
      </c>
      <c r="J81" s="11" t="s">
        <v>681</v>
      </c>
      <c r="K81" s="11" t="s">
        <v>682</v>
      </c>
      <c r="L81" s="5" t="s">
        <v>162</v>
      </c>
      <c r="M81" s="5" t="s">
        <v>677</v>
      </c>
      <c r="N81" s="5" t="s">
        <v>119</v>
      </c>
      <c r="O81" s="5" t="s">
        <v>26</v>
      </c>
      <c r="P81" s="5" t="s">
        <v>26</v>
      </c>
      <c r="Q81" s="12"/>
    </row>
    <row r="82" ht="22.5" customHeight="1">
      <c r="A82" s="14">
        <v>260081.0</v>
      </c>
      <c r="B82" s="4">
        <v>46024.91489547453</v>
      </c>
      <c r="C82" s="5" t="s">
        <v>683</v>
      </c>
      <c r="D82" s="5" t="s">
        <v>684</v>
      </c>
      <c r="E82" s="5" t="s">
        <v>683</v>
      </c>
      <c r="F82" s="5" t="s">
        <v>64</v>
      </c>
      <c r="G82" s="13" t="s">
        <v>685</v>
      </c>
      <c r="H82" s="13" t="s">
        <v>686</v>
      </c>
      <c r="I82" s="11" t="s">
        <v>687</v>
      </c>
      <c r="J82" s="11" t="s">
        <v>688</v>
      </c>
      <c r="K82" s="11" t="s">
        <v>689</v>
      </c>
      <c r="L82" s="5" t="s">
        <v>30</v>
      </c>
      <c r="M82" s="5" t="s">
        <v>690</v>
      </c>
      <c r="N82" s="5" t="s">
        <v>61</v>
      </c>
      <c r="O82" s="5" t="s">
        <v>51</v>
      </c>
      <c r="P82" s="5" t="s">
        <v>52</v>
      </c>
      <c r="Q82" s="12"/>
    </row>
    <row r="83" ht="22.5" customHeight="1">
      <c r="A83" s="10">
        <v>260082.0</v>
      </c>
      <c r="B83" s="4">
        <v>46024.91808635417</v>
      </c>
      <c r="C83" s="5" t="s">
        <v>683</v>
      </c>
      <c r="D83" s="5" t="s">
        <v>684</v>
      </c>
      <c r="E83" s="5" t="s">
        <v>683</v>
      </c>
      <c r="F83" s="5" t="s">
        <v>64</v>
      </c>
      <c r="G83" s="11" t="s">
        <v>691</v>
      </c>
      <c r="H83" s="11" t="s">
        <v>692</v>
      </c>
      <c r="I83" s="11" t="s">
        <v>667</v>
      </c>
      <c r="J83" s="11" t="s">
        <v>693</v>
      </c>
      <c r="K83" s="11" t="s">
        <v>694</v>
      </c>
      <c r="L83" s="5" t="s">
        <v>30</v>
      </c>
      <c r="M83" s="5" t="s">
        <v>145</v>
      </c>
      <c r="N83" s="5" t="s">
        <v>61</v>
      </c>
      <c r="O83" s="5" t="s">
        <v>51</v>
      </c>
      <c r="P83" s="5" t="s">
        <v>52</v>
      </c>
      <c r="Q83" s="12"/>
    </row>
    <row r="84" ht="22.5" customHeight="1">
      <c r="A84" s="10">
        <v>260083.0</v>
      </c>
      <c r="B84" s="4">
        <v>46024.9212206713</v>
      </c>
      <c r="C84" s="5" t="s">
        <v>695</v>
      </c>
      <c r="D84" s="5" t="s">
        <v>696</v>
      </c>
      <c r="E84" s="5" t="s">
        <v>695</v>
      </c>
      <c r="F84" s="5" t="s">
        <v>64</v>
      </c>
      <c r="G84" s="11" t="s">
        <v>697</v>
      </c>
      <c r="H84" s="11" t="s">
        <v>698</v>
      </c>
      <c r="I84" s="11" t="s">
        <v>688</v>
      </c>
      <c r="J84" s="11" t="s">
        <v>699</v>
      </c>
      <c r="K84" s="11" t="s">
        <v>689</v>
      </c>
      <c r="L84" s="5" t="s">
        <v>30</v>
      </c>
      <c r="M84" s="5" t="s">
        <v>145</v>
      </c>
      <c r="N84" s="5" t="s">
        <v>31</v>
      </c>
      <c r="O84" s="5" t="s">
        <v>51</v>
      </c>
      <c r="P84" s="5" t="s">
        <v>52</v>
      </c>
      <c r="Q84" s="12"/>
    </row>
    <row r="85" ht="22.5" customHeight="1">
      <c r="A85" s="10">
        <v>260084.0</v>
      </c>
      <c r="B85" s="4">
        <v>46024.923114895835</v>
      </c>
      <c r="C85" s="5" t="s">
        <v>695</v>
      </c>
      <c r="D85" s="5" t="s">
        <v>696</v>
      </c>
      <c r="E85" s="5" t="s">
        <v>695</v>
      </c>
      <c r="F85" s="5" t="s">
        <v>64</v>
      </c>
      <c r="G85" s="11" t="s">
        <v>700</v>
      </c>
      <c r="H85" s="11" t="s">
        <v>701</v>
      </c>
      <c r="I85" s="11" t="s">
        <v>688</v>
      </c>
      <c r="J85" s="11" t="s">
        <v>702</v>
      </c>
      <c r="K85" s="11" t="s">
        <v>274</v>
      </c>
      <c r="L85" s="5" t="s">
        <v>30</v>
      </c>
      <c r="M85" s="5" t="s">
        <v>145</v>
      </c>
      <c r="N85" s="5" t="s">
        <v>31</v>
      </c>
      <c r="O85" s="5" t="s">
        <v>51</v>
      </c>
      <c r="P85" s="5" t="s">
        <v>52</v>
      </c>
      <c r="Q85" s="12"/>
    </row>
    <row r="86" ht="22.5" customHeight="1">
      <c r="A86" s="10">
        <v>260085.0</v>
      </c>
      <c r="B86" s="4">
        <v>46024.925478749996</v>
      </c>
      <c r="C86" s="5" t="s">
        <v>703</v>
      </c>
      <c r="D86" s="5" t="s">
        <v>704</v>
      </c>
      <c r="E86" s="5" t="s">
        <v>703</v>
      </c>
      <c r="F86" s="5" t="s">
        <v>64</v>
      </c>
      <c r="G86" s="11" t="s">
        <v>705</v>
      </c>
      <c r="H86" s="13" t="s">
        <v>706</v>
      </c>
      <c r="I86" s="11" t="s">
        <v>707</v>
      </c>
      <c r="J86" s="11" t="s">
        <v>708</v>
      </c>
      <c r="K86" s="11" t="s">
        <v>709</v>
      </c>
      <c r="L86" s="5" t="s">
        <v>30</v>
      </c>
      <c r="M86" s="5" t="s">
        <v>710</v>
      </c>
      <c r="N86" s="5" t="s">
        <v>71</v>
      </c>
      <c r="O86" s="5" t="s">
        <v>51</v>
      </c>
      <c r="P86" s="5" t="s">
        <v>52</v>
      </c>
      <c r="Q86" s="12"/>
    </row>
    <row r="87" ht="22.5" customHeight="1">
      <c r="A87" s="10">
        <v>260086.0</v>
      </c>
      <c r="B87" s="4">
        <v>46024.92717028935</v>
      </c>
      <c r="C87" s="5" t="s">
        <v>703</v>
      </c>
      <c r="D87" s="5" t="s">
        <v>704</v>
      </c>
      <c r="E87" s="5" t="s">
        <v>703</v>
      </c>
      <c r="F87" s="5" t="s">
        <v>64</v>
      </c>
      <c r="G87" s="11" t="s">
        <v>711</v>
      </c>
      <c r="H87" s="11" t="s">
        <v>712</v>
      </c>
      <c r="I87" s="11" t="s">
        <v>713</v>
      </c>
      <c r="J87" s="11" t="s">
        <v>714</v>
      </c>
      <c r="K87" s="11" t="s">
        <v>715</v>
      </c>
      <c r="L87" s="5" t="s">
        <v>30</v>
      </c>
      <c r="M87" s="5" t="s">
        <v>710</v>
      </c>
      <c r="N87" s="5" t="s">
        <v>71</v>
      </c>
      <c r="O87" s="5" t="s">
        <v>51</v>
      </c>
      <c r="P87" s="5" t="s">
        <v>52</v>
      </c>
      <c r="Q87" s="12"/>
    </row>
    <row r="88" ht="22.5" customHeight="1">
      <c r="A88" s="10">
        <v>260087.0</v>
      </c>
      <c r="B88" s="4">
        <v>46024.92927359954</v>
      </c>
      <c r="C88" s="5" t="s">
        <v>703</v>
      </c>
      <c r="D88" s="5" t="s">
        <v>704</v>
      </c>
      <c r="E88" s="5" t="s">
        <v>703</v>
      </c>
      <c r="F88" s="5" t="s">
        <v>17</v>
      </c>
      <c r="G88" s="11" t="s">
        <v>716</v>
      </c>
      <c r="H88" s="11" t="s">
        <v>717</v>
      </c>
      <c r="I88" s="11" t="s">
        <v>718</v>
      </c>
      <c r="J88" s="11" t="s">
        <v>719</v>
      </c>
      <c r="K88" s="11" t="s">
        <v>720</v>
      </c>
      <c r="L88" s="5" t="s">
        <v>30</v>
      </c>
      <c r="M88" s="5" t="s">
        <v>710</v>
      </c>
      <c r="N88" s="5" t="s">
        <v>71</v>
      </c>
      <c r="O88" s="5" t="s">
        <v>51</v>
      </c>
      <c r="P88" s="5" t="s">
        <v>52</v>
      </c>
      <c r="Q88" s="12"/>
    </row>
    <row r="89" ht="22.5" customHeight="1">
      <c r="A89" s="10">
        <v>260088.0</v>
      </c>
      <c r="B89" s="4">
        <v>46024.93662425926</v>
      </c>
      <c r="C89" s="5" t="s">
        <v>703</v>
      </c>
      <c r="D89" s="5" t="s">
        <v>704</v>
      </c>
      <c r="E89" s="5" t="s">
        <v>703</v>
      </c>
      <c r="F89" s="5" t="s">
        <v>17</v>
      </c>
      <c r="G89" s="11" t="s">
        <v>721</v>
      </c>
      <c r="H89" s="11" t="s">
        <v>722</v>
      </c>
      <c r="I89" s="11" t="s">
        <v>723</v>
      </c>
      <c r="J89" s="11" t="s">
        <v>724</v>
      </c>
      <c r="K89" s="11" t="s">
        <v>171</v>
      </c>
      <c r="L89" s="5" t="s">
        <v>30</v>
      </c>
      <c r="M89" s="5" t="s">
        <v>710</v>
      </c>
      <c r="N89" s="5" t="s">
        <v>71</v>
      </c>
      <c r="O89" s="5" t="s">
        <v>51</v>
      </c>
      <c r="P89" s="5" t="s">
        <v>52</v>
      </c>
      <c r="Q89" s="12"/>
    </row>
    <row r="90" ht="22.5" customHeight="1">
      <c r="A90" s="10">
        <v>260089.0</v>
      </c>
      <c r="B90" s="4">
        <v>46024.939624502316</v>
      </c>
      <c r="C90" s="5" t="s">
        <v>725</v>
      </c>
      <c r="D90" s="5" t="s">
        <v>726</v>
      </c>
      <c r="E90" s="5" t="s">
        <v>725</v>
      </c>
      <c r="F90" s="5" t="s">
        <v>17</v>
      </c>
      <c r="G90" s="11" t="s">
        <v>727</v>
      </c>
      <c r="H90" s="11" t="s">
        <v>728</v>
      </c>
      <c r="I90" s="11" t="s">
        <v>729</v>
      </c>
      <c r="J90" s="11" t="s">
        <v>730</v>
      </c>
      <c r="K90" s="11" t="s">
        <v>731</v>
      </c>
      <c r="L90" s="5" t="s">
        <v>30</v>
      </c>
      <c r="M90" s="5" t="s">
        <v>732</v>
      </c>
      <c r="N90" s="5" t="s">
        <v>733</v>
      </c>
      <c r="O90" s="5" t="s">
        <v>734</v>
      </c>
      <c r="P90" s="5" t="s">
        <v>182</v>
      </c>
      <c r="Q90" s="12"/>
    </row>
    <row r="91" ht="22.5" customHeight="1">
      <c r="A91" s="10">
        <v>260090.0</v>
      </c>
      <c r="B91" s="4">
        <v>46025.02681576389</v>
      </c>
      <c r="C91" s="5" t="s">
        <v>735</v>
      </c>
      <c r="D91" s="5" t="s">
        <v>736</v>
      </c>
      <c r="E91" s="5" t="s">
        <v>735</v>
      </c>
      <c r="F91" s="5" t="s">
        <v>17</v>
      </c>
      <c r="G91" s="11" t="s">
        <v>737</v>
      </c>
      <c r="H91" s="11" t="s">
        <v>738</v>
      </c>
      <c r="I91" s="11" t="s">
        <v>739</v>
      </c>
      <c r="J91" s="11" t="s">
        <v>740</v>
      </c>
      <c r="K91" s="11" t="s">
        <v>741</v>
      </c>
      <c r="L91" s="5" t="s">
        <v>30</v>
      </c>
      <c r="M91" s="5" t="s">
        <v>742</v>
      </c>
      <c r="N91" s="5" t="s">
        <v>71</v>
      </c>
      <c r="O91" s="5" t="s">
        <v>743</v>
      </c>
      <c r="P91" s="5" t="s">
        <v>404</v>
      </c>
      <c r="Q91" s="12"/>
    </row>
    <row r="92" ht="22.5" customHeight="1">
      <c r="A92" s="10">
        <v>260091.0</v>
      </c>
      <c r="B92" s="4">
        <v>46039.24155078703</v>
      </c>
      <c r="C92" s="5" t="s">
        <v>744</v>
      </c>
      <c r="D92" s="5" t="s">
        <v>745</v>
      </c>
      <c r="E92" s="5" t="s">
        <v>744</v>
      </c>
      <c r="F92" s="5" t="s">
        <v>17</v>
      </c>
      <c r="G92" s="11" t="s">
        <v>746</v>
      </c>
      <c r="H92" s="11" t="s">
        <v>747</v>
      </c>
      <c r="I92" s="11" t="s">
        <v>748</v>
      </c>
      <c r="J92" s="11" t="s">
        <v>749</v>
      </c>
      <c r="K92" s="11" t="s">
        <v>750</v>
      </c>
      <c r="L92" s="5" t="s">
        <v>30</v>
      </c>
      <c r="M92" s="5" t="s">
        <v>751</v>
      </c>
      <c r="N92" s="5" t="s">
        <v>456</v>
      </c>
      <c r="O92" s="5" t="s">
        <v>181</v>
      </c>
      <c r="P92" s="5" t="s">
        <v>660</v>
      </c>
      <c r="Q92" s="12"/>
    </row>
    <row r="93" ht="22.5" customHeight="1">
      <c r="A93" s="14">
        <v>260092.0</v>
      </c>
      <c r="B93" s="4">
        <v>46025.51792950231</v>
      </c>
      <c r="C93" s="5" t="s">
        <v>752</v>
      </c>
      <c r="D93" s="5" t="s">
        <v>753</v>
      </c>
      <c r="E93" s="5" t="s">
        <v>752</v>
      </c>
      <c r="F93" s="5" t="s">
        <v>131</v>
      </c>
      <c r="G93" s="13" t="s">
        <v>754</v>
      </c>
      <c r="H93" s="13" t="s">
        <v>755</v>
      </c>
      <c r="I93" s="11" t="s">
        <v>341</v>
      </c>
      <c r="J93" s="11" t="s">
        <v>756</v>
      </c>
      <c r="K93" s="11" t="s">
        <v>757</v>
      </c>
      <c r="L93" s="5" t="s">
        <v>30</v>
      </c>
      <c r="M93" s="5" t="s">
        <v>758</v>
      </c>
      <c r="N93" s="5" t="s">
        <v>759</v>
      </c>
      <c r="O93" s="5" t="s">
        <v>51</v>
      </c>
      <c r="P93" s="5" t="s">
        <v>73</v>
      </c>
      <c r="Q93" s="12"/>
    </row>
    <row r="94" ht="22.5" customHeight="1">
      <c r="A94" s="14">
        <v>260093.0</v>
      </c>
      <c r="B94" s="4">
        <v>46025.522143483795</v>
      </c>
      <c r="C94" s="5" t="s">
        <v>760</v>
      </c>
      <c r="D94" s="5" t="s">
        <v>761</v>
      </c>
      <c r="E94" s="5" t="s">
        <v>760</v>
      </c>
      <c r="F94" s="5" t="s">
        <v>64</v>
      </c>
      <c r="G94" s="13" t="s">
        <v>762</v>
      </c>
      <c r="H94" s="13" t="s">
        <v>763</v>
      </c>
      <c r="I94" s="11" t="s">
        <v>764</v>
      </c>
      <c r="J94" s="11" t="s">
        <v>765</v>
      </c>
      <c r="K94" s="11" t="s">
        <v>766</v>
      </c>
      <c r="L94" s="5" t="s">
        <v>30</v>
      </c>
      <c r="M94" s="5" t="s">
        <v>767</v>
      </c>
      <c r="N94" s="5" t="s">
        <v>759</v>
      </c>
      <c r="O94" s="5" t="s">
        <v>51</v>
      </c>
      <c r="P94" s="5" t="s">
        <v>52</v>
      </c>
      <c r="Q94" s="12"/>
    </row>
    <row r="95" ht="22.5" customHeight="1">
      <c r="A95" s="10">
        <v>260094.0</v>
      </c>
      <c r="B95" s="4">
        <v>46025.69238850694</v>
      </c>
      <c r="C95" s="5" t="s">
        <v>768</v>
      </c>
      <c r="D95" s="5" t="s">
        <v>769</v>
      </c>
      <c r="E95" s="5" t="s">
        <v>768</v>
      </c>
      <c r="F95" s="5" t="s">
        <v>64</v>
      </c>
      <c r="G95" s="11" t="s">
        <v>770</v>
      </c>
      <c r="H95" s="11" t="s">
        <v>771</v>
      </c>
      <c r="I95" s="11" t="s">
        <v>772</v>
      </c>
      <c r="J95" s="11" t="s">
        <v>773</v>
      </c>
      <c r="K95" s="11" t="s">
        <v>774</v>
      </c>
      <c r="L95" s="5" t="s">
        <v>30</v>
      </c>
      <c r="M95" s="5" t="s">
        <v>775</v>
      </c>
      <c r="N95" s="5" t="s">
        <v>119</v>
      </c>
      <c r="O95" s="5" t="s">
        <v>776</v>
      </c>
      <c r="P95" s="5" t="s">
        <v>777</v>
      </c>
      <c r="Q95" s="12"/>
    </row>
    <row r="96" ht="22.5" customHeight="1">
      <c r="A96" s="10">
        <v>260095.0</v>
      </c>
      <c r="B96" s="4">
        <v>46026.15609359954</v>
      </c>
      <c r="C96" s="5" t="s">
        <v>778</v>
      </c>
      <c r="D96" s="5" t="s">
        <v>779</v>
      </c>
      <c r="E96" s="5" t="s">
        <v>778</v>
      </c>
      <c r="F96" s="5" t="s">
        <v>17</v>
      </c>
      <c r="G96" s="11" t="s">
        <v>780</v>
      </c>
      <c r="H96" s="13" t="s">
        <v>781</v>
      </c>
      <c r="I96" s="11" t="s">
        <v>782</v>
      </c>
      <c r="J96" s="11" t="s">
        <v>783</v>
      </c>
      <c r="K96" s="11" t="s">
        <v>784</v>
      </c>
      <c r="L96" s="5" t="s">
        <v>30</v>
      </c>
      <c r="M96" s="5" t="s">
        <v>785</v>
      </c>
      <c r="N96" s="5" t="s">
        <v>61</v>
      </c>
      <c r="O96" s="5" t="s">
        <v>72</v>
      </c>
      <c r="P96" s="5" t="s">
        <v>73</v>
      </c>
      <c r="Q96" s="12"/>
    </row>
    <row r="97" ht="22.5" customHeight="1">
      <c r="A97" s="10">
        <v>260096.0</v>
      </c>
      <c r="B97" s="4">
        <v>46027.04515576389</v>
      </c>
      <c r="C97" s="5" t="s">
        <v>786</v>
      </c>
      <c r="D97" s="5" t="s">
        <v>787</v>
      </c>
      <c r="E97" s="5" t="s">
        <v>786</v>
      </c>
      <c r="F97" s="5" t="s">
        <v>131</v>
      </c>
      <c r="G97" s="11" t="s">
        <v>788</v>
      </c>
      <c r="H97" s="11" t="s">
        <v>789</v>
      </c>
      <c r="I97" s="11" t="s">
        <v>790</v>
      </c>
      <c r="J97" s="11" t="s">
        <v>791</v>
      </c>
      <c r="K97" s="11" t="s">
        <v>792</v>
      </c>
      <c r="L97" s="5" t="s">
        <v>23</v>
      </c>
      <c r="M97" s="5" t="s">
        <v>793</v>
      </c>
      <c r="N97" s="5" t="s">
        <v>164</v>
      </c>
      <c r="O97" s="5" t="s">
        <v>794</v>
      </c>
      <c r="P97" s="5" t="s">
        <v>794</v>
      </c>
      <c r="Q97" s="12"/>
    </row>
    <row r="98" ht="22.5" customHeight="1">
      <c r="A98" s="14">
        <v>260097.0</v>
      </c>
      <c r="B98" s="4">
        <v>46027.12617930556</v>
      </c>
      <c r="C98" s="5" t="s">
        <v>795</v>
      </c>
      <c r="D98" s="5" t="s">
        <v>796</v>
      </c>
      <c r="E98" s="5" t="s">
        <v>795</v>
      </c>
      <c r="F98" s="5" t="s">
        <v>17</v>
      </c>
      <c r="G98" s="13" t="s">
        <v>797</v>
      </c>
      <c r="H98" s="13" t="s">
        <v>798</v>
      </c>
      <c r="I98" s="11" t="s">
        <v>799</v>
      </c>
      <c r="J98" s="11" t="s">
        <v>739</v>
      </c>
      <c r="K98" s="11" t="s">
        <v>800</v>
      </c>
      <c r="L98" s="5" t="s">
        <v>162</v>
      </c>
      <c r="M98" s="5" t="s">
        <v>801</v>
      </c>
      <c r="N98" s="5" t="s">
        <v>119</v>
      </c>
      <c r="O98" s="5" t="s">
        <v>734</v>
      </c>
      <c r="P98" s="5" t="s">
        <v>734</v>
      </c>
      <c r="Q98" s="12"/>
    </row>
    <row r="99" ht="22.5" customHeight="1">
      <c r="A99" s="10">
        <v>260098.0</v>
      </c>
      <c r="B99" s="4">
        <v>46027.15420065972</v>
      </c>
      <c r="C99" s="5" t="s">
        <v>802</v>
      </c>
      <c r="D99" s="5" t="s">
        <v>803</v>
      </c>
      <c r="E99" s="5" t="s">
        <v>802</v>
      </c>
      <c r="F99" s="5" t="s">
        <v>17</v>
      </c>
      <c r="G99" s="11" t="s">
        <v>804</v>
      </c>
      <c r="H99" s="11" t="s">
        <v>805</v>
      </c>
      <c r="I99" s="11" t="s">
        <v>806</v>
      </c>
      <c r="J99" s="11" t="s">
        <v>807</v>
      </c>
      <c r="K99" s="11" t="s">
        <v>808</v>
      </c>
      <c r="L99" s="5" t="s">
        <v>30</v>
      </c>
      <c r="M99" s="5" t="s">
        <v>809</v>
      </c>
      <c r="N99" s="5" t="s">
        <v>128</v>
      </c>
      <c r="O99" s="5" t="s">
        <v>51</v>
      </c>
      <c r="P99" s="5" t="s">
        <v>52</v>
      </c>
      <c r="Q99" s="12"/>
    </row>
    <row r="100" ht="22.5" customHeight="1">
      <c r="A100" s="10">
        <v>260099.0</v>
      </c>
      <c r="B100" s="4">
        <v>46027.168054988426</v>
      </c>
      <c r="C100" s="5" t="s">
        <v>810</v>
      </c>
      <c r="D100" s="5" t="s">
        <v>811</v>
      </c>
      <c r="E100" s="5" t="s">
        <v>810</v>
      </c>
      <c r="F100" s="5" t="s">
        <v>131</v>
      </c>
      <c r="G100" s="11" t="s">
        <v>812</v>
      </c>
      <c r="H100" s="13" t="s">
        <v>813</v>
      </c>
      <c r="I100" s="11" t="s">
        <v>814</v>
      </c>
      <c r="J100" s="11" t="s">
        <v>815</v>
      </c>
      <c r="K100" s="11" t="s">
        <v>816</v>
      </c>
      <c r="L100" s="5" t="s">
        <v>30</v>
      </c>
      <c r="M100" s="5" t="s">
        <v>557</v>
      </c>
      <c r="N100" s="5" t="s">
        <v>119</v>
      </c>
      <c r="O100" s="5" t="s">
        <v>437</v>
      </c>
      <c r="P100" s="5" t="s">
        <v>437</v>
      </c>
      <c r="Q100" s="12"/>
    </row>
    <row r="101" ht="22.5" customHeight="1">
      <c r="A101" s="10">
        <v>260100.0</v>
      </c>
      <c r="B101" s="4">
        <v>46027.20015542824</v>
      </c>
      <c r="C101" s="5" t="s">
        <v>817</v>
      </c>
      <c r="D101" s="5" t="s">
        <v>818</v>
      </c>
      <c r="E101" s="5" t="s">
        <v>817</v>
      </c>
      <c r="F101" s="5" t="s">
        <v>17</v>
      </c>
      <c r="G101" s="11" t="s">
        <v>819</v>
      </c>
      <c r="H101" s="13" t="s">
        <v>820</v>
      </c>
      <c r="I101" s="11" t="s">
        <v>821</v>
      </c>
      <c r="J101" s="11" t="s">
        <v>822</v>
      </c>
      <c r="K101" s="11" t="s">
        <v>823</v>
      </c>
      <c r="L101" s="5" t="s">
        <v>23</v>
      </c>
      <c r="M101" s="5" t="s">
        <v>824</v>
      </c>
      <c r="N101" s="5" t="s">
        <v>119</v>
      </c>
      <c r="O101" s="5" t="s">
        <v>26</v>
      </c>
      <c r="P101" s="5" t="s">
        <v>825</v>
      </c>
      <c r="Q101" s="12"/>
    </row>
    <row r="102" ht="22.5" customHeight="1">
      <c r="A102" s="10">
        <v>260101.0</v>
      </c>
      <c r="B102" s="4">
        <v>46027.25898086806</v>
      </c>
      <c r="C102" s="5" t="s">
        <v>826</v>
      </c>
      <c r="D102" s="5" t="s">
        <v>827</v>
      </c>
      <c r="E102" s="5" t="s">
        <v>826</v>
      </c>
      <c r="F102" s="5" t="s">
        <v>64</v>
      </c>
      <c r="G102" s="11" t="s">
        <v>828</v>
      </c>
      <c r="H102" s="13" t="s">
        <v>829</v>
      </c>
      <c r="I102" s="11" t="s">
        <v>830</v>
      </c>
      <c r="J102" s="11" t="s">
        <v>831</v>
      </c>
      <c r="K102" s="11" t="s">
        <v>832</v>
      </c>
      <c r="L102" s="5" t="s">
        <v>23</v>
      </c>
      <c r="M102" s="5" t="s">
        <v>445</v>
      </c>
      <c r="N102" s="5" t="s">
        <v>119</v>
      </c>
      <c r="O102" s="5" t="s">
        <v>833</v>
      </c>
      <c r="P102" s="5" t="s">
        <v>548</v>
      </c>
      <c r="Q102" s="12"/>
    </row>
    <row r="103" ht="22.5" customHeight="1">
      <c r="A103" s="10">
        <v>260102.0</v>
      </c>
      <c r="B103" s="4">
        <v>46027.260207824074</v>
      </c>
      <c r="C103" s="5" t="s">
        <v>337</v>
      </c>
      <c r="D103" s="5" t="s">
        <v>338</v>
      </c>
      <c r="E103" s="5" t="s">
        <v>337</v>
      </c>
      <c r="F103" s="5" t="s">
        <v>17</v>
      </c>
      <c r="G103" s="11" t="s">
        <v>834</v>
      </c>
      <c r="H103" s="11" t="s">
        <v>835</v>
      </c>
      <c r="I103" s="11" t="s">
        <v>463</v>
      </c>
      <c r="J103" s="11" t="s">
        <v>836</v>
      </c>
      <c r="K103" s="11" t="s">
        <v>837</v>
      </c>
      <c r="L103" s="5" t="s">
        <v>30</v>
      </c>
      <c r="M103" s="5" t="s">
        <v>319</v>
      </c>
      <c r="N103" s="5" t="s">
        <v>119</v>
      </c>
      <c r="O103" s="5" t="s">
        <v>72</v>
      </c>
      <c r="P103" s="5" t="s">
        <v>73</v>
      </c>
      <c r="Q103" s="12"/>
    </row>
    <row r="104" ht="22.5" customHeight="1">
      <c r="A104" s="10">
        <v>260103.0</v>
      </c>
      <c r="B104" s="4">
        <v>46027.272927314814</v>
      </c>
      <c r="C104" s="5" t="s">
        <v>337</v>
      </c>
      <c r="D104" s="5" t="s">
        <v>338</v>
      </c>
      <c r="E104" s="5" t="s">
        <v>337</v>
      </c>
      <c r="F104" s="5" t="s">
        <v>17</v>
      </c>
      <c r="G104" s="11" t="s">
        <v>838</v>
      </c>
      <c r="H104" s="11" t="s">
        <v>839</v>
      </c>
      <c r="I104" s="11" t="s">
        <v>463</v>
      </c>
      <c r="J104" s="11" t="s">
        <v>840</v>
      </c>
      <c r="K104" s="11" t="s">
        <v>841</v>
      </c>
      <c r="L104" s="5" t="s">
        <v>30</v>
      </c>
      <c r="M104" s="5" t="s">
        <v>319</v>
      </c>
      <c r="N104" s="5" t="s">
        <v>119</v>
      </c>
      <c r="O104" s="5" t="s">
        <v>72</v>
      </c>
      <c r="P104" s="5" t="s">
        <v>73</v>
      </c>
      <c r="Q104" s="12"/>
    </row>
    <row r="105" ht="22.5" customHeight="1">
      <c r="A105" s="10">
        <v>260104.0</v>
      </c>
      <c r="B105" s="4">
        <v>46027.28722805556</v>
      </c>
      <c r="C105" s="5" t="s">
        <v>337</v>
      </c>
      <c r="D105" s="5" t="s">
        <v>338</v>
      </c>
      <c r="E105" s="5" t="s">
        <v>337</v>
      </c>
      <c r="F105" s="5" t="s">
        <v>64</v>
      </c>
      <c r="G105" s="11" t="s">
        <v>842</v>
      </c>
      <c r="H105" s="11" t="s">
        <v>843</v>
      </c>
      <c r="I105" s="11" t="s">
        <v>841</v>
      </c>
      <c r="J105" s="11" t="s">
        <v>844</v>
      </c>
      <c r="K105" s="11" t="s">
        <v>845</v>
      </c>
      <c r="L105" s="5" t="s">
        <v>30</v>
      </c>
      <c r="M105" s="5" t="s">
        <v>319</v>
      </c>
      <c r="N105" s="5" t="s">
        <v>119</v>
      </c>
      <c r="O105" s="5" t="s">
        <v>72</v>
      </c>
      <c r="P105" s="5" t="s">
        <v>73</v>
      </c>
      <c r="Q105" s="12"/>
    </row>
    <row r="106" ht="22.5" customHeight="1">
      <c r="A106" s="10">
        <v>260105.0</v>
      </c>
      <c r="B106" s="4">
        <v>46027.29880547454</v>
      </c>
      <c r="C106" s="5" t="s">
        <v>337</v>
      </c>
      <c r="D106" s="5" t="s">
        <v>338</v>
      </c>
      <c r="E106" s="5" t="s">
        <v>337</v>
      </c>
      <c r="F106" s="5" t="s">
        <v>64</v>
      </c>
      <c r="G106" s="11" t="s">
        <v>846</v>
      </c>
      <c r="H106" s="11" t="s">
        <v>847</v>
      </c>
      <c r="I106" s="11" t="s">
        <v>848</v>
      </c>
      <c r="J106" s="11" t="s">
        <v>849</v>
      </c>
      <c r="K106" s="11" t="s">
        <v>850</v>
      </c>
      <c r="L106" s="5" t="s">
        <v>30</v>
      </c>
      <c r="M106" s="5" t="s">
        <v>319</v>
      </c>
      <c r="N106" s="5" t="s">
        <v>119</v>
      </c>
      <c r="O106" s="5" t="s">
        <v>72</v>
      </c>
      <c r="P106" s="5" t="s">
        <v>73</v>
      </c>
      <c r="Q106" s="12"/>
    </row>
    <row r="107" ht="22.5" customHeight="1">
      <c r="A107" s="10">
        <v>260106.0</v>
      </c>
      <c r="B107" s="4">
        <v>46027.31805740741</v>
      </c>
      <c r="C107" s="5" t="s">
        <v>337</v>
      </c>
      <c r="D107" s="5" t="s">
        <v>338</v>
      </c>
      <c r="E107" s="5" t="s">
        <v>337</v>
      </c>
      <c r="F107" s="5" t="s">
        <v>64</v>
      </c>
      <c r="G107" s="11" t="s">
        <v>851</v>
      </c>
      <c r="H107" s="11" t="s">
        <v>852</v>
      </c>
      <c r="I107" s="11" t="s">
        <v>853</v>
      </c>
      <c r="J107" s="11" t="s">
        <v>854</v>
      </c>
      <c r="K107" s="11" t="s">
        <v>855</v>
      </c>
      <c r="L107" s="5" t="s">
        <v>30</v>
      </c>
      <c r="M107" s="5" t="s">
        <v>319</v>
      </c>
      <c r="N107" s="5" t="s">
        <v>119</v>
      </c>
      <c r="O107" s="5" t="s">
        <v>72</v>
      </c>
      <c r="P107" s="5" t="s">
        <v>73</v>
      </c>
      <c r="Q107" s="12"/>
    </row>
    <row r="108" ht="22.5" customHeight="1">
      <c r="A108" s="10">
        <v>260107.0</v>
      </c>
      <c r="B108" s="4">
        <v>46027.60267636574</v>
      </c>
      <c r="C108" s="5" t="s">
        <v>337</v>
      </c>
      <c r="D108" s="5" t="s">
        <v>338</v>
      </c>
      <c r="E108" s="5" t="s">
        <v>856</v>
      </c>
      <c r="F108" s="5" t="s">
        <v>64</v>
      </c>
      <c r="G108" s="11" t="s">
        <v>857</v>
      </c>
      <c r="H108" s="11" t="s">
        <v>858</v>
      </c>
      <c r="I108" s="11" t="s">
        <v>463</v>
      </c>
      <c r="J108" s="11" t="s">
        <v>532</v>
      </c>
      <c r="K108" s="11" t="s">
        <v>859</v>
      </c>
      <c r="L108" s="5" t="s">
        <v>30</v>
      </c>
      <c r="M108" s="5" t="s">
        <v>319</v>
      </c>
      <c r="N108" s="5" t="s">
        <v>119</v>
      </c>
      <c r="O108" s="5" t="s">
        <v>72</v>
      </c>
      <c r="P108" s="5" t="s">
        <v>73</v>
      </c>
      <c r="Q108" s="12"/>
    </row>
    <row r="109" ht="22.5" customHeight="1">
      <c r="A109" s="10">
        <v>260108.0</v>
      </c>
      <c r="B109" s="4">
        <v>46027.65825486111</v>
      </c>
      <c r="C109" s="5" t="s">
        <v>337</v>
      </c>
      <c r="D109" s="5" t="s">
        <v>338</v>
      </c>
      <c r="E109" s="5" t="s">
        <v>337</v>
      </c>
      <c r="F109" s="5" t="s">
        <v>17</v>
      </c>
      <c r="G109" s="11" t="s">
        <v>860</v>
      </c>
      <c r="H109" s="11" t="s">
        <v>861</v>
      </c>
      <c r="I109" s="11" t="s">
        <v>862</v>
      </c>
      <c r="J109" s="11" t="s">
        <v>863</v>
      </c>
      <c r="K109" s="11" t="s">
        <v>864</v>
      </c>
      <c r="L109" s="5" t="s">
        <v>30</v>
      </c>
      <c r="M109" s="5" t="s">
        <v>319</v>
      </c>
      <c r="N109" s="5" t="s">
        <v>119</v>
      </c>
      <c r="O109" s="5" t="s">
        <v>72</v>
      </c>
      <c r="P109" s="5" t="s">
        <v>73</v>
      </c>
      <c r="Q109" s="12"/>
    </row>
    <row r="110" ht="22.5" customHeight="1">
      <c r="A110" s="10">
        <v>260109.0</v>
      </c>
      <c r="B110" s="4">
        <v>46027.713119224536</v>
      </c>
      <c r="C110" s="5" t="s">
        <v>865</v>
      </c>
      <c r="D110" s="5" t="s">
        <v>866</v>
      </c>
      <c r="E110" s="5" t="s">
        <v>865</v>
      </c>
      <c r="F110" s="5" t="s">
        <v>17</v>
      </c>
      <c r="G110" s="11" t="s">
        <v>867</v>
      </c>
      <c r="H110" s="11" t="s">
        <v>868</v>
      </c>
      <c r="I110" s="11" t="s">
        <v>869</v>
      </c>
      <c r="J110" s="11" t="s">
        <v>870</v>
      </c>
      <c r="K110" s="11" t="s">
        <v>871</v>
      </c>
      <c r="L110" s="5" t="s">
        <v>30</v>
      </c>
      <c r="M110" s="5" t="s">
        <v>872</v>
      </c>
      <c r="N110" s="5" t="s">
        <v>119</v>
      </c>
      <c r="O110" s="5" t="s">
        <v>181</v>
      </c>
      <c r="P110" s="5" t="s">
        <v>660</v>
      </c>
      <c r="Q110" s="12"/>
    </row>
    <row r="111" ht="22.5" customHeight="1">
      <c r="A111" s="10">
        <v>260110.0</v>
      </c>
      <c r="B111" s="4">
        <v>46027.86765392361</v>
      </c>
      <c r="C111" s="5" t="s">
        <v>873</v>
      </c>
      <c r="D111" s="5" t="s">
        <v>874</v>
      </c>
      <c r="E111" s="5" t="s">
        <v>873</v>
      </c>
      <c r="F111" s="5" t="s">
        <v>17</v>
      </c>
      <c r="G111" s="11" t="s">
        <v>875</v>
      </c>
      <c r="H111" s="11" t="s">
        <v>876</v>
      </c>
      <c r="I111" s="11" t="s">
        <v>877</v>
      </c>
      <c r="J111" s="11" t="s">
        <v>215</v>
      </c>
      <c r="K111" s="11" t="s">
        <v>461</v>
      </c>
      <c r="L111" s="5" t="s">
        <v>162</v>
      </c>
      <c r="M111" s="5" t="s">
        <v>878</v>
      </c>
      <c r="N111" s="5" t="s">
        <v>119</v>
      </c>
      <c r="O111" s="5" t="s">
        <v>548</v>
      </c>
      <c r="P111" s="5" t="s">
        <v>566</v>
      </c>
      <c r="Q111" s="12"/>
    </row>
    <row r="112" ht="22.5" customHeight="1">
      <c r="A112" s="10">
        <v>260111.0</v>
      </c>
      <c r="B112" s="4">
        <v>46027.92606827546</v>
      </c>
      <c r="C112" s="5" t="s">
        <v>683</v>
      </c>
      <c r="D112" s="5" t="s">
        <v>684</v>
      </c>
      <c r="E112" s="5" t="s">
        <v>683</v>
      </c>
      <c r="F112" s="5" t="s">
        <v>64</v>
      </c>
      <c r="G112" s="11" t="s">
        <v>879</v>
      </c>
      <c r="H112" s="11" t="s">
        <v>880</v>
      </c>
      <c r="I112" s="11" t="s">
        <v>881</v>
      </c>
      <c r="J112" s="11" t="s">
        <v>171</v>
      </c>
      <c r="K112" s="11" t="s">
        <v>882</v>
      </c>
      <c r="L112" s="5" t="s">
        <v>30</v>
      </c>
      <c r="M112" s="5" t="s">
        <v>145</v>
      </c>
      <c r="N112" s="5" t="s">
        <v>61</v>
      </c>
      <c r="O112" s="5" t="s">
        <v>51</v>
      </c>
      <c r="P112" s="5" t="s">
        <v>52</v>
      </c>
      <c r="Q112" s="12"/>
    </row>
    <row r="113" ht="22.5" customHeight="1">
      <c r="A113" s="10">
        <v>260112.0</v>
      </c>
      <c r="B113" s="4">
        <v>46028.362175428236</v>
      </c>
      <c r="C113" s="5" t="s">
        <v>883</v>
      </c>
      <c r="D113" s="5" t="s">
        <v>884</v>
      </c>
      <c r="E113" s="5" t="s">
        <v>883</v>
      </c>
      <c r="F113" s="5" t="s">
        <v>17</v>
      </c>
      <c r="G113" s="11" t="s">
        <v>885</v>
      </c>
      <c r="H113" s="11" t="s">
        <v>886</v>
      </c>
      <c r="I113" s="11" t="s">
        <v>887</v>
      </c>
      <c r="J113" s="11" t="s">
        <v>888</v>
      </c>
      <c r="K113" s="11" t="s">
        <v>889</v>
      </c>
      <c r="L113" s="5" t="s">
        <v>162</v>
      </c>
      <c r="M113" s="5" t="s">
        <v>890</v>
      </c>
      <c r="N113" s="5" t="s">
        <v>436</v>
      </c>
      <c r="O113" s="5" t="s">
        <v>891</v>
      </c>
      <c r="P113" s="5" t="s">
        <v>892</v>
      </c>
      <c r="Q113" s="12"/>
    </row>
    <row r="114" ht="22.5" customHeight="1">
      <c r="A114" s="10">
        <v>260113.0</v>
      </c>
      <c r="B114" s="4">
        <v>46029.880770625</v>
      </c>
      <c r="C114" s="5" t="s">
        <v>893</v>
      </c>
      <c r="D114" s="5" t="s">
        <v>894</v>
      </c>
      <c r="E114" s="5" t="s">
        <v>893</v>
      </c>
      <c r="F114" s="5" t="s">
        <v>17</v>
      </c>
      <c r="G114" s="11" t="s">
        <v>895</v>
      </c>
      <c r="H114" s="11" t="s">
        <v>896</v>
      </c>
      <c r="I114" s="11" t="s">
        <v>897</v>
      </c>
      <c r="J114" s="11" t="s">
        <v>898</v>
      </c>
      <c r="K114" s="11" t="s">
        <v>899</v>
      </c>
      <c r="L114" s="5" t="s">
        <v>23</v>
      </c>
      <c r="M114" s="5" t="s">
        <v>900</v>
      </c>
      <c r="N114" s="5" t="s">
        <v>172</v>
      </c>
      <c r="O114" s="5" t="s">
        <v>734</v>
      </c>
      <c r="P114" s="5" t="s">
        <v>182</v>
      </c>
      <c r="Q114" s="12"/>
    </row>
    <row r="115" ht="22.5" customHeight="1">
      <c r="A115" s="10">
        <v>260114.0</v>
      </c>
      <c r="B115" s="4">
        <v>46028.72968936343</v>
      </c>
      <c r="C115" s="5" t="s">
        <v>901</v>
      </c>
      <c r="D115" s="5" t="s">
        <v>684</v>
      </c>
      <c r="E115" s="5" t="s">
        <v>901</v>
      </c>
      <c r="F115" s="5" t="s">
        <v>64</v>
      </c>
      <c r="G115" s="11" t="s">
        <v>902</v>
      </c>
      <c r="H115" s="11" t="s">
        <v>903</v>
      </c>
      <c r="I115" s="11" t="s">
        <v>904</v>
      </c>
      <c r="J115" s="11" t="s">
        <v>905</v>
      </c>
      <c r="K115" s="11" t="s">
        <v>906</v>
      </c>
      <c r="L115" s="5" t="s">
        <v>30</v>
      </c>
      <c r="M115" s="5" t="s">
        <v>907</v>
      </c>
      <c r="N115" s="5" t="s">
        <v>61</v>
      </c>
      <c r="O115" s="5" t="s">
        <v>51</v>
      </c>
      <c r="P115" s="5" t="s">
        <v>52</v>
      </c>
      <c r="Q115" s="12"/>
    </row>
    <row r="116" ht="22.5" customHeight="1">
      <c r="A116" s="10">
        <v>260115.0</v>
      </c>
      <c r="B116" s="4">
        <v>46028.76274229167</v>
      </c>
      <c r="C116" s="5" t="s">
        <v>387</v>
      </c>
      <c r="D116" s="5" t="s">
        <v>908</v>
      </c>
      <c r="E116" s="5" t="s">
        <v>387</v>
      </c>
      <c r="F116" s="5" t="s">
        <v>17</v>
      </c>
      <c r="G116" s="11" t="s">
        <v>909</v>
      </c>
      <c r="H116" s="11" t="s">
        <v>910</v>
      </c>
      <c r="I116" s="11" t="s">
        <v>911</v>
      </c>
      <c r="J116" s="11" t="s">
        <v>912</v>
      </c>
      <c r="K116" s="11" t="s">
        <v>913</v>
      </c>
      <c r="L116" s="5" t="s">
        <v>30</v>
      </c>
      <c r="M116" s="5" t="s">
        <v>914</v>
      </c>
      <c r="N116" s="5" t="s">
        <v>456</v>
      </c>
      <c r="O116" s="5" t="s">
        <v>51</v>
      </c>
      <c r="P116" s="5" t="s">
        <v>52</v>
      </c>
      <c r="Q116" s="12"/>
    </row>
    <row r="117" ht="22.5" customHeight="1">
      <c r="A117" s="10">
        <v>260116.0</v>
      </c>
      <c r="B117" s="4">
        <v>46028.80783651621</v>
      </c>
      <c r="C117" s="5" t="s">
        <v>915</v>
      </c>
      <c r="D117" s="5" t="s">
        <v>916</v>
      </c>
      <c r="E117" s="5" t="s">
        <v>915</v>
      </c>
      <c r="F117" s="5" t="s">
        <v>64</v>
      </c>
      <c r="G117" s="11" t="s">
        <v>917</v>
      </c>
      <c r="H117" s="13" t="s">
        <v>918</v>
      </c>
      <c r="I117" s="11" t="s">
        <v>919</v>
      </c>
      <c r="J117" s="11" t="s">
        <v>920</v>
      </c>
      <c r="K117" s="11" t="s">
        <v>921</v>
      </c>
      <c r="L117" s="5" t="s">
        <v>30</v>
      </c>
      <c r="M117" s="5" t="s">
        <v>922</v>
      </c>
      <c r="N117" s="5" t="s">
        <v>31</v>
      </c>
      <c r="O117" s="5" t="s">
        <v>51</v>
      </c>
      <c r="P117" s="5" t="s">
        <v>52</v>
      </c>
      <c r="Q117" s="12"/>
    </row>
    <row r="118" ht="22.5" customHeight="1">
      <c r="A118" s="10">
        <v>260117.0</v>
      </c>
      <c r="B118" s="4">
        <v>46028.81122721065</v>
      </c>
      <c r="C118" s="5" t="s">
        <v>703</v>
      </c>
      <c r="D118" s="5" t="s">
        <v>704</v>
      </c>
      <c r="E118" s="5" t="s">
        <v>703</v>
      </c>
      <c r="F118" s="5" t="s">
        <v>64</v>
      </c>
      <c r="G118" s="11" t="s">
        <v>923</v>
      </c>
      <c r="H118" s="13" t="s">
        <v>924</v>
      </c>
      <c r="I118" s="11" t="s">
        <v>919</v>
      </c>
      <c r="J118" s="11" t="s">
        <v>921</v>
      </c>
      <c r="K118" s="11" t="s">
        <v>925</v>
      </c>
      <c r="L118" s="5" t="s">
        <v>30</v>
      </c>
      <c r="M118" s="5" t="s">
        <v>926</v>
      </c>
      <c r="N118" s="5" t="s">
        <v>71</v>
      </c>
      <c r="O118" s="5" t="s">
        <v>51</v>
      </c>
      <c r="P118" s="5" t="s">
        <v>52</v>
      </c>
      <c r="Q118" s="12"/>
    </row>
    <row r="119" ht="22.5" customHeight="1">
      <c r="A119" s="10">
        <v>260118.0</v>
      </c>
      <c r="B119" s="4">
        <v>46028.84384105324</v>
      </c>
      <c r="C119" s="5" t="s">
        <v>927</v>
      </c>
      <c r="D119" s="5" t="s">
        <v>928</v>
      </c>
      <c r="E119" s="5" t="s">
        <v>927</v>
      </c>
      <c r="F119" s="5" t="s">
        <v>64</v>
      </c>
      <c r="G119" s="11" t="s">
        <v>929</v>
      </c>
      <c r="H119" s="11" t="s">
        <v>930</v>
      </c>
      <c r="I119" s="11" t="s">
        <v>931</v>
      </c>
      <c r="J119" s="11" t="s">
        <v>932</v>
      </c>
      <c r="K119" s="11" t="s">
        <v>933</v>
      </c>
      <c r="L119" s="5" t="s">
        <v>30</v>
      </c>
      <c r="M119" s="5" t="s">
        <v>934</v>
      </c>
      <c r="N119" s="5" t="s">
        <v>119</v>
      </c>
      <c r="O119" s="5" t="s">
        <v>51</v>
      </c>
      <c r="P119" s="5" t="s">
        <v>52</v>
      </c>
      <c r="Q119" s="12"/>
    </row>
    <row r="120" ht="22.5" customHeight="1">
      <c r="A120" s="10">
        <v>260119.0</v>
      </c>
      <c r="B120" s="4">
        <v>46028.84881196759</v>
      </c>
      <c r="C120" s="5" t="s">
        <v>927</v>
      </c>
      <c r="D120" s="5" t="s">
        <v>928</v>
      </c>
      <c r="E120" s="5" t="s">
        <v>927</v>
      </c>
      <c r="F120" s="5" t="s">
        <v>64</v>
      </c>
      <c r="G120" s="11" t="s">
        <v>935</v>
      </c>
      <c r="H120" s="11" t="s">
        <v>936</v>
      </c>
      <c r="I120" s="11" t="s">
        <v>937</v>
      </c>
      <c r="J120" s="11" t="s">
        <v>938</v>
      </c>
      <c r="K120" s="11" t="s">
        <v>274</v>
      </c>
      <c r="L120" s="5" t="s">
        <v>30</v>
      </c>
      <c r="M120" s="5" t="s">
        <v>934</v>
      </c>
      <c r="N120" s="5" t="s">
        <v>119</v>
      </c>
      <c r="O120" s="5" t="s">
        <v>51</v>
      </c>
      <c r="P120" s="5" t="s">
        <v>52</v>
      </c>
      <c r="Q120" s="12"/>
    </row>
    <row r="121" ht="22.5" customHeight="1">
      <c r="A121" s="10">
        <v>260120.0</v>
      </c>
      <c r="B121" s="4">
        <v>46028.89950480324</v>
      </c>
      <c r="C121" s="5" t="s">
        <v>939</v>
      </c>
      <c r="D121" s="5" t="s">
        <v>940</v>
      </c>
      <c r="E121" s="5" t="s">
        <v>939</v>
      </c>
      <c r="F121" s="5" t="s">
        <v>17</v>
      </c>
      <c r="G121" s="11" t="s">
        <v>941</v>
      </c>
      <c r="H121" s="13" t="s">
        <v>942</v>
      </c>
      <c r="I121" s="11" t="s">
        <v>943</v>
      </c>
      <c r="J121" s="11" t="s">
        <v>944</v>
      </c>
      <c r="K121" s="11" t="s">
        <v>945</v>
      </c>
      <c r="L121" s="5" t="s">
        <v>162</v>
      </c>
      <c r="M121" s="5" t="s">
        <v>946</v>
      </c>
      <c r="N121" s="5" t="s">
        <v>25</v>
      </c>
      <c r="O121" s="5" t="s">
        <v>947</v>
      </c>
      <c r="P121" s="5" t="s">
        <v>948</v>
      </c>
      <c r="Q121" s="12"/>
    </row>
    <row r="122" ht="22.5" customHeight="1">
      <c r="A122" s="10">
        <v>260121.0</v>
      </c>
      <c r="B122" s="4">
        <v>46028.98494490741</v>
      </c>
      <c r="C122" s="5" t="s">
        <v>949</v>
      </c>
      <c r="D122" s="5" t="s">
        <v>950</v>
      </c>
      <c r="E122" s="5" t="s">
        <v>949</v>
      </c>
      <c r="F122" s="5" t="s">
        <v>17</v>
      </c>
      <c r="G122" s="11" t="s">
        <v>951</v>
      </c>
      <c r="H122" s="13" t="s">
        <v>952</v>
      </c>
      <c r="I122" s="11" t="s">
        <v>953</v>
      </c>
      <c r="J122" s="11" t="s">
        <v>954</v>
      </c>
      <c r="K122" s="11" t="s">
        <v>955</v>
      </c>
      <c r="L122" s="5" t="s">
        <v>162</v>
      </c>
      <c r="M122" s="5" t="s">
        <v>956</v>
      </c>
      <c r="N122" s="5" t="s">
        <v>61</v>
      </c>
      <c r="O122" s="5" t="s">
        <v>181</v>
      </c>
      <c r="P122" s="5" t="s">
        <v>957</v>
      </c>
      <c r="Q122" s="12"/>
    </row>
    <row r="123" ht="22.5" customHeight="1">
      <c r="A123" s="10">
        <v>260122.0</v>
      </c>
      <c r="B123" s="4">
        <v>46029.760711689814</v>
      </c>
      <c r="C123" s="5" t="s">
        <v>927</v>
      </c>
      <c r="D123" s="5" t="s">
        <v>928</v>
      </c>
      <c r="E123" s="5" t="s">
        <v>927</v>
      </c>
      <c r="F123" s="5" t="s">
        <v>64</v>
      </c>
      <c r="G123" s="11" t="s">
        <v>958</v>
      </c>
      <c r="H123" s="11" t="s">
        <v>959</v>
      </c>
      <c r="I123" s="11" t="s">
        <v>960</v>
      </c>
      <c r="J123" s="11" t="s">
        <v>178</v>
      </c>
      <c r="K123" s="11" t="s">
        <v>961</v>
      </c>
      <c r="L123" s="5" t="s">
        <v>30</v>
      </c>
      <c r="M123" s="5" t="s">
        <v>934</v>
      </c>
      <c r="N123" s="5" t="s">
        <v>119</v>
      </c>
      <c r="O123" s="5" t="s">
        <v>51</v>
      </c>
      <c r="P123" s="5" t="s">
        <v>52</v>
      </c>
      <c r="Q123" s="12"/>
    </row>
    <row r="124" ht="22.5" customHeight="1">
      <c r="A124" s="10">
        <v>260123.0</v>
      </c>
      <c r="B124" s="4">
        <v>46029.90589017361</v>
      </c>
      <c r="C124" s="5" t="s">
        <v>962</v>
      </c>
      <c r="D124" s="5" t="s">
        <v>963</v>
      </c>
      <c r="E124" s="5" t="s">
        <v>964</v>
      </c>
      <c r="F124" s="5" t="s">
        <v>17</v>
      </c>
      <c r="G124" s="11" t="s">
        <v>965</v>
      </c>
      <c r="H124" s="11" t="s">
        <v>966</v>
      </c>
      <c r="I124" s="11" t="s">
        <v>967</v>
      </c>
      <c r="J124" s="11" t="s">
        <v>968</v>
      </c>
      <c r="K124" s="11" t="s">
        <v>969</v>
      </c>
      <c r="L124" s="5" t="s">
        <v>30</v>
      </c>
      <c r="M124" s="5" t="s">
        <v>970</v>
      </c>
      <c r="N124" s="5" t="s">
        <v>119</v>
      </c>
      <c r="O124" s="5" t="s">
        <v>971</v>
      </c>
      <c r="P124" s="5" t="s">
        <v>972</v>
      </c>
      <c r="Q124" s="12"/>
    </row>
    <row r="125" ht="22.5" customHeight="1">
      <c r="A125" s="10">
        <v>260124.0</v>
      </c>
      <c r="B125" s="4">
        <v>46029.90219987268</v>
      </c>
      <c r="C125" s="5" t="s">
        <v>973</v>
      </c>
      <c r="D125" s="5" t="s">
        <v>974</v>
      </c>
      <c r="E125" s="5" t="s">
        <v>973</v>
      </c>
      <c r="F125" s="5" t="s">
        <v>17</v>
      </c>
      <c r="G125" s="11" t="s">
        <v>975</v>
      </c>
      <c r="H125" s="11" t="s">
        <v>976</v>
      </c>
      <c r="I125" s="11" t="s">
        <v>977</v>
      </c>
      <c r="J125" s="11" t="s">
        <v>978</v>
      </c>
      <c r="K125" s="11" t="s">
        <v>979</v>
      </c>
      <c r="L125" s="5" t="s">
        <v>30</v>
      </c>
      <c r="M125" s="5" t="s">
        <v>81</v>
      </c>
      <c r="N125" s="5" t="s">
        <v>119</v>
      </c>
      <c r="O125" s="5" t="s">
        <v>51</v>
      </c>
      <c r="P125" s="5" t="s">
        <v>73</v>
      </c>
      <c r="Q125" s="12"/>
    </row>
    <row r="126" ht="22.5" customHeight="1">
      <c r="A126" s="10">
        <v>260125.0</v>
      </c>
      <c r="B126" s="4">
        <v>46032.67451736111</v>
      </c>
      <c r="C126" s="5" t="s">
        <v>980</v>
      </c>
      <c r="D126" s="5" t="s">
        <v>981</v>
      </c>
      <c r="E126" s="5" t="s">
        <v>982</v>
      </c>
      <c r="F126" s="5" t="s">
        <v>64</v>
      </c>
      <c r="G126" s="11" t="s">
        <v>983</v>
      </c>
      <c r="H126" s="11" t="s">
        <v>984</v>
      </c>
      <c r="I126" s="11" t="s">
        <v>985</v>
      </c>
      <c r="J126" s="11" t="s">
        <v>986</v>
      </c>
      <c r="K126" s="11" t="s">
        <v>987</v>
      </c>
      <c r="L126" s="5" t="s">
        <v>30</v>
      </c>
      <c r="M126" s="5" t="s">
        <v>988</v>
      </c>
      <c r="N126" s="5" t="s">
        <v>119</v>
      </c>
      <c r="O126" s="5" t="s">
        <v>72</v>
      </c>
      <c r="P126" s="5" t="s">
        <v>73</v>
      </c>
      <c r="Q126" s="12"/>
    </row>
    <row r="127" ht="22.5" customHeight="1">
      <c r="A127" s="10">
        <v>260126.0</v>
      </c>
      <c r="B127" s="4">
        <v>46030.2501334838</v>
      </c>
      <c r="C127" s="5" t="s">
        <v>989</v>
      </c>
      <c r="D127" s="5" t="s">
        <v>990</v>
      </c>
      <c r="E127" s="5" t="s">
        <v>991</v>
      </c>
      <c r="F127" s="5" t="s">
        <v>17</v>
      </c>
      <c r="G127" s="11" t="s">
        <v>992</v>
      </c>
      <c r="H127" s="11" t="s">
        <v>993</v>
      </c>
      <c r="I127" s="11" t="s">
        <v>994</v>
      </c>
      <c r="J127" s="11" t="s">
        <v>995</v>
      </c>
      <c r="K127" s="11" t="s">
        <v>996</v>
      </c>
      <c r="L127" s="5" t="s">
        <v>30</v>
      </c>
      <c r="M127" s="5" t="s">
        <v>997</v>
      </c>
      <c r="N127" s="5" t="s">
        <v>25</v>
      </c>
      <c r="O127" s="5" t="s">
        <v>51</v>
      </c>
      <c r="P127" s="5" t="s">
        <v>73</v>
      </c>
      <c r="Q127" s="12"/>
    </row>
    <row r="128" ht="22.5" customHeight="1">
      <c r="A128" s="10">
        <v>260127.0</v>
      </c>
      <c r="B128" s="4">
        <v>46030.80529700231</v>
      </c>
      <c r="C128" s="5" t="s">
        <v>998</v>
      </c>
      <c r="D128" s="5" t="s">
        <v>999</v>
      </c>
      <c r="E128" s="5" t="s">
        <v>998</v>
      </c>
      <c r="F128" s="5" t="s">
        <v>64</v>
      </c>
      <c r="G128" s="11" t="s">
        <v>1000</v>
      </c>
      <c r="H128" s="11" t="s">
        <v>1001</v>
      </c>
      <c r="I128" s="11" t="s">
        <v>1002</v>
      </c>
      <c r="J128" s="11" t="s">
        <v>1003</v>
      </c>
      <c r="K128" s="11" t="s">
        <v>1004</v>
      </c>
      <c r="L128" s="5" t="s">
        <v>30</v>
      </c>
      <c r="M128" s="5" t="s">
        <v>1005</v>
      </c>
      <c r="N128" s="5" t="s">
        <v>71</v>
      </c>
      <c r="O128" s="5" t="s">
        <v>51</v>
      </c>
      <c r="P128" s="5" t="s">
        <v>52</v>
      </c>
      <c r="Q128" s="12"/>
    </row>
    <row r="129" ht="22.5" customHeight="1">
      <c r="A129" s="10">
        <v>260128.0</v>
      </c>
      <c r="B129" s="4">
        <v>46030.8079758449</v>
      </c>
      <c r="C129" s="5" t="s">
        <v>998</v>
      </c>
      <c r="D129" s="5" t="s">
        <v>999</v>
      </c>
      <c r="E129" s="5" t="s">
        <v>998</v>
      </c>
      <c r="F129" s="5" t="s">
        <v>64</v>
      </c>
      <c r="G129" s="11" t="s">
        <v>1006</v>
      </c>
      <c r="H129" s="11" t="s">
        <v>1007</v>
      </c>
      <c r="I129" s="11" t="s">
        <v>1008</v>
      </c>
      <c r="J129" s="11" t="s">
        <v>1009</v>
      </c>
      <c r="K129" s="11" t="s">
        <v>1010</v>
      </c>
      <c r="L129" s="5" t="s">
        <v>30</v>
      </c>
      <c r="M129" s="5" t="s">
        <v>934</v>
      </c>
      <c r="N129" s="5" t="s">
        <v>71</v>
      </c>
      <c r="O129" s="5" t="s">
        <v>51</v>
      </c>
      <c r="P129" s="5" t="s">
        <v>52</v>
      </c>
      <c r="Q129" s="12"/>
    </row>
    <row r="130" ht="22.5" customHeight="1">
      <c r="A130" s="10">
        <v>260129.0</v>
      </c>
      <c r="B130" s="4">
        <v>46030.86436047454</v>
      </c>
      <c r="C130" s="5" t="s">
        <v>1011</v>
      </c>
      <c r="D130" s="5" t="s">
        <v>1012</v>
      </c>
      <c r="E130" s="5" t="s">
        <v>1011</v>
      </c>
      <c r="F130" s="5" t="s">
        <v>17</v>
      </c>
      <c r="G130" s="11" t="s">
        <v>1013</v>
      </c>
      <c r="H130" s="11" t="s">
        <v>1014</v>
      </c>
      <c r="I130" s="11" t="s">
        <v>1015</v>
      </c>
      <c r="J130" s="11" t="s">
        <v>1016</v>
      </c>
      <c r="K130" s="11" t="s">
        <v>1017</v>
      </c>
      <c r="L130" s="5" t="s">
        <v>30</v>
      </c>
      <c r="M130" s="5" t="s">
        <v>1018</v>
      </c>
      <c r="N130" s="5" t="s">
        <v>119</v>
      </c>
      <c r="O130" s="5" t="s">
        <v>1019</v>
      </c>
      <c r="P130" s="5" t="s">
        <v>1020</v>
      </c>
      <c r="Q130" s="12"/>
    </row>
    <row r="131" ht="22.5" customHeight="1">
      <c r="A131" s="10">
        <v>260130.0</v>
      </c>
      <c r="B131" s="4">
        <v>46030.967444548616</v>
      </c>
      <c r="C131" s="5" t="s">
        <v>1021</v>
      </c>
      <c r="D131" s="5" t="s">
        <v>1022</v>
      </c>
      <c r="E131" s="5" t="s">
        <v>1021</v>
      </c>
      <c r="F131" s="5" t="s">
        <v>17</v>
      </c>
      <c r="G131" s="11" t="s">
        <v>1023</v>
      </c>
      <c r="H131" s="11" t="s">
        <v>1024</v>
      </c>
      <c r="I131" s="11" t="s">
        <v>1025</v>
      </c>
      <c r="J131" s="11" t="s">
        <v>1026</v>
      </c>
      <c r="K131" s="11" t="s">
        <v>1027</v>
      </c>
      <c r="L131" s="5" t="s">
        <v>23</v>
      </c>
      <c r="M131" s="5" t="s">
        <v>445</v>
      </c>
      <c r="N131" s="5" t="s">
        <v>119</v>
      </c>
      <c r="O131" s="5" t="s">
        <v>51</v>
      </c>
      <c r="P131" s="5" t="s">
        <v>1028</v>
      </c>
      <c r="Q131" s="12"/>
    </row>
    <row r="132" ht="22.5" customHeight="1">
      <c r="A132" s="10">
        <v>260131.0</v>
      </c>
      <c r="B132" s="4">
        <v>46031.41039965278</v>
      </c>
      <c r="C132" s="5" t="s">
        <v>1029</v>
      </c>
      <c r="D132" s="5" t="s">
        <v>1030</v>
      </c>
      <c r="E132" s="5" t="s">
        <v>1029</v>
      </c>
      <c r="F132" s="5" t="s">
        <v>17</v>
      </c>
      <c r="G132" s="11" t="s">
        <v>1031</v>
      </c>
      <c r="H132" s="11" t="s">
        <v>1032</v>
      </c>
      <c r="I132" s="11" t="s">
        <v>1033</v>
      </c>
      <c r="J132" s="11" t="s">
        <v>1034</v>
      </c>
      <c r="K132" s="11" t="s">
        <v>1035</v>
      </c>
      <c r="L132" s="5" t="s">
        <v>30</v>
      </c>
      <c r="M132" s="5" t="s">
        <v>1036</v>
      </c>
      <c r="N132" s="5" t="s">
        <v>1037</v>
      </c>
      <c r="O132" s="5" t="s">
        <v>51</v>
      </c>
      <c r="P132" s="5" t="s">
        <v>446</v>
      </c>
      <c r="Q132" s="12"/>
    </row>
    <row r="133" ht="22.5" customHeight="1">
      <c r="A133" s="10">
        <v>260132.0</v>
      </c>
      <c r="B133" s="4">
        <v>46031.809903437505</v>
      </c>
      <c r="C133" s="5" t="s">
        <v>1038</v>
      </c>
      <c r="D133" s="5" t="s">
        <v>1039</v>
      </c>
      <c r="E133" s="5" t="s">
        <v>1038</v>
      </c>
      <c r="F133" s="5" t="s">
        <v>17</v>
      </c>
      <c r="G133" s="11" t="s">
        <v>1040</v>
      </c>
      <c r="H133" s="13" t="s">
        <v>1041</v>
      </c>
      <c r="I133" s="11" t="s">
        <v>1042</v>
      </c>
      <c r="J133" s="11" t="s">
        <v>1043</v>
      </c>
      <c r="K133" s="11" t="s">
        <v>1044</v>
      </c>
      <c r="L133" s="5" t="s">
        <v>162</v>
      </c>
      <c r="M133" s="5" t="s">
        <v>1045</v>
      </c>
      <c r="N133" s="5" t="s">
        <v>61</v>
      </c>
      <c r="O133" s="5" t="s">
        <v>267</v>
      </c>
      <c r="P133" s="5" t="s">
        <v>267</v>
      </c>
      <c r="Q133" s="12"/>
    </row>
    <row r="134" ht="22.5" customHeight="1">
      <c r="A134" s="10">
        <v>260133.0</v>
      </c>
      <c r="B134" s="4">
        <v>46031.814995023145</v>
      </c>
      <c r="C134" s="5" t="s">
        <v>1046</v>
      </c>
      <c r="D134" s="5" t="s">
        <v>1047</v>
      </c>
      <c r="E134" s="5" t="s">
        <v>1046</v>
      </c>
      <c r="F134" s="5" t="s">
        <v>64</v>
      </c>
      <c r="G134" s="11" t="s">
        <v>1048</v>
      </c>
      <c r="H134" s="11" t="s">
        <v>1049</v>
      </c>
      <c r="I134" s="11" t="s">
        <v>384</v>
      </c>
      <c r="J134" s="11" t="s">
        <v>1050</v>
      </c>
      <c r="K134" s="11" t="s">
        <v>1051</v>
      </c>
      <c r="L134" s="5" t="s">
        <v>23</v>
      </c>
      <c r="M134" s="5" t="s">
        <v>1052</v>
      </c>
      <c r="N134" s="5" t="s">
        <v>456</v>
      </c>
      <c r="O134" s="5" t="s">
        <v>1053</v>
      </c>
      <c r="P134" s="5" t="s">
        <v>1053</v>
      </c>
      <c r="Q134" s="12"/>
    </row>
    <row r="135" ht="22.5" customHeight="1">
      <c r="A135" s="10">
        <v>260134.0</v>
      </c>
      <c r="B135" s="4">
        <v>46031.869181030095</v>
      </c>
      <c r="C135" s="5" t="s">
        <v>1054</v>
      </c>
      <c r="D135" s="5" t="s">
        <v>1055</v>
      </c>
      <c r="E135" s="5" t="s">
        <v>1054</v>
      </c>
      <c r="F135" s="5" t="s">
        <v>17</v>
      </c>
      <c r="G135" s="11" t="s">
        <v>1056</v>
      </c>
      <c r="H135" s="11" t="s">
        <v>1057</v>
      </c>
      <c r="I135" s="11" t="s">
        <v>1058</v>
      </c>
      <c r="J135" s="11" t="s">
        <v>1059</v>
      </c>
      <c r="K135" s="11" t="s">
        <v>1060</v>
      </c>
      <c r="L135" s="5" t="s">
        <v>23</v>
      </c>
      <c r="M135" s="5" t="s">
        <v>1061</v>
      </c>
      <c r="N135" s="5" t="s">
        <v>71</v>
      </c>
      <c r="O135" s="5" t="s">
        <v>181</v>
      </c>
      <c r="P135" s="5" t="s">
        <v>660</v>
      </c>
      <c r="Q135" s="12"/>
    </row>
    <row r="136" ht="22.5" customHeight="1">
      <c r="A136" s="10">
        <v>260135.0</v>
      </c>
      <c r="B136" s="4">
        <v>46031.951022002315</v>
      </c>
      <c r="C136" s="5" t="s">
        <v>1062</v>
      </c>
      <c r="D136" s="5" t="s">
        <v>1063</v>
      </c>
      <c r="E136" s="5" t="s">
        <v>1062</v>
      </c>
      <c r="F136" s="5" t="s">
        <v>64</v>
      </c>
      <c r="G136" s="11" t="s">
        <v>1064</v>
      </c>
      <c r="H136" s="13" t="s">
        <v>1065</v>
      </c>
      <c r="I136" s="11" t="s">
        <v>1066</v>
      </c>
      <c r="J136" s="11" t="s">
        <v>51</v>
      </c>
      <c r="K136" s="11" t="s">
        <v>1067</v>
      </c>
      <c r="L136" s="5" t="s">
        <v>162</v>
      </c>
      <c r="M136" s="5" t="s">
        <v>1068</v>
      </c>
      <c r="N136" s="5" t="s">
        <v>25</v>
      </c>
      <c r="O136" s="5" t="s">
        <v>1069</v>
      </c>
      <c r="P136" s="5" t="s">
        <v>1070</v>
      </c>
      <c r="Q136" s="12"/>
    </row>
    <row r="137" ht="22.5" customHeight="1">
      <c r="A137" s="10">
        <v>260136.0</v>
      </c>
      <c r="B137" s="4">
        <v>46032.17244997685</v>
      </c>
      <c r="C137" s="5" t="s">
        <v>508</v>
      </c>
      <c r="D137" s="5" t="s">
        <v>1071</v>
      </c>
      <c r="E137" s="5" t="s">
        <v>508</v>
      </c>
      <c r="F137" s="5" t="s">
        <v>17</v>
      </c>
      <c r="G137" s="11" t="s">
        <v>510</v>
      </c>
      <c r="H137" s="11" t="s">
        <v>1072</v>
      </c>
      <c r="I137" s="11" t="s">
        <v>512</v>
      </c>
      <c r="J137" s="11" t="s">
        <v>1073</v>
      </c>
      <c r="K137" s="11" t="s">
        <v>1074</v>
      </c>
      <c r="L137" s="5" t="s">
        <v>30</v>
      </c>
      <c r="M137" s="5" t="s">
        <v>1075</v>
      </c>
      <c r="N137" s="5" t="s">
        <v>119</v>
      </c>
      <c r="O137" s="5" t="s">
        <v>51</v>
      </c>
      <c r="P137" s="5" t="s">
        <v>52</v>
      </c>
      <c r="Q137" s="12"/>
    </row>
    <row r="138" ht="22.5" customHeight="1">
      <c r="A138" s="10">
        <v>260137.0</v>
      </c>
      <c r="B138" s="4">
        <v>46032.187756168976</v>
      </c>
      <c r="C138" s="5" t="s">
        <v>1076</v>
      </c>
      <c r="D138" s="5" t="s">
        <v>1077</v>
      </c>
      <c r="E138" s="5" t="s">
        <v>1076</v>
      </c>
      <c r="F138" s="5" t="s">
        <v>17</v>
      </c>
      <c r="G138" s="11" t="s">
        <v>1078</v>
      </c>
      <c r="H138" s="11" t="s">
        <v>1079</v>
      </c>
      <c r="I138" s="11" t="s">
        <v>1080</v>
      </c>
      <c r="J138" s="11" t="s">
        <v>21</v>
      </c>
      <c r="K138" s="11" t="s">
        <v>607</v>
      </c>
      <c r="L138" s="5" t="s">
        <v>23</v>
      </c>
      <c r="M138" s="5" t="s">
        <v>1081</v>
      </c>
      <c r="N138" s="5" t="s">
        <v>61</v>
      </c>
      <c r="O138" s="5" t="s">
        <v>1019</v>
      </c>
      <c r="P138" s="5" t="s">
        <v>1020</v>
      </c>
      <c r="Q138" s="12"/>
    </row>
    <row r="139" ht="22.5" customHeight="1">
      <c r="A139" s="10">
        <v>260138.0</v>
      </c>
      <c r="B139" s="4">
        <v>46032.21051979167</v>
      </c>
      <c r="C139" s="5" t="s">
        <v>1082</v>
      </c>
      <c r="D139" s="5" t="s">
        <v>1083</v>
      </c>
      <c r="E139" s="5" t="s">
        <v>1082</v>
      </c>
      <c r="F139" s="5" t="s">
        <v>17</v>
      </c>
      <c r="G139" s="11" t="s">
        <v>1084</v>
      </c>
      <c r="H139" s="11" t="s">
        <v>1085</v>
      </c>
      <c r="I139" s="11" t="s">
        <v>38</v>
      </c>
      <c r="J139" s="11" t="s">
        <v>1086</v>
      </c>
      <c r="K139" s="11" t="s">
        <v>1087</v>
      </c>
      <c r="L139" s="5" t="s">
        <v>162</v>
      </c>
      <c r="M139" s="5" t="s">
        <v>1088</v>
      </c>
      <c r="N139" s="5" t="s">
        <v>119</v>
      </c>
      <c r="O139" s="5" t="s">
        <v>40</v>
      </c>
      <c r="P139" s="5" t="s">
        <v>40</v>
      </c>
      <c r="Q139" s="12"/>
    </row>
    <row r="140" ht="22.5" customHeight="1">
      <c r="A140" s="10">
        <v>260139.0</v>
      </c>
      <c r="B140" s="4">
        <v>46032.212561168984</v>
      </c>
      <c r="C140" s="5" t="s">
        <v>1089</v>
      </c>
      <c r="D140" s="5" t="s">
        <v>1090</v>
      </c>
      <c r="E140" s="5" t="s">
        <v>1089</v>
      </c>
      <c r="F140" s="5" t="s">
        <v>17</v>
      </c>
      <c r="G140" s="11" t="s">
        <v>1091</v>
      </c>
      <c r="H140" s="11" t="s">
        <v>1092</v>
      </c>
      <c r="I140" s="11" t="s">
        <v>1093</v>
      </c>
      <c r="J140" s="11" t="s">
        <v>1094</v>
      </c>
      <c r="K140" s="11" t="s">
        <v>1095</v>
      </c>
      <c r="L140" s="5" t="s">
        <v>30</v>
      </c>
      <c r="M140" s="5" t="s">
        <v>1096</v>
      </c>
      <c r="N140" s="5" t="s">
        <v>119</v>
      </c>
      <c r="O140" s="5" t="s">
        <v>51</v>
      </c>
      <c r="P140" s="5" t="s">
        <v>52</v>
      </c>
      <c r="Q140" s="12"/>
    </row>
    <row r="141" ht="22.5" customHeight="1">
      <c r="A141" s="10">
        <v>260140.0</v>
      </c>
      <c r="B141" s="4">
        <v>46032.36972662037</v>
      </c>
      <c r="C141" s="5" t="s">
        <v>1097</v>
      </c>
      <c r="D141" s="5" t="s">
        <v>1098</v>
      </c>
      <c r="E141" s="5" t="s">
        <v>1097</v>
      </c>
      <c r="F141" s="5" t="s">
        <v>17</v>
      </c>
      <c r="G141" s="11" t="s">
        <v>1099</v>
      </c>
      <c r="H141" s="13" t="s">
        <v>1100</v>
      </c>
      <c r="I141" s="11" t="s">
        <v>1101</v>
      </c>
      <c r="J141" s="11" t="s">
        <v>1102</v>
      </c>
      <c r="K141" s="11" t="s">
        <v>1103</v>
      </c>
      <c r="L141" s="5" t="s">
        <v>30</v>
      </c>
      <c r="M141" s="5" t="s">
        <v>1045</v>
      </c>
      <c r="N141" s="5" t="s">
        <v>119</v>
      </c>
      <c r="O141" s="5" t="s">
        <v>267</v>
      </c>
      <c r="P141" s="5" t="s">
        <v>268</v>
      </c>
      <c r="Q141" s="12"/>
    </row>
    <row r="142" ht="22.5" customHeight="1">
      <c r="A142" s="10">
        <v>260141.0</v>
      </c>
      <c r="B142" s="4">
        <v>46032.79998239584</v>
      </c>
      <c r="C142" s="5" t="s">
        <v>1104</v>
      </c>
      <c r="D142" s="5" t="s">
        <v>1105</v>
      </c>
      <c r="E142" s="5" t="s">
        <v>1104</v>
      </c>
      <c r="F142" s="5" t="s">
        <v>17</v>
      </c>
      <c r="G142" s="11" t="s">
        <v>1106</v>
      </c>
      <c r="H142" s="11" t="s">
        <v>1107</v>
      </c>
      <c r="I142" s="11" t="s">
        <v>470</v>
      </c>
      <c r="J142" s="11" t="s">
        <v>21</v>
      </c>
      <c r="K142" s="11" t="s">
        <v>1108</v>
      </c>
      <c r="L142" s="5" t="s">
        <v>30</v>
      </c>
      <c r="M142" s="5" t="s">
        <v>1109</v>
      </c>
      <c r="N142" s="5" t="s">
        <v>61</v>
      </c>
      <c r="O142" s="5" t="s">
        <v>181</v>
      </c>
      <c r="P142" s="5" t="s">
        <v>660</v>
      </c>
      <c r="Q142" s="12"/>
    </row>
    <row r="143" ht="22.5" customHeight="1">
      <c r="A143" s="10">
        <v>260142.0</v>
      </c>
      <c r="B143" s="4">
        <v>46032.968326030095</v>
      </c>
      <c r="C143" s="5" t="s">
        <v>1110</v>
      </c>
      <c r="D143" s="5" t="s">
        <v>1111</v>
      </c>
      <c r="E143" s="5" t="s">
        <v>1110</v>
      </c>
      <c r="F143" s="5" t="s">
        <v>17</v>
      </c>
      <c r="G143" s="11" t="s">
        <v>1112</v>
      </c>
      <c r="H143" s="11" t="s">
        <v>1113</v>
      </c>
      <c r="I143" s="11" t="s">
        <v>142</v>
      </c>
      <c r="J143" s="11" t="s">
        <v>1114</v>
      </c>
      <c r="K143" s="11" t="s">
        <v>1115</v>
      </c>
      <c r="L143" s="5" t="s">
        <v>162</v>
      </c>
      <c r="M143" s="5" t="s">
        <v>1116</v>
      </c>
      <c r="N143" s="5" t="s">
        <v>119</v>
      </c>
      <c r="O143" s="5" t="s">
        <v>446</v>
      </c>
      <c r="P143" s="5" t="s">
        <v>1117</v>
      </c>
      <c r="Q143" s="12"/>
    </row>
    <row r="144" ht="22.5" customHeight="1">
      <c r="A144" s="10">
        <v>260143.0</v>
      </c>
      <c r="B144" s="4">
        <v>46033.06286907407</v>
      </c>
      <c r="C144" s="5" t="s">
        <v>1118</v>
      </c>
      <c r="D144" s="5" t="s">
        <v>1119</v>
      </c>
      <c r="E144" s="5" t="s">
        <v>1118</v>
      </c>
      <c r="F144" s="5" t="s">
        <v>17</v>
      </c>
      <c r="G144" s="11" t="s">
        <v>1120</v>
      </c>
      <c r="H144" s="11" t="s">
        <v>1121</v>
      </c>
      <c r="I144" s="11" t="s">
        <v>1122</v>
      </c>
      <c r="J144" s="11" t="s">
        <v>1123</v>
      </c>
      <c r="K144" s="11" t="s">
        <v>1124</v>
      </c>
      <c r="L144" s="5" t="s">
        <v>30</v>
      </c>
      <c r="M144" s="5" t="s">
        <v>1125</v>
      </c>
      <c r="N144" s="5" t="s">
        <v>164</v>
      </c>
      <c r="O144" s="5" t="s">
        <v>51</v>
      </c>
      <c r="P144" s="5" t="s">
        <v>73</v>
      </c>
      <c r="Q144" s="12"/>
    </row>
    <row r="145" ht="22.5" customHeight="1">
      <c r="A145" s="10">
        <v>260144.0</v>
      </c>
      <c r="B145" s="4">
        <v>46033.07515513889</v>
      </c>
      <c r="C145" s="5" t="s">
        <v>1126</v>
      </c>
      <c r="D145" s="5" t="s">
        <v>1127</v>
      </c>
      <c r="E145" s="5" t="s">
        <v>1126</v>
      </c>
      <c r="F145" s="5" t="s">
        <v>64</v>
      </c>
      <c r="G145" s="11" t="s">
        <v>1128</v>
      </c>
      <c r="H145" s="13" t="s">
        <v>1129</v>
      </c>
      <c r="I145" s="11" t="s">
        <v>274</v>
      </c>
      <c r="J145" s="11" t="s">
        <v>1130</v>
      </c>
      <c r="K145" s="11" t="s">
        <v>1131</v>
      </c>
      <c r="L145" s="5" t="s">
        <v>30</v>
      </c>
      <c r="M145" s="5" t="s">
        <v>1132</v>
      </c>
      <c r="N145" s="5" t="s">
        <v>71</v>
      </c>
      <c r="O145" s="5" t="s">
        <v>51</v>
      </c>
      <c r="P145" s="5" t="s">
        <v>52</v>
      </c>
      <c r="Q145" s="12"/>
    </row>
    <row r="146" ht="22.5" customHeight="1">
      <c r="A146" s="10">
        <v>260145.0</v>
      </c>
      <c r="B146" s="4">
        <v>46033.09540798611</v>
      </c>
      <c r="C146" s="5" t="s">
        <v>1133</v>
      </c>
      <c r="D146" s="5" t="s">
        <v>1134</v>
      </c>
      <c r="E146" s="5" t="s">
        <v>1133</v>
      </c>
      <c r="F146" s="5" t="s">
        <v>17</v>
      </c>
      <c r="G146" s="11" t="s">
        <v>1135</v>
      </c>
      <c r="H146" s="11" t="s">
        <v>1136</v>
      </c>
      <c r="I146" s="11" t="s">
        <v>1137</v>
      </c>
      <c r="J146" s="11" t="s">
        <v>1138</v>
      </c>
      <c r="K146" s="11" t="s">
        <v>1139</v>
      </c>
      <c r="L146" s="5" t="s">
        <v>23</v>
      </c>
      <c r="M146" s="5" t="s">
        <v>1140</v>
      </c>
      <c r="N146" s="5" t="s">
        <v>39</v>
      </c>
      <c r="O146" s="5" t="s">
        <v>592</v>
      </c>
      <c r="P146" s="5" t="s">
        <v>1141</v>
      </c>
      <c r="Q146" s="12"/>
    </row>
    <row r="147" ht="22.5" customHeight="1">
      <c r="A147" s="10">
        <v>260146.0</v>
      </c>
      <c r="B147" s="4">
        <v>46033.11466719907</v>
      </c>
      <c r="C147" s="5" t="s">
        <v>1142</v>
      </c>
      <c r="D147" s="5" t="s">
        <v>1143</v>
      </c>
      <c r="E147" s="5" t="s">
        <v>1142</v>
      </c>
      <c r="F147" s="5" t="s">
        <v>17</v>
      </c>
      <c r="G147" s="11" t="s">
        <v>1144</v>
      </c>
      <c r="H147" s="11" t="s">
        <v>1145</v>
      </c>
      <c r="I147" s="11" t="s">
        <v>1146</v>
      </c>
      <c r="J147" s="11" t="s">
        <v>1147</v>
      </c>
      <c r="K147" s="11" t="s">
        <v>1148</v>
      </c>
      <c r="L147" s="5" t="s">
        <v>162</v>
      </c>
      <c r="M147" s="5" t="s">
        <v>1116</v>
      </c>
      <c r="N147" s="5" t="s">
        <v>119</v>
      </c>
      <c r="O147" s="5" t="s">
        <v>833</v>
      </c>
      <c r="P147" s="5" t="s">
        <v>446</v>
      </c>
      <c r="Q147" s="12"/>
    </row>
    <row r="148" ht="22.5" customHeight="1">
      <c r="A148" s="10">
        <v>260147.0</v>
      </c>
      <c r="B148" s="4">
        <v>46033.14345667824</v>
      </c>
      <c r="C148" s="5" t="s">
        <v>1149</v>
      </c>
      <c r="D148" s="5" t="s">
        <v>1150</v>
      </c>
      <c r="E148" s="5" t="s">
        <v>1149</v>
      </c>
      <c r="F148" s="5" t="s">
        <v>17</v>
      </c>
      <c r="G148" s="11" t="s">
        <v>1151</v>
      </c>
      <c r="H148" s="11" t="s">
        <v>1152</v>
      </c>
      <c r="I148" s="11" t="s">
        <v>1153</v>
      </c>
      <c r="J148" s="11" t="s">
        <v>1154</v>
      </c>
      <c r="K148" s="11" t="s">
        <v>1155</v>
      </c>
      <c r="L148" s="5" t="s">
        <v>30</v>
      </c>
      <c r="M148" s="5" t="s">
        <v>1156</v>
      </c>
      <c r="N148" s="5" t="s">
        <v>71</v>
      </c>
      <c r="O148" s="5" t="s">
        <v>51</v>
      </c>
      <c r="P148" s="5" t="s">
        <v>52</v>
      </c>
      <c r="Q148" s="12"/>
    </row>
    <row r="149" ht="22.5" customHeight="1">
      <c r="A149" s="10">
        <v>260148.0</v>
      </c>
      <c r="B149" s="4">
        <v>46038.21836503472</v>
      </c>
      <c r="C149" s="5" t="s">
        <v>1157</v>
      </c>
      <c r="D149" s="5" t="s">
        <v>1158</v>
      </c>
      <c r="E149" s="5" t="s">
        <v>1157</v>
      </c>
      <c r="F149" s="5" t="s">
        <v>17</v>
      </c>
      <c r="G149" s="11" t="s">
        <v>1159</v>
      </c>
      <c r="H149" s="11" t="s">
        <v>1160</v>
      </c>
      <c r="I149" s="11" t="s">
        <v>1161</v>
      </c>
      <c r="J149" s="11" t="s">
        <v>1162</v>
      </c>
      <c r="K149" s="11" t="s">
        <v>1163</v>
      </c>
      <c r="L149" s="5" t="s">
        <v>162</v>
      </c>
      <c r="M149" s="5" t="s">
        <v>1164</v>
      </c>
      <c r="N149" s="5" t="s">
        <v>119</v>
      </c>
      <c r="O149" s="5" t="s">
        <v>200</v>
      </c>
      <c r="P149" s="5" t="s">
        <v>201</v>
      </c>
      <c r="Q149" s="12"/>
    </row>
    <row r="150" ht="22.5" customHeight="1">
      <c r="A150" s="10">
        <v>260149.0</v>
      </c>
      <c r="B150" s="4">
        <v>46033.739820092596</v>
      </c>
      <c r="C150" s="5" t="s">
        <v>1165</v>
      </c>
      <c r="D150" s="5" t="s">
        <v>1166</v>
      </c>
      <c r="E150" s="5" t="s">
        <v>1165</v>
      </c>
      <c r="F150" s="5" t="s">
        <v>17</v>
      </c>
      <c r="G150" s="11" t="s">
        <v>1167</v>
      </c>
      <c r="H150" s="13" t="s">
        <v>1168</v>
      </c>
      <c r="I150" s="11" t="s">
        <v>1169</v>
      </c>
      <c r="J150" s="11" t="s">
        <v>1170</v>
      </c>
      <c r="K150" s="11" t="s">
        <v>142</v>
      </c>
      <c r="L150" s="5" t="s">
        <v>162</v>
      </c>
      <c r="M150" s="5" t="s">
        <v>1171</v>
      </c>
      <c r="N150" s="5" t="s">
        <v>71</v>
      </c>
      <c r="O150" s="5" t="s">
        <v>734</v>
      </c>
      <c r="P150" s="5" t="s">
        <v>182</v>
      </c>
      <c r="Q150" s="12"/>
    </row>
    <row r="151" ht="22.5" customHeight="1">
      <c r="A151" s="14">
        <v>260150.0</v>
      </c>
      <c r="B151" s="4">
        <v>46033.98507614584</v>
      </c>
      <c r="C151" s="5" t="s">
        <v>1172</v>
      </c>
      <c r="D151" s="5" t="s">
        <v>1173</v>
      </c>
      <c r="E151" s="5" t="s">
        <v>1172</v>
      </c>
      <c r="F151" s="5" t="s">
        <v>17</v>
      </c>
      <c r="G151" s="13" t="s">
        <v>1174</v>
      </c>
      <c r="H151" s="13" t="s">
        <v>1175</v>
      </c>
      <c r="I151" s="11" t="s">
        <v>1176</v>
      </c>
      <c r="J151" s="11" t="s">
        <v>1177</v>
      </c>
      <c r="K151" s="11" t="s">
        <v>1178</v>
      </c>
      <c r="L151" s="5" t="s">
        <v>162</v>
      </c>
      <c r="M151" s="5" t="s">
        <v>1179</v>
      </c>
      <c r="N151" s="5" t="s">
        <v>61</v>
      </c>
      <c r="O151" s="5" t="s">
        <v>181</v>
      </c>
      <c r="P151" s="5" t="s">
        <v>268</v>
      </c>
      <c r="Q151" s="12"/>
    </row>
    <row r="152" ht="22.5" customHeight="1">
      <c r="A152" s="10">
        <v>260151.0</v>
      </c>
      <c r="B152" s="4">
        <v>46034.17789314815</v>
      </c>
      <c r="C152" s="5" t="s">
        <v>1180</v>
      </c>
      <c r="D152" s="5" t="s">
        <v>908</v>
      </c>
      <c r="E152" s="5" t="s">
        <v>1180</v>
      </c>
      <c r="F152" s="5" t="s">
        <v>131</v>
      </c>
      <c r="G152" s="11" t="s">
        <v>1181</v>
      </c>
      <c r="H152" s="11" t="s">
        <v>1182</v>
      </c>
      <c r="I152" s="11" t="s">
        <v>1183</v>
      </c>
      <c r="J152" s="11" t="s">
        <v>1184</v>
      </c>
      <c r="K152" s="11" t="s">
        <v>1185</v>
      </c>
      <c r="L152" s="5" t="s">
        <v>30</v>
      </c>
      <c r="M152" s="5" t="s">
        <v>1186</v>
      </c>
      <c r="N152" s="5" t="s">
        <v>456</v>
      </c>
      <c r="O152" s="5" t="s">
        <v>51</v>
      </c>
      <c r="P152" s="5" t="s">
        <v>52</v>
      </c>
      <c r="Q152" s="12"/>
    </row>
    <row r="153" ht="22.5" customHeight="1">
      <c r="A153" s="10">
        <v>260152.0</v>
      </c>
      <c r="B153" s="4">
        <v>46034.22170539352</v>
      </c>
      <c r="C153" s="5" t="s">
        <v>1187</v>
      </c>
      <c r="D153" s="5" t="s">
        <v>1188</v>
      </c>
      <c r="E153" s="5" t="s">
        <v>1187</v>
      </c>
      <c r="F153" s="5" t="s">
        <v>17</v>
      </c>
      <c r="G153" s="11" t="s">
        <v>1189</v>
      </c>
      <c r="H153" s="11" t="s">
        <v>1190</v>
      </c>
      <c r="I153" s="11" t="s">
        <v>1191</v>
      </c>
      <c r="J153" s="11" t="s">
        <v>1192</v>
      </c>
      <c r="K153" s="11" t="s">
        <v>1193</v>
      </c>
      <c r="L153" s="5" t="s">
        <v>23</v>
      </c>
      <c r="M153" s="5" t="s">
        <v>1194</v>
      </c>
      <c r="N153" s="5" t="s">
        <v>119</v>
      </c>
      <c r="O153" s="5" t="s">
        <v>1019</v>
      </c>
      <c r="P153" s="5" t="s">
        <v>1195</v>
      </c>
      <c r="Q153" s="12"/>
    </row>
    <row r="154" ht="22.5" customHeight="1">
      <c r="A154" s="10">
        <v>260153.0</v>
      </c>
      <c r="B154" s="4">
        <v>46034.70461796296</v>
      </c>
      <c r="C154" s="5" t="s">
        <v>1196</v>
      </c>
      <c r="D154" s="5" t="s">
        <v>1197</v>
      </c>
      <c r="E154" s="5" t="s">
        <v>1196</v>
      </c>
      <c r="F154" s="5" t="s">
        <v>17</v>
      </c>
      <c r="G154" s="11" t="s">
        <v>1198</v>
      </c>
      <c r="H154" s="13" t="s">
        <v>1199</v>
      </c>
      <c r="I154" s="11" t="s">
        <v>1200</v>
      </c>
      <c r="J154" s="11" t="s">
        <v>1201</v>
      </c>
      <c r="K154" s="11" t="s">
        <v>1202</v>
      </c>
      <c r="L154" s="5" t="s">
        <v>30</v>
      </c>
      <c r="M154" s="5" t="s">
        <v>1203</v>
      </c>
      <c r="N154" s="5" t="s">
        <v>119</v>
      </c>
      <c r="O154" s="5" t="s">
        <v>51</v>
      </c>
      <c r="P154" s="5" t="s">
        <v>51</v>
      </c>
      <c r="Q154" s="12"/>
    </row>
    <row r="155" ht="22.5" customHeight="1">
      <c r="A155" s="10">
        <v>260154.0</v>
      </c>
      <c r="B155" s="4">
        <v>46034.75097953704</v>
      </c>
      <c r="C155" s="5" t="s">
        <v>1204</v>
      </c>
      <c r="D155" s="5" t="s">
        <v>1205</v>
      </c>
      <c r="E155" s="5" t="s">
        <v>1204</v>
      </c>
      <c r="F155" s="5" t="s">
        <v>64</v>
      </c>
      <c r="G155" s="11" t="s">
        <v>1206</v>
      </c>
      <c r="H155" s="13" t="s">
        <v>1207</v>
      </c>
      <c r="I155" s="11" t="s">
        <v>1208</v>
      </c>
      <c r="J155" s="11" t="s">
        <v>1209</v>
      </c>
      <c r="K155" s="11" t="s">
        <v>1210</v>
      </c>
      <c r="L155" s="5" t="s">
        <v>30</v>
      </c>
      <c r="M155" s="5" t="s">
        <v>1211</v>
      </c>
      <c r="N155" s="5" t="s">
        <v>111</v>
      </c>
      <c r="O155" s="5" t="s">
        <v>51</v>
      </c>
      <c r="P155" s="5" t="s">
        <v>52</v>
      </c>
      <c r="Q155" s="12"/>
    </row>
    <row r="156" ht="22.5" customHeight="1">
      <c r="A156" s="10">
        <v>260155.0</v>
      </c>
      <c r="B156" s="4">
        <v>46034.80351798611</v>
      </c>
      <c r="C156" s="5" t="s">
        <v>1212</v>
      </c>
      <c r="D156" s="5" t="s">
        <v>1213</v>
      </c>
      <c r="E156" s="5" t="s">
        <v>1212</v>
      </c>
      <c r="F156" s="5" t="s">
        <v>17</v>
      </c>
      <c r="G156" s="11" t="s">
        <v>1214</v>
      </c>
      <c r="H156" s="13" t="s">
        <v>1215</v>
      </c>
      <c r="I156" s="11" t="s">
        <v>1216</v>
      </c>
      <c r="J156" s="11" t="s">
        <v>1217</v>
      </c>
      <c r="K156" s="11" t="s">
        <v>1218</v>
      </c>
      <c r="L156" s="5" t="s">
        <v>30</v>
      </c>
      <c r="M156" s="5" t="s">
        <v>1219</v>
      </c>
      <c r="N156" s="5" t="s">
        <v>61</v>
      </c>
      <c r="O156" s="5" t="s">
        <v>1220</v>
      </c>
      <c r="P156" s="5" t="s">
        <v>328</v>
      </c>
      <c r="Q156" s="12"/>
    </row>
    <row r="157" ht="22.5" customHeight="1">
      <c r="A157" s="10">
        <v>260156.0</v>
      </c>
      <c r="B157" s="4">
        <v>46034.85736166667</v>
      </c>
      <c r="C157" s="5" t="s">
        <v>1221</v>
      </c>
      <c r="D157" s="5" t="s">
        <v>1222</v>
      </c>
      <c r="E157" s="5" t="s">
        <v>1221</v>
      </c>
      <c r="F157" s="5" t="s">
        <v>17</v>
      </c>
      <c r="G157" s="11" t="s">
        <v>1223</v>
      </c>
      <c r="H157" s="11" t="s">
        <v>1224</v>
      </c>
      <c r="I157" s="11" t="s">
        <v>1225</v>
      </c>
      <c r="J157" s="11" t="s">
        <v>1226</v>
      </c>
      <c r="K157" s="11" t="s">
        <v>1227</v>
      </c>
      <c r="L157" s="5" t="s">
        <v>23</v>
      </c>
      <c r="M157" s="5" t="s">
        <v>1228</v>
      </c>
      <c r="N157" s="5" t="s">
        <v>61</v>
      </c>
      <c r="O157" s="5" t="s">
        <v>200</v>
      </c>
      <c r="P157" s="5" t="s">
        <v>26</v>
      </c>
      <c r="Q157" s="12"/>
    </row>
    <row r="158" ht="22.5" customHeight="1">
      <c r="A158" s="10">
        <v>260157.0</v>
      </c>
      <c r="B158" s="4">
        <v>46034.86142518518</v>
      </c>
      <c r="C158" s="5" t="s">
        <v>1229</v>
      </c>
      <c r="D158" s="5" t="s">
        <v>1230</v>
      </c>
      <c r="E158" s="5" t="s">
        <v>1229</v>
      </c>
      <c r="F158" s="5" t="s">
        <v>17</v>
      </c>
      <c r="G158" s="11" t="s">
        <v>1231</v>
      </c>
      <c r="H158" s="11" t="s">
        <v>1232</v>
      </c>
      <c r="I158" s="11" t="s">
        <v>1233</v>
      </c>
      <c r="J158" s="11" t="s">
        <v>1234</v>
      </c>
      <c r="K158" s="11" t="s">
        <v>1235</v>
      </c>
      <c r="L158" s="5" t="s">
        <v>30</v>
      </c>
      <c r="M158" s="5" t="s">
        <v>1236</v>
      </c>
      <c r="N158" s="5" t="s">
        <v>39</v>
      </c>
      <c r="O158" s="5" t="s">
        <v>1237</v>
      </c>
      <c r="P158" s="5" t="s">
        <v>1238</v>
      </c>
      <c r="Q158" s="12"/>
    </row>
    <row r="159" ht="22.5" customHeight="1">
      <c r="A159" s="10">
        <v>260158.0</v>
      </c>
      <c r="B159" s="4">
        <v>46034.941268553244</v>
      </c>
      <c r="C159" s="5" t="s">
        <v>1239</v>
      </c>
      <c r="D159" s="5" t="s">
        <v>1240</v>
      </c>
      <c r="E159" s="5" t="s">
        <v>1239</v>
      </c>
      <c r="F159" s="5" t="s">
        <v>131</v>
      </c>
      <c r="G159" s="11" t="s">
        <v>1241</v>
      </c>
      <c r="H159" s="11" t="s">
        <v>1242</v>
      </c>
      <c r="I159" s="11" t="s">
        <v>1243</v>
      </c>
      <c r="J159" s="11" t="s">
        <v>1244</v>
      </c>
      <c r="K159" s="11" t="s">
        <v>869</v>
      </c>
      <c r="L159" s="5" t="s">
        <v>30</v>
      </c>
      <c r="M159" s="5" t="s">
        <v>1245</v>
      </c>
      <c r="N159" s="5" t="s">
        <v>39</v>
      </c>
      <c r="O159" s="5" t="s">
        <v>51</v>
      </c>
      <c r="P159" s="5" t="s">
        <v>52</v>
      </c>
      <c r="Q159" s="12"/>
    </row>
    <row r="160" ht="22.5" customHeight="1">
      <c r="A160" s="10">
        <v>260159.0</v>
      </c>
      <c r="B160" s="4">
        <v>46034.97802268519</v>
      </c>
      <c r="C160" s="5" t="s">
        <v>1246</v>
      </c>
      <c r="D160" s="5" t="s">
        <v>1247</v>
      </c>
      <c r="E160" s="5" t="s">
        <v>1246</v>
      </c>
      <c r="F160" s="5" t="s">
        <v>64</v>
      </c>
      <c r="G160" s="11" t="s">
        <v>1248</v>
      </c>
      <c r="H160" s="11" t="s">
        <v>1249</v>
      </c>
      <c r="I160" s="11" t="s">
        <v>58</v>
      </c>
      <c r="J160" s="11" t="s">
        <v>1250</v>
      </c>
      <c r="K160" s="11" t="s">
        <v>1251</v>
      </c>
      <c r="L160" s="5" t="s">
        <v>23</v>
      </c>
      <c r="M160" s="5" t="s">
        <v>1252</v>
      </c>
      <c r="N160" s="5" t="s">
        <v>61</v>
      </c>
      <c r="O160" s="5" t="s">
        <v>200</v>
      </c>
      <c r="P160" s="5" t="s">
        <v>660</v>
      </c>
      <c r="Q160" s="12"/>
    </row>
    <row r="161" ht="22.5" customHeight="1">
      <c r="A161" s="10">
        <v>260160.0</v>
      </c>
      <c r="B161" s="4">
        <v>46035.12510488426</v>
      </c>
      <c r="C161" s="5" t="s">
        <v>1253</v>
      </c>
      <c r="D161" s="5" t="s">
        <v>1254</v>
      </c>
      <c r="E161" s="5" t="s">
        <v>1253</v>
      </c>
      <c r="F161" s="5" t="s">
        <v>17</v>
      </c>
      <c r="G161" s="11" t="s">
        <v>1255</v>
      </c>
      <c r="H161" s="13" t="s">
        <v>1256</v>
      </c>
      <c r="I161" s="11" t="s">
        <v>1257</v>
      </c>
      <c r="J161" s="11" t="s">
        <v>1258</v>
      </c>
      <c r="K161" s="11" t="s">
        <v>1259</v>
      </c>
      <c r="L161" s="5" t="s">
        <v>23</v>
      </c>
      <c r="M161" s="5" t="s">
        <v>1260</v>
      </c>
      <c r="N161" s="5" t="s">
        <v>71</v>
      </c>
      <c r="O161" s="5" t="s">
        <v>592</v>
      </c>
      <c r="P161" s="5" t="s">
        <v>1261</v>
      </c>
      <c r="Q161" s="12"/>
    </row>
    <row r="162" ht="22.5" customHeight="1">
      <c r="A162" s="10">
        <v>260161.0</v>
      </c>
      <c r="B162" s="4">
        <v>46035.24507246527</v>
      </c>
      <c r="C162" s="5" t="s">
        <v>1262</v>
      </c>
      <c r="D162" s="5" t="s">
        <v>1263</v>
      </c>
      <c r="E162" s="5" t="s">
        <v>1262</v>
      </c>
      <c r="F162" s="5" t="s">
        <v>17</v>
      </c>
      <c r="G162" s="11" t="s">
        <v>1264</v>
      </c>
      <c r="H162" s="13" t="s">
        <v>1265</v>
      </c>
      <c r="I162" s="11" t="s">
        <v>463</v>
      </c>
      <c r="J162" s="11" t="s">
        <v>46</v>
      </c>
      <c r="K162" s="11" t="s">
        <v>1266</v>
      </c>
      <c r="L162" s="5" t="s">
        <v>30</v>
      </c>
      <c r="M162" s="5" t="s">
        <v>1267</v>
      </c>
      <c r="N162" s="5" t="s">
        <v>1268</v>
      </c>
      <c r="O162" s="5" t="s">
        <v>1269</v>
      </c>
      <c r="P162" s="5" t="s">
        <v>1269</v>
      </c>
      <c r="Q162" s="12"/>
    </row>
    <row r="163" ht="22.5" customHeight="1">
      <c r="A163" s="10">
        <v>260162.0</v>
      </c>
      <c r="B163" s="4">
        <v>46035.29335136574</v>
      </c>
      <c r="C163" s="5" t="s">
        <v>1270</v>
      </c>
      <c r="D163" s="5" t="s">
        <v>1271</v>
      </c>
      <c r="E163" s="5" t="s">
        <v>1270</v>
      </c>
      <c r="F163" s="5" t="s">
        <v>17</v>
      </c>
      <c r="G163" s="11" t="s">
        <v>1272</v>
      </c>
      <c r="H163" s="11" t="s">
        <v>1273</v>
      </c>
      <c r="I163" s="11" t="s">
        <v>1274</v>
      </c>
      <c r="J163" s="11" t="s">
        <v>1275</v>
      </c>
      <c r="K163" s="11" t="s">
        <v>1276</v>
      </c>
      <c r="L163" s="5" t="s">
        <v>30</v>
      </c>
      <c r="M163" s="5" t="s">
        <v>1277</v>
      </c>
      <c r="N163" s="5" t="s">
        <v>111</v>
      </c>
      <c r="O163" s="5" t="s">
        <v>200</v>
      </c>
      <c r="P163" s="5" t="s">
        <v>201</v>
      </c>
      <c r="Q163" s="12"/>
    </row>
    <row r="164" ht="22.5" customHeight="1">
      <c r="A164" s="10">
        <v>260163.0</v>
      </c>
      <c r="B164" s="4">
        <v>46035.44183964121</v>
      </c>
      <c r="C164" s="5" t="s">
        <v>1278</v>
      </c>
      <c r="D164" s="5" t="s">
        <v>1279</v>
      </c>
      <c r="E164" s="5" t="s">
        <v>1278</v>
      </c>
      <c r="F164" s="5" t="s">
        <v>17</v>
      </c>
      <c r="G164" s="11" t="s">
        <v>1280</v>
      </c>
      <c r="H164" s="11" t="s">
        <v>1281</v>
      </c>
      <c r="I164" s="11" t="s">
        <v>1282</v>
      </c>
      <c r="J164" s="11" t="s">
        <v>1283</v>
      </c>
      <c r="K164" s="11" t="s">
        <v>1284</v>
      </c>
      <c r="L164" s="5" t="s">
        <v>162</v>
      </c>
      <c r="M164" s="5" t="s">
        <v>1285</v>
      </c>
      <c r="N164" s="5" t="s">
        <v>71</v>
      </c>
      <c r="O164" s="5" t="s">
        <v>26</v>
      </c>
      <c r="P164" s="5" t="s">
        <v>26</v>
      </c>
      <c r="Q164" s="12"/>
    </row>
    <row r="165" ht="22.5" customHeight="1">
      <c r="A165" s="10">
        <v>260164.0</v>
      </c>
      <c r="B165" s="4">
        <v>46035.58735023148</v>
      </c>
      <c r="C165" s="5" t="s">
        <v>1286</v>
      </c>
      <c r="D165" s="5" t="s">
        <v>1287</v>
      </c>
      <c r="E165" s="5" t="s">
        <v>1286</v>
      </c>
      <c r="F165" s="5" t="s">
        <v>17</v>
      </c>
      <c r="G165" s="11" t="s">
        <v>1288</v>
      </c>
      <c r="H165" s="11" t="s">
        <v>1289</v>
      </c>
      <c r="I165" s="11" t="s">
        <v>1290</v>
      </c>
      <c r="J165" s="11" t="s">
        <v>1291</v>
      </c>
      <c r="K165" s="11" t="s">
        <v>1292</v>
      </c>
      <c r="L165" s="5" t="s">
        <v>162</v>
      </c>
      <c r="M165" s="5" t="s">
        <v>1293</v>
      </c>
      <c r="N165" s="5" t="s">
        <v>119</v>
      </c>
      <c r="O165" s="5" t="s">
        <v>26</v>
      </c>
      <c r="P165" s="5" t="s">
        <v>26</v>
      </c>
      <c r="Q165" s="12"/>
    </row>
    <row r="166" ht="22.5" customHeight="1">
      <c r="A166" s="10">
        <v>260165.0</v>
      </c>
      <c r="B166" s="4">
        <v>46035.77907127315</v>
      </c>
      <c r="C166" s="5" t="s">
        <v>1294</v>
      </c>
      <c r="D166" s="5" t="s">
        <v>1295</v>
      </c>
      <c r="E166" s="5" t="s">
        <v>1294</v>
      </c>
      <c r="F166" s="5" t="s">
        <v>64</v>
      </c>
      <c r="G166" s="11" t="s">
        <v>1296</v>
      </c>
      <c r="H166" s="13" t="s">
        <v>1297</v>
      </c>
      <c r="I166" s="11" t="s">
        <v>1298</v>
      </c>
      <c r="J166" s="11" t="s">
        <v>58</v>
      </c>
      <c r="K166" s="11" t="s">
        <v>1299</v>
      </c>
      <c r="L166" s="5" t="s">
        <v>30</v>
      </c>
      <c r="M166" s="5" t="s">
        <v>1300</v>
      </c>
      <c r="N166" s="5" t="s">
        <v>119</v>
      </c>
      <c r="O166" s="5" t="s">
        <v>549</v>
      </c>
      <c r="P166" s="5" t="s">
        <v>1195</v>
      </c>
      <c r="Q166" s="12"/>
    </row>
    <row r="167" ht="22.5" customHeight="1">
      <c r="A167" s="10">
        <v>260166.0</v>
      </c>
      <c r="B167" s="4">
        <v>46035.82424</v>
      </c>
      <c r="C167" s="5" t="s">
        <v>112</v>
      </c>
      <c r="D167" s="5" t="s">
        <v>113</v>
      </c>
      <c r="E167" s="5" t="s">
        <v>112</v>
      </c>
      <c r="F167" s="5" t="s">
        <v>17</v>
      </c>
      <c r="G167" s="11" t="s">
        <v>114</v>
      </c>
      <c r="H167" s="11" t="s">
        <v>1301</v>
      </c>
      <c r="I167" s="11" t="s">
        <v>117</v>
      </c>
      <c r="J167" s="11" t="s">
        <v>1302</v>
      </c>
      <c r="K167" s="11" t="s">
        <v>118</v>
      </c>
      <c r="L167" s="5" t="s">
        <v>30</v>
      </c>
      <c r="M167" s="5" t="s">
        <v>81</v>
      </c>
      <c r="N167" s="5" t="s">
        <v>119</v>
      </c>
      <c r="O167" s="5" t="s">
        <v>51</v>
      </c>
      <c r="P167" s="5" t="s">
        <v>52</v>
      </c>
      <c r="Q167" s="12"/>
    </row>
    <row r="168" ht="22.5" customHeight="1">
      <c r="A168" s="10">
        <v>260167.0</v>
      </c>
      <c r="B168" s="4">
        <v>46035.95104532407</v>
      </c>
      <c r="C168" s="5" t="s">
        <v>760</v>
      </c>
      <c r="D168" s="5" t="s">
        <v>1303</v>
      </c>
      <c r="E168" s="5" t="s">
        <v>1304</v>
      </c>
      <c r="F168" s="5" t="s">
        <v>131</v>
      </c>
      <c r="G168" s="11" t="s">
        <v>1305</v>
      </c>
      <c r="H168" s="13" t="s">
        <v>1306</v>
      </c>
      <c r="I168" s="11" t="s">
        <v>1307</v>
      </c>
      <c r="J168" s="11" t="s">
        <v>1308</v>
      </c>
      <c r="K168" s="11" t="s">
        <v>1309</v>
      </c>
      <c r="L168" s="5" t="s">
        <v>30</v>
      </c>
      <c r="M168" s="5" t="s">
        <v>1310</v>
      </c>
      <c r="N168" s="5" t="s">
        <v>759</v>
      </c>
      <c r="O168" s="5" t="s">
        <v>72</v>
      </c>
      <c r="P168" s="5" t="s">
        <v>73</v>
      </c>
      <c r="Q168" s="12"/>
    </row>
    <row r="169" ht="22.5" customHeight="1">
      <c r="A169" s="10">
        <v>260168.0</v>
      </c>
      <c r="B169" s="4">
        <v>46035.9709334838</v>
      </c>
      <c r="C169" s="5" t="s">
        <v>1311</v>
      </c>
      <c r="D169" s="5" t="s">
        <v>1312</v>
      </c>
      <c r="E169" s="5" t="s">
        <v>1311</v>
      </c>
      <c r="F169" s="5" t="s">
        <v>17</v>
      </c>
      <c r="G169" s="11" t="s">
        <v>1313</v>
      </c>
      <c r="H169" s="11" t="s">
        <v>1314</v>
      </c>
      <c r="I169" s="11" t="s">
        <v>1315</v>
      </c>
      <c r="J169" s="11" t="s">
        <v>1316</v>
      </c>
      <c r="K169" s="11" t="s">
        <v>1317</v>
      </c>
      <c r="L169" s="5" t="s">
        <v>162</v>
      </c>
      <c r="M169" s="5" t="s">
        <v>1318</v>
      </c>
      <c r="N169" s="5" t="s">
        <v>61</v>
      </c>
      <c r="O169" s="5" t="s">
        <v>1319</v>
      </c>
      <c r="P169" s="5" t="s">
        <v>258</v>
      </c>
      <c r="Q169" s="12"/>
    </row>
    <row r="170" ht="22.5" customHeight="1">
      <c r="A170" s="10">
        <v>260169.0</v>
      </c>
      <c r="B170" s="4">
        <v>46036.029833506946</v>
      </c>
      <c r="C170" s="5" t="s">
        <v>1320</v>
      </c>
      <c r="D170" s="5" t="s">
        <v>1321</v>
      </c>
      <c r="E170" s="5" t="s">
        <v>1320</v>
      </c>
      <c r="F170" s="5" t="s">
        <v>17</v>
      </c>
      <c r="G170" s="11" t="s">
        <v>1322</v>
      </c>
      <c r="H170" s="13" t="s">
        <v>1323</v>
      </c>
      <c r="I170" s="11" t="s">
        <v>1324</v>
      </c>
      <c r="J170" s="11" t="s">
        <v>1325</v>
      </c>
      <c r="K170" s="11" t="s">
        <v>1326</v>
      </c>
      <c r="L170" s="5" t="s">
        <v>30</v>
      </c>
      <c r="M170" s="5" t="s">
        <v>785</v>
      </c>
      <c r="N170" s="5" t="s">
        <v>61</v>
      </c>
      <c r="O170" s="5" t="s">
        <v>51</v>
      </c>
      <c r="P170" s="5" t="s">
        <v>52</v>
      </c>
      <c r="Q170" s="12"/>
    </row>
    <row r="171" ht="22.5" customHeight="1">
      <c r="A171" s="10">
        <v>260170.0</v>
      </c>
      <c r="B171" s="4">
        <v>46036.04449672454</v>
      </c>
      <c r="C171" s="5" t="s">
        <v>1327</v>
      </c>
      <c r="D171" s="5" t="s">
        <v>1328</v>
      </c>
      <c r="E171" s="5" t="s">
        <v>1327</v>
      </c>
      <c r="F171" s="5" t="s">
        <v>17</v>
      </c>
      <c r="G171" s="11" t="s">
        <v>1329</v>
      </c>
      <c r="H171" s="11" t="s">
        <v>1330</v>
      </c>
      <c r="I171" s="11" t="s">
        <v>544</v>
      </c>
      <c r="J171" s="11" t="s">
        <v>1331</v>
      </c>
      <c r="K171" s="11" t="s">
        <v>1332</v>
      </c>
      <c r="L171" s="5" t="s">
        <v>23</v>
      </c>
      <c r="M171" s="5" t="s">
        <v>1333</v>
      </c>
      <c r="N171" s="5" t="s">
        <v>119</v>
      </c>
      <c r="O171" s="5" t="s">
        <v>549</v>
      </c>
      <c r="P171" s="5" t="s">
        <v>1195</v>
      </c>
      <c r="Q171" s="12"/>
    </row>
    <row r="172" ht="22.5" customHeight="1">
      <c r="A172" s="10">
        <v>260171.0</v>
      </c>
      <c r="B172" s="4">
        <v>46036.045450509264</v>
      </c>
      <c r="C172" s="5" t="s">
        <v>1239</v>
      </c>
      <c r="D172" s="5" t="s">
        <v>1240</v>
      </c>
      <c r="E172" s="5" t="s">
        <v>1239</v>
      </c>
      <c r="F172" s="5" t="s">
        <v>131</v>
      </c>
      <c r="G172" s="11" t="s">
        <v>1334</v>
      </c>
      <c r="H172" s="11" t="s">
        <v>1335</v>
      </c>
      <c r="I172" s="11" t="s">
        <v>1336</v>
      </c>
      <c r="J172" s="11" t="s">
        <v>869</v>
      </c>
      <c r="K172" s="11" t="s">
        <v>1337</v>
      </c>
      <c r="L172" s="5" t="s">
        <v>30</v>
      </c>
      <c r="M172" s="5" t="s">
        <v>1245</v>
      </c>
      <c r="N172" s="5" t="s">
        <v>39</v>
      </c>
      <c r="O172" s="5" t="s">
        <v>51</v>
      </c>
      <c r="P172" s="5" t="s">
        <v>52</v>
      </c>
      <c r="Q172" s="12"/>
    </row>
    <row r="173" ht="22.5" customHeight="1">
      <c r="A173" s="10">
        <v>260172.0</v>
      </c>
      <c r="B173" s="4">
        <v>46036.046442418985</v>
      </c>
      <c r="C173" s="5" t="s">
        <v>1338</v>
      </c>
      <c r="D173" s="5" t="s">
        <v>1339</v>
      </c>
      <c r="E173" s="5" t="s">
        <v>1338</v>
      </c>
      <c r="F173" s="5" t="s">
        <v>64</v>
      </c>
      <c r="G173" s="11" t="s">
        <v>1340</v>
      </c>
      <c r="H173" s="11" t="s">
        <v>1341</v>
      </c>
      <c r="I173" s="11" t="s">
        <v>1342</v>
      </c>
      <c r="J173" s="11" t="s">
        <v>1343</v>
      </c>
      <c r="K173" s="11" t="s">
        <v>1344</v>
      </c>
      <c r="L173" s="5" t="s">
        <v>30</v>
      </c>
      <c r="M173" s="5" t="s">
        <v>1345</v>
      </c>
      <c r="N173" s="5" t="s">
        <v>71</v>
      </c>
      <c r="O173" s="5" t="s">
        <v>72</v>
      </c>
      <c r="P173" s="5" t="s">
        <v>73</v>
      </c>
      <c r="Q173" s="12"/>
    </row>
    <row r="174" ht="22.5" customHeight="1">
      <c r="A174" s="10">
        <v>260173.0</v>
      </c>
      <c r="B174" s="4">
        <v>46036.06293961806</v>
      </c>
      <c r="C174" s="5" t="s">
        <v>1346</v>
      </c>
      <c r="D174" s="5" t="s">
        <v>1347</v>
      </c>
      <c r="E174" s="5" t="s">
        <v>1346</v>
      </c>
      <c r="F174" s="5" t="s">
        <v>64</v>
      </c>
      <c r="G174" s="11" t="s">
        <v>1348</v>
      </c>
      <c r="H174" s="11" t="s">
        <v>1349</v>
      </c>
      <c r="I174" s="11" t="s">
        <v>159</v>
      </c>
      <c r="J174" s="11" t="s">
        <v>1350</v>
      </c>
      <c r="K174" s="11" t="s">
        <v>1351</v>
      </c>
      <c r="L174" s="5" t="s">
        <v>30</v>
      </c>
      <c r="M174" s="5" t="s">
        <v>1352</v>
      </c>
      <c r="N174" s="5" t="s">
        <v>119</v>
      </c>
      <c r="O174" s="5" t="s">
        <v>267</v>
      </c>
      <c r="P174" s="5" t="s">
        <v>268</v>
      </c>
      <c r="Q174" s="12"/>
    </row>
    <row r="175" ht="22.5" customHeight="1">
      <c r="A175" s="10">
        <v>260174.0</v>
      </c>
      <c r="B175" s="4">
        <v>46036.13538108797</v>
      </c>
      <c r="C175" s="5" t="s">
        <v>269</v>
      </c>
      <c r="D175" s="5" t="s">
        <v>270</v>
      </c>
      <c r="E175" s="5" t="s">
        <v>269</v>
      </c>
      <c r="F175" s="5" t="s">
        <v>17</v>
      </c>
      <c r="G175" s="11" t="s">
        <v>271</v>
      </c>
      <c r="H175" s="13" t="s">
        <v>1353</v>
      </c>
      <c r="I175" s="11" t="s">
        <v>274</v>
      </c>
      <c r="J175" s="11" t="s">
        <v>1354</v>
      </c>
      <c r="K175" s="11" t="s">
        <v>275</v>
      </c>
      <c r="L175" s="5" t="s">
        <v>23</v>
      </c>
      <c r="M175" s="5" t="s">
        <v>1355</v>
      </c>
      <c r="N175" s="5" t="s">
        <v>61</v>
      </c>
      <c r="O175" s="5" t="s">
        <v>267</v>
      </c>
      <c r="P175" s="5" t="s">
        <v>268</v>
      </c>
      <c r="Q175" s="12"/>
    </row>
    <row r="176" ht="22.5" customHeight="1">
      <c r="A176" s="10">
        <v>260175.0</v>
      </c>
      <c r="B176" s="4">
        <v>46036.18421611111</v>
      </c>
      <c r="C176" s="5" t="s">
        <v>1356</v>
      </c>
      <c r="D176" s="5" t="s">
        <v>1357</v>
      </c>
      <c r="E176" s="5" t="s">
        <v>1356</v>
      </c>
      <c r="F176" s="5" t="s">
        <v>64</v>
      </c>
      <c r="G176" s="11" t="s">
        <v>1358</v>
      </c>
      <c r="H176" s="11" t="s">
        <v>1359</v>
      </c>
      <c r="I176" s="11" t="s">
        <v>1360</v>
      </c>
      <c r="J176" s="11" t="s">
        <v>1361</v>
      </c>
      <c r="K176" s="11" t="s">
        <v>714</v>
      </c>
      <c r="L176" s="5" t="s">
        <v>162</v>
      </c>
      <c r="M176" s="5" t="s">
        <v>1362</v>
      </c>
      <c r="N176" s="5" t="s">
        <v>1363</v>
      </c>
      <c r="O176" s="5" t="s">
        <v>734</v>
      </c>
      <c r="P176" s="5" t="s">
        <v>734</v>
      </c>
      <c r="Q176" s="12"/>
    </row>
    <row r="177" ht="22.5" customHeight="1">
      <c r="A177" s="10">
        <v>260176.0</v>
      </c>
      <c r="B177" s="4">
        <v>46036.2205894213</v>
      </c>
      <c r="C177" s="5" t="s">
        <v>1364</v>
      </c>
      <c r="D177" s="5" t="s">
        <v>1365</v>
      </c>
      <c r="E177" s="5" t="s">
        <v>1364</v>
      </c>
      <c r="F177" s="5" t="s">
        <v>17</v>
      </c>
      <c r="G177" s="11" t="s">
        <v>1366</v>
      </c>
      <c r="H177" s="13" t="s">
        <v>1367</v>
      </c>
      <c r="I177" s="11" t="s">
        <v>1193</v>
      </c>
      <c r="J177" s="11" t="s">
        <v>1368</v>
      </c>
      <c r="K177" s="11" t="s">
        <v>1369</v>
      </c>
      <c r="L177" s="5" t="s">
        <v>23</v>
      </c>
      <c r="M177" s="5" t="s">
        <v>1116</v>
      </c>
      <c r="N177" s="5" t="s">
        <v>119</v>
      </c>
      <c r="O177" s="5" t="s">
        <v>403</v>
      </c>
      <c r="P177" s="5" t="s">
        <v>51</v>
      </c>
      <c r="Q177" s="12"/>
    </row>
    <row r="178" ht="22.5" customHeight="1">
      <c r="A178" s="10">
        <v>260177.0</v>
      </c>
      <c r="B178" s="4">
        <v>46036.27091261574</v>
      </c>
      <c r="C178" s="5" t="s">
        <v>1370</v>
      </c>
      <c r="D178" s="5" t="s">
        <v>1371</v>
      </c>
      <c r="E178" s="5" t="s">
        <v>1370</v>
      </c>
      <c r="F178" s="5" t="s">
        <v>64</v>
      </c>
      <c r="G178" s="11" t="s">
        <v>1372</v>
      </c>
      <c r="H178" s="11" t="s">
        <v>1373</v>
      </c>
      <c r="I178" s="11" t="s">
        <v>1337</v>
      </c>
      <c r="J178" s="11" t="s">
        <v>715</v>
      </c>
      <c r="K178" s="11" t="s">
        <v>1374</v>
      </c>
      <c r="L178" s="5" t="s">
        <v>30</v>
      </c>
      <c r="M178" s="5" t="s">
        <v>515</v>
      </c>
      <c r="N178" s="5" t="s">
        <v>61</v>
      </c>
      <c r="O178" s="5" t="s">
        <v>51</v>
      </c>
      <c r="P178" s="5" t="s">
        <v>52</v>
      </c>
      <c r="Q178" s="12"/>
    </row>
    <row r="179" ht="22.5" customHeight="1">
      <c r="A179" s="10">
        <v>260178.0</v>
      </c>
      <c r="B179" s="4">
        <v>46036.425770092595</v>
      </c>
      <c r="C179" s="5" t="s">
        <v>1375</v>
      </c>
      <c r="D179" s="5" t="s">
        <v>1376</v>
      </c>
      <c r="E179" s="5" t="s">
        <v>1375</v>
      </c>
      <c r="F179" s="5" t="s">
        <v>17</v>
      </c>
      <c r="G179" s="11" t="s">
        <v>1377</v>
      </c>
      <c r="H179" s="11" t="s">
        <v>1378</v>
      </c>
      <c r="I179" s="11" t="s">
        <v>1379</v>
      </c>
      <c r="J179" s="11" t="s">
        <v>1380</v>
      </c>
      <c r="K179" s="11" t="s">
        <v>1381</v>
      </c>
      <c r="L179" s="5" t="s">
        <v>162</v>
      </c>
      <c r="M179" s="5" t="s">
        <v>1382</v>
      </c>
      <c r="N179" s="5" t="s">
        <v>1383</v>
      </c>
      <c r="O179" s="5" t="s">
        <v>200</v>
      </c>
      <c r="P179" s="5" t="s">
        <v>1384</v>
      </c>
      <c r="Q179" s="12"/>
    </row>
    <row r="180" ht="22.5" customHeight="1">
      <c r="A180" s="10">
        <v>260179.0</v>
      </c>
      <c r="B180" s="4">
        <v>46036.576630787036</v>
      </c>
      <c r="C180" s="5" t="s">
        <v>1385</v>
      </c>
      <c r="D180" s="5" t="s">
        <v>1386</v>
      </c>
      <c r="E180" s="5" t="s">
        <v>1385</v>
      </c>
      <c r="F180" s="5" t="s">
        <v>17</v>
      </c>
      <c r="G180" s="11" t="s">
        <v>1387</v>
      </c>
      <c r="H180" s="11" t="s">
        <v>1388</v>
      </c>
      <c r="I180" s="11" t="s">
        <v>1389</v>
      </c>
      <c r="J180" s="11" t="s">
        <v>1390</v>
      </c>
      <c r="K180" s="11" t="s">
        <v>1391</v>
      </c>
      <c r="L180" s="5" t="s">
        <v>30</v>
      </c>
      <c r="M180" s="5" t="s">
        <v>1392</v>
      </c>
      <c r="N180" s="5" t="s">
        <v>164</v>
      </c>
      <c r="O180" s="5" t="s">
        <v>51</v>
      </c>
      <c r="P180" s="5" t="s">
        <v>52</v>
      </c>
      <c r="Q180" s="12"/>
    </row>
    <row r="181" ht="22.5" customHeight="1">
      <c r="A181" s="10">
        <v>260180.0</v>
      </c>
      <c r="B181" s="4">
        <v>46036.722301898146</v>
      </c>
      <c r="C181" s="5" t="s">
        <v>1393</v>
      </c>
      <c r="D181" s="5" t="s">
        <v>1394</v>
      </c>
      <c r="E181" s="5" t="s">
        <v>1393</v>
      </c>
      <c r="F181" s="5" t="s">
        <v>17</v>
      </c>
      <c r="G181" s="11" t="s">
        <v>1395</v>
      </c>
      <c r="H181" s="11" t="s">
        <v>1396</v>
      </c>
      <c r="I181" s="11" t="s">
        <v>1397</v>
      </c>
      <c r="J181" s="11" t="s">
        <v>1398</v>
      </c>
      <c r="K181" s="11" t="s">
        <v>1399</v>
      </c>
      <c r="L181" s="5" t="s">
        <v>30</v>
      </c>
      <c r="M181" s="5" t="s">
        <v>1400</v>
      </c>
      <c r="N181" s="5" t="s">
        <v>119</v>
      </c>
      <c r="O181" s="5" t="s">
        <v>267</v>
      </c>
      <c r="P181" s="5" t="s">
        <v>1401</v>
      </c>
      <c r="Q181" s="12"/>
    </row>
    <row r="182" ht="22.5" customHeight="1">
      <c r="A182" s="10">
        <v>260181.0</v>
      </c>
      <c r="B182" s="4">
        <v>46036.755130474536</v>
      </c>
      <c r="C182" s="5" t="s">
        <v>1402</v>
      </c>
      <c r="D182" s="5" t="s">
        <v>1403</v>
      </c>
      <c r="E182" s="5" t="s">
        <v>1402</v>
      </c>
      <c r="F182" s="5" t="s">
        <v>17</v>
      </c>
      <c r="G182" s="11" t="s">
        <v>1404</v>
      </c>
      <c r="H182" s="11" t="s">
        <v>1405</v>
      </c>
      <c r="I182" s="11" t="s">
        <v>1406</v>
      </c>
      <c r="J182" s="11" t="s">
        <v>1407</v>
      </c>
      <c r="K182" s="11" t="s">
        <v>1408</v>
      </c>
      <c r="L182" s="5" t="s">
        <v>23</v>
      </c>
      <c r="M182" s="5" t="s">
        <v>1409</v>
      </c>
      <c r="N182" s="5" t="s">
        <v>1410</v>
      </c>
      <c r="O182" s="5" t="s">
        <v>592</v>
      </c>
      <c r="P182" s="5" t="s">
        <v>593</v>
      </c>
      <c r="Q182" s="12"/>
    </row>
    <row r="183" ht="22.5" customHeight="1">
      <c r="A183" s="10">
        <v>260182.0</v>
      </c>
      <c r="B183" s="4">
        <v>46036.76211672454</v>
      </c>
      <c r="C183" s="5" t="s">
        <v>1411</v>
      </c>
      <c r="D183" s="5" t="s">
        <v>1412</v>
      </c>
      <c r="E183" s="5" t="s">
        <v>1411</v>
      </c>
      <c r="F183" s="5" t="s">
        <v>17</v>
      </c>
      <c r="G183" s="11" t="s">
        <v>1413</v>
      </c>
      <c r="H183" s="11" t="s">
        <v>1414</v>
      </c>
      <c r="I183" s="11" t="s">
        <v>1415</v>
      </c>
      <c r="J183" s="11" t="s">
        <v>1416</v>
      </c>
      <c r="K183" s="11" t="s">
        <v>1417</v>
      </c>
      <c r="L183" s="5" t="s">
        <v>30</v>
      </c>
      <c r="M183" s="5" t="s">
        <v>1418</v>
      </c>
      <c r="N183" s="5" t="s">
        <v>119</v>
      </c>
      <c r="O183" s="5" t="s">
        <v>72</v>
      </c>
      <c r="P183" s="5" t="s">
        <v>73</v>
      </c>
      <c r="Q183" s="12"/>
    </row>
    <row r="184" ht="22.5" customHeight="1">
      <c r="A184" s="10">
        <v>260183.0</v>
      </c>
      <c r="B184" s="4">
        <v>46036.808092175925</v>
      </c>
      <c r="C184" s="5" t="s">
        <v>1419</v>
      </c>
      <c r="D184" s="5" t="s">
        <v>1420</v>
      </c>
      <c r="E184" s="5" t="s">
        <v>1419</v>
      </c>
      <c r="F184" s="5" t="s">
        <v>131</v>
      </c>
      <c r="G184" s="11" t="s">
        <v>1421</v>
      </c>
      <c r="H184" s="11" t="s">
        <v>1422</v>
      </c>
      <c r="I184" s="11" t="s">
        <v>1398</v>
      </c>
      <c r="J184" s="11" t="s">
        <v>1423</v>
      </c>
      <c r="K184" s="11" t="s">
        <v>1424</v>
      </c>
      <c r="L184" s="5" t="s">
        <v>23</v>
      </c>
      <c r="M184" s="5" t="s">
        <v>1425</v>
      </c>
      <c r="N184" s="5" t="s">
        <v>119</v>
      </c>
      <c r="O184" s="5" t="s">
        <v>403</v>
      </c>
      <c r="P184" s="5" t="s">
        <v>404</v>
      </c>
      <c r="Q184" s="12"/>
    </row>
    <row r="185" ht="22.5" customHeight="1">
      <c r="A185" s="10">
        <v>260184.0</v>
      </c>
      <c r="B185" s="4">
        <v>46036.81505146991</v>
      </c>
      <c r="C185" s="5" t="s">
        <v>1426</v>
      </c>
      <c r="D185" s="5" t="s">
        <v>1427</v>
      </c>
      <c r="E185" s="5" t="s">
        <v>1426</v>
      </c>
      <c r="F185" s="5" t="s">
        <v>131</v>
      </c>
      <c r="G185" s="11" t="s">
        <v>1428</v>
      </c>
      <c r="H185" s="11" t="s">
        <v>1429</v>
      </c>
      <c r="I185" s="11" t="s">
        <v>1430</v>
      </c>
      <c r="J185" s="11" t="s">
        <v>1431</v>
      </c>
      <c r="K185" s="11" t="s">
        <v>1432</v>
      </c>
      <c r="L185" s="5" t="s">
        <v>30</v>
      </c>
      <c r="M185" s="5" t="s">
        <v>1433</v>
      </c>
      <c r="N185" s="5" t="s">
        <v>61</v>
      </c>
      <c r="O185" s="5" t="s">
        <v>51</v>
      </c>
      <c r="P185" s="5" t="s">
        <v>73</v>
      </c>
      <c r="Q185" s="12"/>
    </row>
    <row r="186" ht="22.5" customHeight="1">
      <c r="A186" s="10">
        <v>260185.0</v>
      </c>
      <c r="B186" s="4">
        <v>46036.82279046296</v>
      </c>
      <c r="C186" s="5" t="s">
        <v>1434</v>
      </c>
      <c r="D186" s="5" t="s">
        <v>1435</v>
      </c>
      <c r="E186" s="5" t="s">
        <v>1434</v>
      </c>
      <c r="F186" s="5" t="s">
        <v>17</v>
      </c>
      <c r="G186" s="11" t="s">
        <v>1436</v>
      </c>
      <c r="H186" s="11" t="s">
        <v>1437</v>
      </c>
      <c r="I186" s="11" t="s">
        <v>1438</v>
      </c>
      <c r="J186" s="11" t="s">
        <v>1439</v>
      </c>
      <c r="K186" s="11" t="s">
        <v>1440</v>
      </c>
      <c r="L186" s="5" t="s">
        <v>23</v>
      </c>
      <c r="M186" s="5" t="s">
        <v>1441</v>
      </c>
      <c r="N186" s="5" t="s">
        <v>119</v>
      </c>
      <c r="O186" s="5" t="s">
        <v>181</v>
      </c>
      <c r="P186" s="5" t="s">
        <v>660</v>
      </c>
      <c r="Q186" s="12"/>
    </row>
    <row r="187" ht="22.5" customHeight="1">
      <c r="A187" s="10">
        <v>260186.0</v>
      </c>
      <c r="B187" s="4">
        <v>46036.82948153935</v>
      </c>
      <c r="C187" s="5" t="s">
        <v>1442</v>
      </c>
      <c r="D187" s="5" t="s">
        <v>1443</v>
      </c>
      <c r="E187" s="5" t="s">
        <v>1442</v>
      </c>
      <c r="F187" s="5" t="s">
        <v>17</v>
      </c>
      <c r="G187" s="11" t="s">
        <v>1444</v>
      </c>
      <c r="H187" s="11" t="s">
        <v>1445</v>
      </c>
      <c r="I187" s="11" t="s">
        <v>1446</v>
      </c>
      <c r="J187" s="11" t="s">
        <v>1291</v>
      </c>
      <c r="K187" s="11" t="s">
        <v>1447</v>
      </c>
      <c r="L187" s="5" t="s">
        <v>30</v>
      </c>
      <c r="M187" s="5" t="s">
        <v>1448</v>
      </c>
      <c r="N187" s="5" t="s">
        <v>1383</v>
      </c>
      <c r="O187" s="5" t="s">
        <v>200</v>
      </c>
      <c r="P187" s="5" t="s">
        <v>201</v>
      </c>
      <c r="Q187" s="12"/>
    </row>
    <row r="188" ht="22.5" customHeight="1">
      <c r="A188" s="10">
        <v>260187.0</v>
      </c>
      <c r="B188" s="4">
        <v>46036.827206608796</v>
      </c>
      <c r="C188" s="5" t="s">
        <v>1449</v>
      </c>
      <c r="D188" s="5" t="s">
        <v>1450</v>
      </c>
      <c r="E188" s="5" t="s">
        <v>1449</v>
      </c>
      <c r="F188" s="5" t="s">
        <v>17</v>
      </c>
      <c r="G188" s="11" t="s">
        <v>1451</v>
      </c>
      <c r="H188" s="11" t="s">
        <v>1452</v>
      </c>
      <c r="I188" s="11" t="s">
        <v>1453</v>
      </c>
      <c r="J188" s="11" t="s">
        <v>1454</v>
      </c>
      <c r="K188" s="11" t="s">
        <v>1455</v>
      </c>
      <c r="L188" s="5" t="s">
        <v>162</v>
      </c>
      <c r="M188" s="5" t="s">
        <v>1456</v>
      </c>
      <c r="N188" s="5" t="s">
        <v>119</v>
      </c>
      <c r="O188" s="5" t="s">
        <v>200</v>
      </c>
      <c r="P188" s="5" t="s">
        <v>1457</v>
      </c>
      <c r="Q188" s="12"/>
    </row>
    <row r="189" ht="22.5" customHeight="1">
      <c r="A189" s="10">
        <v>260188.0</v>
      </c>
      <c r="B189" s="4">
        <v>46036.834786990745</v>
      </c>
      <c r="C189" s="5" t="s">
        <v>1458</v>
      </c>
      <c r="D189" s="5" t="s">
        <v>1459</v>
      </c>
      <c r="E189" s="5" t="s">
        <v>1458</v>
      </c>
      <c r="F189" s="5" t="s">
        <v>17</v>
      </c>
      <c r="G189" s="11" t="s">
        <v>1460</v>
      </c>
      <c r="H189" s="11" t="s">
        <v>1461</v>
      </c>
      <c r="I189" s="11" t="s">
        <v>1462</v>
      </c>
      <c r="J189" s="11" t="s">
        <v>1463</v>
      </c>
      <c r="K189" s="11" t="s">
        <v>1464</v>
      </c>
      <c r="L189" s="5" t="s">
        <v>30</v>
      </c>
      <c r="M189" s="5" t="s">
        <v>1465</v>
      </c>
      <c r="N189" s="5" t="s">
        <v>71</v>
      </c>
      <c r="O189" s="5" t="s">
        <v>51</v>
      </c>
      <c r="P189" s="5" t="s">
        <v>52</v>
      </c>
      <c r="Q189" s="12"/>
    </row>
    <row r="190" ht="22.5" customHeight="1">
      <c r="A190" s="10">
        <v>260189.0</v>
      </c>
      <c r="B190" s="4">
        <v>46036.882518900464</v>
      </c>
      <c r="C190" s="5" t="s">
        <v>1466</v>
      </c>
      <c r="D190" s="5" t="s">
        <v>1467</v>
      </c>
      <c r="E190" s="5" t="s">
        <v>1466</v>
      </c>
      <c r="F190" s="5" t="s">
        <v>17</v>
      </c>
      <c r="G190" s="11" t="s">
        <v>1468</v>
      </c>
      <c r="H190" s="11" t="s">
        <v>1469</v>
      </c>
      <c r="I190" s="11" t="s">
        <v>1470</v>
      </c>
      <c r="J190" s="11" t="s">
        <v>1471</v>
      </c>
      <c r="K190" s="11" t="s">
        <v>1472</v>
      </c>
      <c r="L190" s="5" t="s">
        <v>23</v>
      </c>
      <c r="M190" s="5" t="s">
        <v>1473</v>
      </c>
      <c r="N190" s="5" t="s">
        <v>119</v>
      </c>
      <c r="O190" s="5" t="s">
        <v>200</v>
      </c>
      <c r="P190" s="5" t="s">
        <v>566</v>
      </c>
      <c r="Q190" s="12"/>
    </row>
    <row r="191" ht="22.5" customHeight="1">
      <c r="A191" s="10">
        <v>260190.0</v>
      </c>
      <c r="B191" s="4">
        <v>46036.88407650463</v>
      </c>
      <c r="C191" s="5" t="s">
        <v>1474</v>
      </c>
      <c r="D191" s="5" t="s">
        <v>1475</v>
      </c>
      <c r="E191" s="5" t="s">
        <v>1474</v>
      </c>
      <c r="F191" s="5" t="s">
        <v>131</v>
      </c>
      <c r="G191" s="11" t="s">
        <v>1476</v>
      </c>
      <c r="H191" s="11" t="s">
        <v>1477</v>
      </c>
      <c r="I191" s="11" t="s">
        <v>1478</v>
      </c>
      <c r="J191" s="11" t="s">
        <v>1479</v>
      </c>
      <c r="K191" s="11" t="s">
        <v>1480</v>
      </c>
      <c r="L191" s="5" t="s">
        <v>23</v>
      </c>
      <c r="M191" s="5" t="s">
        <v>1481</v>
      </c>
      <c r="N191" s="5" t="s">
        <v>25</v>
      </c>
      <c r="O191" s="5" t="s">
        <v>51</v>
      </c>
      <c r="P191" s="5" t="s">
        <v>73</v>
      </c>
      <c r="Q191" s="12"/>
    </row>
    <row r="192" ht="22.5" customHeight="1">
      <c r="A192" s="10">
        <v>260191.0</v>
      </c>
      <c r="B192" s="4">
        <v>46036.889546307866</v>
      </c>
      <c r="C192" s="5" t="s">
        <v>1474</v>
      </c>
      <c r="D192" s="5" t="s">
        <v>1475</v>
      </c>
      <c r="E192" s="5" t="s">
        <v>1474</v>
      </c>
      <c r="F192" s="5" t="s">
        <v>131</v>
      </c>
      <c r="G192" s="11" t="s">
        <v>1476</v>
      </c>
      <c r="H192" s="11" t="s">
        <v>1482</v>
      </c>
      <c r="I192" s="11" t="s">
        <v>1483</v>
      </c>
      <c r="J192" s="11" t="s">
        <v>1479</v>
      </c>
      <c r="K192" s="11" t="s">
        <v>1484</v>
      </c>
      <c r="L192" s="5" t="s">
        <v>30</v>
      </c>
      <c r="M192" s="5" t="s">
        <v>1485</v>
      </c>
      <c r="N192" s="5" t="s">
        <v>25</v>
      </c>
      <c r="O192" s="5" t="s">
        <v>51</v>
      </c>
      <c r="P192" s="5" t="s">
        <v>52</v>
      </c>
      <c r="Q192" s="12"/>
    </row>
    <row r="193" ht="22.5" customHeight="1">
      <c r="A193" s="10">
        <v>260192.0</v>
      </c>
      <c r="B193" s="4">
        <v>46036.97931879629</v>
      </c>
      <c r="C193" s="5" t="s">
        <v>1486</v>
      </c>
      <c r="D193" s="5" t="s">
        <v>1487</v>
      </c>
      <c r="E193" s="5" t="s">
        <v>1486</v>
      </c>
      <c r="F193" s="5" t="s">
        <v>17</v>
      </c>
      <c r="G193" s="11" t="s">
        <v>1488</v>
      </c>
      <c r="H193" s="13" t="s">
        <v>1489</v>
      </c>
      <c r="I193" s="11" t="s">
        <v>1490</v>
      </c>
      <c r="J193" s="11" t="s">
        <v>1491</v>
      </c>
      <c r="K193" s="11" t="s">
        <v>1492</v>
      </c>
      <c r="L193" s="5" t="s">
        <v>30</v>
      </c>
      <c r="M193" s="5" t="s">
        <v>878</v>
      </c>
      <c r="N193" s="5" t="s">
        <v>119</v>
      </c>
      <c r="O193" s="5" t="s">
        <v>548</v>
      </c>
      <c r="P193" s="5" t="s">
        <v>182</v>
      </c>
      <c r="Q193" s="12"/>
    </row>
    <row r="194" ht="22.5" customHeight="1">
      <c r="A194" s="10">
        <v>260193.0</v>
      </c>
      <c r="B194" s="4">
        <v>46036.99351947916</v>
      </c>
      <c r="C194" s="5" t="s">
        <v>1221</v>
      </c>
      <c r="D194" s="5" t="s">
        <v>1493</v>
      </c>
      <c r="E194" s="5" t="s">
        <v>1221</v>
      </c>
      <c r="F194" s="5" t="s">
        <v>17</v>
      </c>
      <c r="G194" s="11" t="s">
        <v>1494</v>
      </c>
      <c r="H194" s="11" t="s">
        <v>1495</v>
      </c>
      <c r="I194" s="11" t="s">
        <v>1496</v>
      </c>
      <c r="J194" s="11" t="s">
        <v>1497</v>
      </c>
      <c r="K194" s="11" t="s">
        <v>1498</v>
      </c>
      <c r="L194" s="5" t="s">
        <v>162</v>
      </c>
      <c r="M194" s="5" t="s">
        <v>1228</v>
      </c>
      <c r="N194" s="5" t="s">
        <v>61</v>
      </c>
      <c r="O194" s="5" t="s">
        <v>200</v>
      </c>
      <c r="P194" s="5" t="s">
        <v>26</v>
      </c>
      <c r="Q194" s="12"/>
    </row>
    <row r="195" ht="22.5" customHeight="1">
      <c r="A195" s="10">
        <v>260194.0</v>
      </c>
      <c r="B195" s="4">
        <v>46037.007595717594</v>
      </c>
      <c r="C195" s="5" t="s">
        <v>1499</v>
      </c>
      <c r="D195" s="5" t="s">
        <v>1500</v>
      </c>
      <c r="E195" s="5" t="s">
        <v>1499</v>
      </c>
      <c r="F195" s="5" t="s">
        <v>17</v>
      </c>
      <c r="G195" s="11" t="s">
        <v>1501</v>
      </c>
      <c r="H195" s="11" t="s">
        <v>1502</v>
      </c>
      <c r="I195" s="11" t="s">
        <v>21</v>
      </c>
      <c r="J195" s="11" t="s">
        <v>1503</v>
      </c>
      <c r="K195" s="11" t="s">
        <v>1504</v>
      </c>
      <c r="L195" s="5" t="s">
        <v>162</v>
      </c>
      <c r="M195" s="5" t="s">
        <v>1505</v>
      </c>
      <c r="N195" s="5" t="s">
        <v>31</v>
      </c>
      <c r="O195" s="5" t="s">
        <v>26</v>
      </c>
      <c r="P195" s="5" t="s">
        <v>825</v>
      </c>
      <c r="Q195" s="12"/>
    </row>
    <row r="196" ht="22.5" customHeight="1">
      <c r="A196" s="10">
        <v>260195.0</v>
      </c>
      <c r="B196" s="4">
        <v>46037.00824303241</v>
      </c>
      <c r="C196" s="5" t="s">
        <v>1506</v>
      </c>
      <c r="D196" s="5" t="s">
        <v>1507</v>
      </c>
      <c r="E196" s="5" t="s">
        <v>1506</v>
      </c>
      <c r="F196" s="5" t="s">
        <v>17</v>
      </c>
      <c r="G196" s="11" t="s">
        <v>1508</v>
      </c>
      <c r="H196" s="11" t="s">
        <v>1509</v>
      </c>
      <c r="I196" s="11" t="s">
        <v>1510</v>
      </c>
      <c r="J196" s="11" t="s">
        <v>1257</v>
      </c>
      <c r="K196" s="11" t="s">
        <v>1511</v>
      </c>
      <c r="L196" s="5" t="s">
        <v>162</v>
      </c>
      <c r="M196" s="5" t="s">
        <v>1260</v>
      </c>
      <c r="N196" s="5" t="s">
        <v>1512</v>
      </c>
      <c r="O196" s="5" t="s">
        <v>592</v>
      </c>
      <c r="P196" s="5" t="s">
        <v>593</v>
      </c>
      <c r="Q196" s="12"/>
    </row>
    <row r="197" ht="22.5" customHeight="1">
      <c r="A197" s="10">
        <v>260196.0</v>
      </c>
      <c r="B197" s="4">
        <v>46037.05882556713</v>
      </c>
      <c r="C197" s="5" t="s">
        <v>1513</v>
      </c>
      <c r="D197" s="5" t="s">
        <v>1514</v>
      </c>
      <c r="E197" s="5" t="s">
        <v>1513</v>
      </c>
      <c r="F197" s="5" t="s">
        <v>17</v>
      </c>
      <c r="G197" s="11" t="s">
        <v>1515</v>
      </c>
      <c r="H197" s="11" t="s">
        <v>1516</v>
      </c>
      <c r="I197" s="11" t="s">
        <v>1517</v>
      </c>
      <c r="J197" s="11" t="s">
        <v>1518</v>
      </c>
      <c r="K197" s="11" t="s">
        <v>1115</v>
      </c>
      <c r="L197" s="5" t="s">
        <v>162</v>
      </c>
      <c r="M197" s="5" t="s">
        <v>1519</v>
      </c>
      <c r="N197" s="5" t="s">
        <v>25</v>
      </c>
      <c r="O197" s="5" t="s">
        <v>592</v>
      </c>
      <c r="P197" s="5" t="s">
        <v>593</v>
      </c>
      <c r="Q197" s="12"/>
    </row>
    <row r="198" ht="22.5" customHeight="1">
      <c r="A198" s="10">
        <v>260197.0</v>
      </c>
      <c r="B198" s="4">
        <v>46037.109012569446</v>
      </c>
      <c r="C198" s="5" t="s">
        <v>1520</v>
      </c>
      <c r="D198" s="5" t="s">
        <v>1521</v>
      </c>
      <c r="E198" s="5" t="s">
        <v>1520</v>
      </c>
      <c r="F198" s="5" t="s">
        <v>17</v>
      </c>
      <c r="G198" s="11" t="s">
        <v>1522</v>
      </c>
      <c r="H198" s="11" t="s">
        <v>1523</v>
      </c>
      <c r="I198" s="11" t="s">
        <v>1524</v>
      </c>
      <c r="J198" s="11" t="s">
        <v>1525</v>
      </c>
      <c r="K198" s="11" t="s">
        <v>1526</v>
      </c>
      <c r="L198" s="5" t="s">
        <v>30</v>
      </c>
      <c r="M198" s="5" t="s">
        <v>1527</v>
      </c>
      <c r="N198" s="5" t="s">
        <v>119</v>
      </c>
      <c r="O198" s="5" t="s">
        <v>437</v>
      </c>
      <c r="P198" s="5" t="s">
        <v>328</v>
      </c>
      <c r="Q198" s="12"/>
    </row>
    <row r="199" ht="22.5" customHeight="1">
      <c r="A199" s="10">
        <v>260198.0</v>
      </c>
      <c r="B199" s="4">
        <v>46037.141765416665</v>
      </c>
      <c r="C199" s="5" t="s">
        <v>1528</v>
      </c>
      <c r="D199" s="5" t="s">
        <v>1529</v>
      </c>
      <c r="E199" s="5" t="s">
        <v>1528</v>
      </c>
      <c r="F199" s="5" t="s">
        <v>64</v>
      </c>
      <c r="G199" s="11" t="s">
        <v>1530</v>
      </c>
      <c r="H199" s="11" t="s">
        <v>1531</v>
      </c>
      <c r="I199" s="11" t="s">
        <v>1532</v>
      </c>
      <c r="J199" s="11" t="s">
        <v>1533</v>
      </c>
      <c r="K199" s="11" t="s">
        <v>1534</v>
      </c>
      <c r="L199" s="5" t="s">
        <v>30</v>
      </c>
      <c r="M199" s="5" t="s">
        <v>81</v>
      </c>
      <c r="N199" s="5" t="s">
        <v>61</v>
      </c>
      <c r="O199" s="5" t="s">
        <v>72</v>
      </c>
      <c r="P199" s="5" t="s">
        <v>73</v>
      </c>
      <c r="Q199" s="12"/>
    </row>
    <row r="200" ht="22.5" customHeight="1">
      <c r="A200" s="14">
        <v>260199.0</v>
      </c>
      <c r="B200" s="4">
        <v>46037.15891774306</v>
      </c>
      <c r="C200" s="5" t="s">
        <v>1535</v>
      </c>
      <c r="D200" s="5" t="s">
        <v>1536</v>
      </c>
      <c r="E200" s="5" t="s">
        <v>1535</v>
      </c>
      <c r="F200" s="5" t="s">
        <v>64</v>
      </c>
      <c r="G200" s="13" t="s">
        <v>1537</v>
      </c>
      <c r="H200" s="13" t="s">
        <v>1538</v>
      </c>
      <c r="I200" s="11" t="s">
        <v>1539</v>
      </c>
      <c r="J200" s="11" t="s">
        <v>1540</v>
      </c>
      <c r="K200" s="11" t="s">
        <v>1541</v>
      </c>
      <c r="L200" s="5" t="s">
        <v>23</v>
      </c>
      <c r="M200" s="5" t="s">
        <v>1116</v>
      </c>
      <c r="N200" s="5" t="s">
        <v>119</v>
      </c>
      <c r="O200" s="5" t="s">
        <v>833</v>
      </c>
      <c r="P200" s="5" t="s">
        <v>1542</v>
      </c>
      <c r="Q200" s="12"/>
    </row>
    <row r="201" ht="22.5" customHeight="1">
      <c r="A201" s="10">
        <v>260200.0</v>
      </c>
      <c r="B201" s="4">
        <v>46037.25124188657</v>
      </c>
      <c r="C201" s="5" t="s">
        <v>1543</v>
      </c>
      <c r="D201" s="5" t="s">
        <v>1544</v>
      </c>
      <c r="E201" s="5" t="s">
        <v>1543</v>
      </c>
      <c r="F201" s="5" t="s">
        <v>17</v>
      </c>
      <c r="G201" s="11" t="s">
        <v>1545</v>
      </c>
      <c r="H201" s="11" t="s">
        <v>1546</v>
      </c>
      <c r="I201" s="11" t="s">
        <v>1547</v>
      </c>
      <c r="J201" s="11" t="s">
        <v>1548</v>
      </c>
      <c r="K201" s="11" t="s">
        <v>1549</v>
      </c>
      <c r="L201" s="5" t="s">
        <v>23</v>
      </c>
      <c r="M201" s="5" t="s">
        <v>39</v>
      </c>
      <c r="N201" s="5" t="s">
        <v>39</v>
      </c>
      <c r="O201" s="5" t="s">
        <v>549</v>
      </c>
      <c r="P201" s="5" t="s">
        <v>1195</v>
      </c>
      <c r="Q201" s="12"/>
    </row>
    <row r="202" ht="22.5" customHeight="1">
      <c r="A202" s="10">
        <v>260201.0</v>
      </c>
      <c r="B202" s="4">
        <v>46037.33978311342</v>
      </c>
      <c r="C202" s="5" t="s">
        <v>1550</v>
      </c>
      <c r="D202" s="5" t="s">
        <v>1551</v>
      </c>
      <c r="E202" s="5" t="s">
        <v>1550</v>
      </c>
      <c r="F202" s="5" t="s">
        <v>17</v>
      </c>
      <c r="G202" s="11" t="s">
        <v>1552</v>
      </c>
      <c r="H202" s="11" t="s">
        <v>1553</v>
      </c>
      <c r="I202" s="11" t="s">
        <v>1554</v>
      </c>
      <c r="J202" s="11" t="s">
        <v>1432</v>
      </c>
      <c r="K202" s="11" t="s">
        <v>1555</v>
      </c>
      <c r="L202" s="5" t="s">
        <v>30</v>
      </c>
      <c r="M202" s="5" t="s">
        <v>1556</v>
      </c>
      <c r="N202" s="5" t="s">
        <v>119</v>
      </c>
      <c r="O202" s="5" t="s">
        <v>446</v>
      </c>
      <c r="P202" s="5" t="s">
        <v>446</v>
      </c>
      <c r="Q202" s="12"/>
    </row>
    <row r="203" ht="22.5" customHeight="1">
      <c r="A203" s="10">
        <v>260202.0</v>
      </c>
      <c r="B203" s="4">
        <v>46037.34462305556</v>
      </c>
      <c r="C203" s="5" t="s">
        <v>1557</v>
      </c>
      <c r="D203" s="5" t="s">
        <v>1558</v>
      </c>
      <c r="E203" s="5" t="s">
        <v>1557</v>
      </c>
      <c r="F203" s="5" t="s">
        <v>17</v>
      </c>
      <c r="G203" s="11" t="s">
        <v>1559</v>
      </c>
      <c r="H203" s="13" t="s">
        <v>1560</v>
      </c>
      <c r="I203" s="11" t="s">
        <v>1561</v>
      </c>
      <c r="J203" s="11" t="s">
        <v>1562</v>
      </c>
      <c r="K203" s="11" t="s">
        <v>20</v>
      </c>
      <c r="L203" s="5" t="s">
        <v>23</v>
      </c>
      <c r="M203" s="5" t="s">
        <v>1563</v>
      </c>
      <c r="N203" s="5" t="s">
        <v>119</v>
      </c>
      <c r="O203" s="5" t="s">
        <v>257</v>
      </c>
      <c r="P203" s="5" t="s">
        <v>258</v>
      </c>
      <c r="Q203" s="12"/>
    </row>
    <row r="204" ht="22.5" customHeight="1">
      <c r="A204" s="10">
        <v>260203.0</v>
      </c>
      <c r="B204" s="4">
        <v>46037.37063422454</v>
      </c>
      <c r="C204" s="5" t="s">
        <v>1564</v>
      </c>
      <c r="D204" s="5" t="s">
        <v>1565</v>
      </c>
      <c r="E204" s="5" t="s">
        <v>1564</v>
      </c>
      <c r="F204" s="5" t="s">
        <v>17</v>
      </c>
      <c r="G204" s="11" t="s">
        <v>1566</v>
      </c>
      <c r="H204" s="11" t="s">
        <v>1567</v>
      </c>
      <c r="I204" s="11" t="s">
        <v>1568</v>
      </c>
      <c r="J204" s="11" t="s">
        <v>1569</v>
      </c>
      <c r="K204" s="11" t="s">
        <v>1570</v>
      </c>
      <c r="L204" s="5" t="s">
        <v>30</v>
      </c>
      <c r="M204" s="5" t="s">
        <v>878</v>
      </c>
      <c r="N204" s="5" t="s">
        <v>119</v>
      </c>
      <c r="O204" s="5" t="s">
        <v>1571</v>
      </c>
      <c r="P204" s="5" t="s">
        <v>1572</v>
      </c>
      <c r="Q204" s="12"/>
    </row>
    <row r="205" ht="22.5" customHeight="1">
      <c r="A205" s="10">
        <v>260204.0</v>
      </c>
      <c r="B205" s="4">
        <v>46037.40196178241</v>
      </c>
      <c r="C205" s="5" t="s">
        <v>1573</v>
      </c>
      <c r="D205" s="5" t="s">
        <v>1574</v>
      </c>
      <c r="E205" s="5" t="s">
        <v>1573</v>
      </c>
      <c r="F205" s="5" t="s">
        <v>17</v>
      </c>
      <c r="G205" s="11" t="s">
        <v>1575</v>
      </c>
      <c r="H205" s="11" t="s">
        <v>1576</v>
      </c>
      <c r="I205" s="11" t="s">
        <v>1577</v>
      </c>
      <c r="J205" s="11" t="s">
        <v>21</v>
      </c>
      <c r="K205" s="11" t="s">
        <v>1578</v>
      </c>
      <c r="L205" s="5" t="s">
        <v>30</v>
      </c>
      <c r="M205" s="5" t="s">
        <v>1579</v>
      </c>
      <c r="N205" s="5" t="s">
        <v>119</v>
      </c>
      <c r="O205" s="5" t="s">
        <v>257</v>
      </c>
      <c r="P205" s="5" t="s">
        <v>1580</v>
      </c>
      <c r="Q205" s="12"/>
    </row>
    <row r="206" ht="22.5" customHeight="1">
      <c r="A206" s="10">
        <v>260205.0</v>
      </c>
      <c r="B206" s="4">
        <v>46037.4869652662</v>
      </c>
      <c r="C206" s="5" t="s">
        <v>1581</v>
      </c>
      <c r="D206" s="5" t="s">
        <v>1582</v>
      </c>
      <c r="E206" s="5" t="s">
        <v>1581</v>
      </c>
      <c r="F206" s="5" t="s">
        <v>17</v>
      </c>
      <c r="G206" s="11" t="s">
        <v>1583</v>
      </c>
      <c r="H206" s="11" t="s">
        <v>1584</v>
      </c>
      <c r="I206" s="11" t="s">
        <v>1585</v>
      </c>
      <c r="J206" s="11" t="s">
        <v>1586</v>
      </c>
      <c r="K206" s="11" t="s">
        <v>1587</v>
      </c>
      <c r="L206" s="5" t="s">
        <v>162</v>
      </c>
      <c r="M206" s="5" t="s">
        <v>1588</v>
      </c>
      <c r="N206" s="5" t="s">
        <v>61</v>
      </c>
      <c r="O206" s="5" t="s">
        <v>447</v>
      </c>
      <c r="P206" s="5" t="s">
        <v>1589</v>
      </c>
      <c r="Q206" s="12"/>
    </row>
    <row r="207" ht="22.5" customHeight="1">
      <c r="A207" s="10">
        <v>260206.0</v>
      </c>
      <c r="B207" s="4">
        <v>46037.654585543976</v>
      </c>
      <c r="C207" s="5" t="s">
        <v>1590</v>
      </c>
      <c r="D207" s="5" t="s">
        <v>1591</v>
      </c>
      <c r="E207" s="5" t="s">
        <v>1590</v>
      </c>
      <c r="F207" s="5" t="s">
        <v>17</v>
      </c>
      <c r="G207" s="11" t="s">
        <v>1592</v>
      </c>
      <c r="H207" s="13" t="s">
        <v>1593</v>
      </c>
      <c r="I207" s="11" t="s">
        <v>1594</v>
      </c>
      <c r="J207" s="11" t="s">
        <v>1595</v>
      </c>
      <c r="K207" s="11" t="s">
        <v>1596</v>
      </c>
      <c r="L207" s="5" t="s">
        <v>30</v>
      </c>
      <c r="M207" s="5" t="s">
        <v>1597</v>
      </c>
      <c r="N207" s="5" t="s">
        <v>39</v>
      </c>
      <c r="O207" s="5" t="s">
        <v>833</v>
      </c>
      <c r="P207" s="5" t="s">
        <v>404</v>
      </c>
      <c r="Q207" s="12"/>
    </row>
    <row r="208" ht="22.5" customHeight="1">
      <c r="A208" s="10">
        <v>260207.0</v>
      </c>
      <c r="B208" s="4">
        <v>46037.72644809028</v>
      </c>
      <c r="C208" s="5" t="s">
        <v>1598</v>
      </c>
      <c r="D208" s="5" t="s">
        <v>1599</v>
      </c>
      <c r="E208" s="5" t="s">
        <v>1600</v>
      </c>
      <c r="F208" s="5" t="s">
        <v>64</v>
      </c>
      <c r="G208" s="11" t="s">
        <v>1601</v>
      </c>
      <c r="H208" s="11" t="s">
        <v>1602</v>
      </c>
      <c r="I208" s="11" t="s">
        <v>1603</v>
      </c>
      <c r="J208" s="11" t="s">
        <v>1604</v>
      </c>
      <c r="K208" s="11" t="s">
        <v>1605</v>
      </c>
      <c r="L208" s="5" t="s">
        <v>30</v>
      </c>
      <c r="M208" s="5" t="s">
        <v>1606</v>
      </c>
      <c r="N208" s="5" t="s">
        <v>456</v>
      </c>
      <c r="O208" s="5" t="s">
        <v>51</v>
      </c>
      <c r="P208" s="5" t="s">
        <v>52</v>
      </c>
      <c r="Q208" s="12"/>
    </row>
    <row r="209" ht="22.5" customHeight="1">
      <c r="A209" s="10">
        <v>260208.0</v>
      </c>
      <c r="B209" s="4">
        <v>46037.750608055554</v>
      </c>
      <c r="C209" s="5" t="s">
        <v>1607</v>
      </c>
      <c r="D209" s="5" t="s">
        <v>1608</v>
      </c>
      <c r="E209" s="5" t="s">
        <v>1607</v>
      </c>
      <c r="F209" s="5" t="s">
        <v>17</v>
      </c>
      <c r="G209" s="11" t="s">
        <v>1609</v>
      </c>
      <c r="H209" s="11" t="s">
        <v>1610</v>
      </c>
      <c r="I209" s="11" t="s">
        <v>1611</v>
      </c>
      <c r="J209" s="11" t="s">
        <v>1612</v>
      </c>
      <c r="K209" s="11" t="s">
        <v>159</v>
      </c>
      <c r="L209" s="5" t="s">
        <v>162</v>
      </c>
      <c r="M209" s="5" t="s">
        <v>1613</v>
      </c>
      <c r="N209" s="5" t="s">
        <v>119</v>
      </c>
      <c r="O209" s="5" t="s">
        <v>26</v>
      </c>
      <c r="P209" s="5" t="s">
        <v>26</v>
      </c>
      <c r="Q209" s="12"/>
    </row>
    <row r="210" ht="22.5" customHeight="1">
      <c r="A210" s="10">
        <v>260209.0</v>
      </c>
      <c r="B210" s="4">
        <v>46037.75469607639</v>
      </c>
      <c r="C210" s="5" t="s">
        <v>1614</v>
      </c>
      <c r="D210" s="5" t="s">
        <v>1615</v>
      </c>
      <c r="E210" s="5" t="s">
        <v>1614</v>
      </c>
      <c r="F210" s="5" t="s">
        <v>64</v>
      </c>
      <c r="G210" s="11" t="s">
        <v>1616</v>
      </c>
      <c r="H210" s="11" t="s">
        <v>1617</v>
      </c>
      <c r="I210" s="11" t="s">
        <v>844</v>
      </c>
      <c r="J210" s="11" t="s">
        <v>1115</v>
      </c>
      <c r="K210" s="11" t="s">
        <v>1618</v>
      </c>
      <c r="L210" s="5" t="s">
        <v>162</v>
      </c>
      <c r="M210" s="5" t="s">
        <v>1456</v>
      </c>
      <c r="N210" s="5" t="s">
        <v>25</v>
      </c>
      <c r="O210" s="5" t="s">
        <v>437</v>
      </c>
      <c r="P210" s="5" t="s">
        <v>437</v>
      </c>
      <c r="Q210" s="12"/>
    </row>
    <row r="211" ht="22.5" customHeight="1">
      <c r="A211" s="10">
        <v>260210.0</v>
      </c>
      <c r="B211" s="4">
        <v>46037.780702523145</v>
      </c>
      <c r="C211" s="5" t="s">
        <v>1619</v>
      </c>
      <c r="D211" s="5" t="s">
        <v>1620</v>
      </c>
      <c r="E211" s="5" t="s">
        <v>1619</v>
      </c>
      <c r="F211" s="5" t="s">
        <v>64</v>
      </c>
      <c r="G211" s="11" t="s">
        <v>1621</v>
      </c>
      <c r="H211" s="11" t="s">
        <v>1622</v>
      </c>
      <c r="I211" s="11" t="s">
        <v>1623</v>
      </c>
      <c r="J211" s="11" t="s">
        <v>22</v>
      </c>
      <c r="K211" s="11" t="s">
        <v>1624</v>
      </c>
      <c r="L211" s="5" t="s">
        <v>30</v>
      </c>
      <c r="M211" s="5" t="s">
        <v>1625</v>
      </c>
      <c r="N211" s="5" t="s">
        <v>119</v>
      </c>
      <c r="O211" s="5" t="s">
        <v>51</v>
      </c>
      <c r="P211" s="5" t="s">
        <v>73</v>
      </c>
      <c r="Q211" s="12"/>
    </row>
    <row r="212" ht="22.5" customHeight="1">
      <c r="A212" s="14">
        <v>260211.0</v>
      </c>
      <c r="B212" s="4">
        <v>46037.784182407406</v>
      </c>
      <c r="C212" s="5" t="s">
        <v>1626</v>
      </c>
      <c r="D212" s="5" t="s">
        <v>1627</v>
      </c>
      <c r="E212" s="5" t="s">
        <v>1626</v>
      </c>
      <c r="F212" s="5" t="s">
        <v>64</v>
      </c>
      <c r="G212" s="13" t="s">
        <v>1628</v>
      </c>
      <c r="H212" s="13" t="s">
        <v>1629</v>
      </c>
      <c r="I212" s="11" t="s">
        <v>1630</v>
      </c>
      <c r="J212" s="11" t="s">
        <v>1631</v>
      </c>
      <c r="K212" s="11" t="s">
        <v>1632</v>
      </c>
      <c r="L212" s="5" t="s">
        <v>30</v>
      </c>
      <c r="M212" s="5" t="s">
        <v>1156</v>
      </c>
      <c r="N212" s="5" t="s">
        <v>164</v>
      </c>
      <c r="O212" s="5" t="s">
        <v>51</v>
      </c>
      <c r="P212" s="5" t="s">
        <v>52</v>
      </c>
      <c r="Q212" s="12"/>
    </row>
    <row r="213" ht="22.5" customHeight="1">
      <c r="A213" s="10">
        <v>260212.0</v>
      </c>
      <c r="B213" s="4">
        <v>46037.83386745371</v>
      </c>
      <c r="C213" s="5" t="s">
        <v>1633</v>
      </c>
      <c r="D213" s="5" t="s">
        <v>1634</v>
      </c>
      <c r="E213" s="5" t="s">
        <v>1633</v>
      </c>
      <c r="F213" s="5" t="s">
        <v>131</v>
      </c>
      <c r="G213" s="11" t="s">
        <v>1635</v>
      </c>
      <c r="H213" s="11" t="s">
        <v>1636</v>
      </c>
      <c r="I213" s="11" t="s">
        <v>1637</v>
      </c>
      <c r="J213" s="11" t="s">
        <v>1638</v>
      </c>
      <c r="K213" s="11" t="s">
        <v>1639</v>
      </c>
      <c r="L213" s="5" t="s">
        <v>162</v>
      </c>
      <c r="M213" s="5" t="s">
        <v>1640</v>
      </c>
      <c r="N213" s="5" t="s">
        <v>39</v>
      </c>
      <c r="O213" s="5" t="s">
        <v>548</v>
      </c>
      <c r="P213" s="5" t="s">
        <v>404</v>
      </c>
      <c r="Q213" s="12"/>
    </row>
    <row r="214" ht="22.5" customHeight="1">
      <c r="A214" s="10">
        <v>260213.0</v>
      </c>
      <c r="B214" s="4">
        <v>46037.835364687504</v>
      </c>
      <c r="C214" s="5" t="s">
        <v>1641</v>
      </c>
      <c r="D214" s="5" t="s">
        <v>1642</v>
      </c>
      <c r="E214" s="5" t="s">
        <v>1641</v>
      </c>
      <c r="F214" s="5" t="s">
        <v>64</v>
      </c>
      <c r="G214" s="11" t="s">
        <v>1643</v>
      </c>
      <c r="H214" s="11" t="s">
        <v>1644</v>
      </c>
      <c r="I214" s="11" t="s">
        <v>1645</v>
      </c>
      <c r="J214" s="11" t="s">
        <v>409</v>
      </c>
      <c r="K214" s="11" t="s">
        <v>1138</v>
      </c>
      <c r="L214" s="5" t="s">
        <v>162</v>
      </c>
      <c r="M214" s="5" t="s">
        <v>1646</v>
      </c>
      <c r="N214" s="5" t="s">
        <v>119</v>
      </c>
      <c r="O214" s="5" t="s">
        <v>1647</v>
      </c>
      <c r="P214" s="5" t="s">
        <v>566</v>
      </c>
      <c r="Q214" s="12"/>
    </row>
    <row r="215" ht="22.5" customHeight="1">
      <c r="A215" s="10">
        <v>260214.0</v>
      </c>
      <c r="B215" s="4">
        <v>46037.848872523144</v>
      </c>
      <c r="C215" s="5" t="s">
        <v>1648</v>
      </c>
      <c r="D215" s="5" t="s">
        <v>1649</v>
      </c>
      <c r="E215" s="5" t="s">
        <v>1648</v>
      </c>
      <c r="F215" s="5" t="s">
        <v>17</v>
      </c>
      <c r="G215" s="11" t="s">
        <v>1650</v>
      </c>
      <c r="H215" s="11" t="s">
        <v>1651</v>
      </c>
      <c r="I215" s="11" t="s">
        <v>274</v>
      </c>
      <c r="J215" s="11" t="s">
        <v>1652</v>
      </c>
      <c r="K215" s="11" t="s">
        <v>1653</v>
      </c>
      <c r="L215" s="5" t="s">
        <v>23</v>
      </c>
      <c r="M215" s="5" t="s">
        <v>1654</v>
      </c>
      <c r="N215" s="5" t="s">
        <v>413</v>
      </c>
      <c r="O215" s="5" t="s">
        <v>437</v>
      </c>
      <c r="P215" s="5" t="s">
        <v>328</v>
      </c>
      <c r="Q215" s="12"/>
    </row>
    <row r="216" ht="22.5" customHeight="1">
      <c r="A216" s="10">
        <v>260215.0</v>
      </c>
      <c r="B216" s="4">
        <v>46037.891919444446</v>
      </c>
      <c r="C216" s="5" t="s">
        <v>1655</v>
      </c>
      <c r="D216" s="5" t="s">
        <v>1656</v>
      </c>
      <c r="E216" s="5" t="s">
        <v>1655</v>
      </c>
      <c r="F216" s="5" t="s">
        <v>17</v>
      </c>
      <c r="G216" s="11" t="s">
        <v>1657</v>
      </c>
      <c r="H216" s="13" t="s">
        <v>1658</v>
      </c>
      <c r="I216" s="11" t="s">
        <v>1659</v>
      </c>
      <c r="J216" s="11" t="s">
        <v>58</v>
      </c>
      <c r="K216" s="11" t="s">
        <v>1660</v>
      </c>
      <c r="L216" s="5" t="s">
        <v>162</v>
      </c>
      <c r="M216" s="5" t="s">
        <v>1661</v>
      </c>
      <c r="N216" s="5" t="s">
        <v>31</v>
      </c>
      <c r="O216" s="5" t="s">
        <v>26</v>
      </c>
      <c r="P216" s="5" t="s">
        <v>26</v>
      </c>
      <c r="Q216" s="12"/>
    </row>
    <row r="217" ht="22.5" customHeight="1">
      <c r="A217" s="10">
        <v>260216.0</v>
      </c>
      <c r="B217" s="4">
        <v>46037.897460277774</v>
      </c>
      <c r="C217" s="5" t="s">
        <v>1662</v>
      </c>
      <c r="D217" s="5" t="s">
        <v>1663</v>
      </c>
      <c r="E217" s="5" t="s">
        <v>1662</v>
      </c>
      <c r="F217" s="5" t="s">
        <v>64</v>
      </c>
      <c r="G217" s="11" t="s">
        <v>1664</v>
      </c>
      <c r="H217" s="13" t="s">
        <v>1665</v>
      </c>
      <c r="I217" s="11" t="s">
        <v>1666</v>
      </c>
      <c r="J217" s="11" t="s">
        <v>1667</v>
      </c>
      <c r="K217" s="11" t="s">
        <v>1668</v>
      </c>
      <c r="L217" s="5" t="s">
        <v>30</v>
      </c>
      <c r="M217" s="5" t="s">
        <v>1669</v>
      </c>
      <c r="N217" s="5" t="s">
        <v>31</v>
      </c>
      <c r="O217" s="5" t="s">
        <v>72</v>
      </c>
      <c r="P217" s="5" t="s">
        <v>73</v>
      </c>
      <c r="Q217" s="12"/>
    </row>
    <row r="218" ht="22.5" customHeight="1">
      <c r="A218" s="10">
        <v>260217.0</v>
      </c>
      <c r="B218" s="4">
        <v>46037.91215359954</v>
      </c>
      <c r="C218" s="5" t="s">
        <v>1670</v>
      </c>
      <c r="D218" s="5" t="s">
        <v>1671</v>
      </c>
      <c r="E218" s="5" t="s">
        <v>1670</v>
      </c>
      <c r="F218" s="5" t="s">
        <v>64</v>
      </c>
      <c r="G218" s="11" t="s">
        <v>1672</v>
      </c>
      <c r="H218" s="11" t="s">
        <v>1673</v>
      </c>
      <c r="I218" s="11" t="s">
        <v>1674</v>
      </c>
      <c r="J218" s="11" t="s">
        <v>1675</v>
      </c>
      <c r="K218" s="11" t="s">
        <v>1676</v>
      </c>
      <c r="L218" s="5" t="s">
        <v>30</v>
      </c>
      <c r="M218" s="5" t="s">
        <v>1677</v>
      </c>
      <c r="N218" s="5" t="s">
        <v>119</v>
      </c>
      <c r="O218" s="5" t="s">
        <v>51</v>
      </c>
      <c r="P218" s="5" t="s">
        <v>1678</v>
      </c>
      <c r="Q218" s="12"/>
    </row>
    <row r="219" ht="22.5" customHeight="1">
      <c r="A219" s="10">
        <v>260218.0</v>
      </c>
      <c r="B219" s="4">
        <v>46037.940740590275</v>
      </c>
      <c r="C219" s="5" t="s">
        <v>1679</v>
      </c>
      <c r="D219" s="5" t="s">
        <v>1680</v>
      </c>
      <c r="E219" s="5" t="s">
        <v>1679</v>
      </c>
      <c r="F219" s="5" t="s">
        <v>17</v>
      </c>
      <c r="G219" s="11" t="s">
        <v>1681</v>
      </c>
      <c r="H219" s="11" t="s">
        <v>1682</v>
      </c>
      <c r="I219" s="11" t="s">
        <v>21</v>
      </c>
      <c r="J219" s="11" t="s">
        <v>1683</v>
      </c>
      <c r="K219" s="11" t="s">
        <v>1684</v>
      </c>
      <c r="L219" s="5" t="s">
        <v>23</v>
      </c>
      <c r="M219" s="5" t="s">
        <v>1685</v>
      </c>
      <c r="N219" s="5" t="s">
        <v>71</v>
      </c>
      <c r="O219" s="5" t="s">
        <v>200</v>
      </c>
      <c r="P219" s="5" t="s">
        <v>1401</v>
      </c>
      <c r="Q219" s="12"/>
    </row>
    <row r="220" ht="22.5" customHeight="1">
      <c r="A220" s="10">
        <v>260219.0</v>
      </c>
      <c r="B220" s="4">
        <v>46037.94849663194</v>
      </c>
      <c r="C220" s="5" t="s">
        <v>1686</v>
      </c>
      <c r="D220" s="5" t="s">
        <v>1687</v>
      </c>
      <c r="E220" s="5" t="s">
        <v>1686</v>
      </c>
      <c r="F220" s="5" t="s">
        <v>64</v>
      </c>
      <c r="G220" s="11" t="s">
        <v>1688</v>
      </c>
      <c r="H220" s="11" t="s">
        <v>1689</v>
      </c>
      <c r="I220" s="11" t="s">
        <v>1690</v>
      </c>
      <c r="J220" s="11" t="s">
        <v>1691</v>
      </c>
      <c r="K220" s="11" t="s">
        <v>1692</v>
      </c>
      <c r="L220" s="5" t="s">
        <v>30</v>
      </c>
      <c r="M220" s="5" t="s">
        <v>1693</v>
      </c>
      <c r="N220" s="5" t="s">
        <v>119</v>
      </c>
      <c r="O220" s="5" t="s">
        <v>403</v>
      </c>
      <c r="P220" s="5" t="s">
        <v>734</v>
      </c>
      <c r="Q220" s="12"/>
    </row>
    <row r="221" ht="22.5" customHeight="1">
      <c r="A221" s="10">
        <v>260220.0</v>
      </c>
      <c r="B221" s="4">
        <v>46037.952517314814</v>
      </c>
      <c r="C221" s="5" t="s">
        <v>1694</v>
      </c>
      <c r="D221" s="5" t="s">
        <v>1695</v>
      </c>
      <c r="E221" s="5" t="s">
        <v>1694</v>
      </c>
      <c r="F221" s="5" t="s">
        <v>64</v>
      </c>
      <c r="G221" s="11" t="s">
        <v>1696</v>
      </c>
      <c r="H221" s="13" t="s">
        <v>1697</v>
      </c>
      <c r="I221" s="11" t="s">
        <v>1698</v>
      </c>
      <c r="J221" s="11" t="s">
        <v>1699</v>
      </c>
      <c r="K221" s="11" t="s">
        <v>1700</v>
      </c>
      <c r="L221" s="5" t="s">
        <v>30</v>
      </c>
      <c r="M221" s="5" t="s">
        <v>1701</v>
      </c>
      <c r="N221" s="5" t="s">
        <v>1702</v>
      </c>
      <c r="O221" s="5" t="s">
        <v>1703</v>
      </c>
      <c r="P221" s="5" t="s">
        <v>1703</v>
      </c>
      <c r="Q221" s="12"/>
    </row>
    <row r="222" ht="22.5" customHeight="1">
      <c r="A222" s="10">
        <v>260221.0</v>
      </c>
      <c r="B222" s="4">
        <v>46037.96924219908</v>
      </c>
      <c r="C222" s="5" t="s">
        <v>1704</v>
      </c>
      <c r="D222" s="5" t="s">
        <v>1705</v>
      </c>
      <c r="E222" s="5" t="s">
        <v>1704</v>
      </c>
      <c r="F222" s="5" t="s">
        <v>17</v>
      </c>
      <c r="G222" s="11" t="s">
        <v>1706</v>
      </c>
      <c r="H222" s="11" t="s">
        <v>1707</v>
      </c>
      <c r="I222" s="11" t="s">
        <v>1708</v>
      </c>
      <c r="J222" s="11" t="s">
        <v>1709</v>
      </c>
      <c r="K222" s="11" t="s">
        <v>1710</v>
      </c>
      <c r="L222" s="5" t="s">
        <v>162</v>
      </c>
      <c r="M222" s="5" t="s">
        <v>1711</v>
      </c>
      <c r="N222" s="5" t="s">
        <v>119</v>
      </c>
      <c r="O222" s="5" t="s">
        <v>26</v>
      </c>
      <c r="P222" s="5" t="s">
        <v>26</v>
      </c>
      <c r="Q222" s="12"/>
    </row>
    <row r="223" ht="22.5" customHeight="1">
      <c r="A223" s="10">
        <v>260222.0</v>
      </c>
      <c r="B223" s="4">
        <v>46037.977697442126</v>
      </c>
      <c r="C223" s="5" t="s">
        <v>15</v>
      </c>
      <c r="D223" s="5" t="s">
        <v>1712</v>
      </c>
      <c r="E223" s="5" t="s">
        <v>15</v>
      </c>
      <c r="F223" s="5" t="s">
        <v>64</v>
      </c>
      <c r="G223" s="11" t="s">
        <v>1713</v>
      </c>
      <c r="H223" s="13" t="s">
        <v>1714</v>
      </c>
      <c r="I223" s="11" t="s">
        <v>720</v>
      </c>
      <c r="J223" s="11" t="s">
        <v>1715</v>
      </c>
      <c r="K223" s="11" t="s">
        <v>1716</v>
      </c>
      <c r="L223" s="5" t="s">
        <v>162</v>
      </c>
      <c r="M223" s="5" t="s">
        <v>24</v>
      </c>
      <c r="N223" s="5" t="s">
        <v>25</v>
      </c>
      <c r="O223" s="5" t="s">
        <v>26</v>
      </c>
      <c r="P223" s="5" t="s">
        <v>825</v>
      </c>
      <c r="Q223" s="12"/>
    </row>
    <row r="224" ht="22.5" customHeight="1">
      <c r="A224" s="10">
        <v>260223.0</v>
      </c>
      <c r="B224" s="4">
        <v>46038.05131846065</v>
      </c>
      <c r="C224" s="5" t="s">
        <v>1717</v>
      </c>
      <c r="D224" s="5" t="s">
        <v>1718</v>
      </c>
      <c r="E224" s="5" t="s">
        <v>1717</v>
      </c>
      <c r="F224" s="5" t="s">
        <v>64</v>
      </c>
      <c r="G224" s="11" t="s">
        <v>1719</v>
      </c>
      <c r="H224" s="11" t="s">
        <v>1720</v>
      </c>
      <c r="I224" s="11" t="s">
        <v>1721</v>
      </c>
      <c r="J224" s="11" t="s">
        <v>720</v>
      </c>
      <c r="K224" s="11" t="s">
        <v>1722</v>
      </c>
      <c r="L224" s="5" t="s">
        <v>162</v>
      </c>
      <c r="M224" s="5" t="s">
        <v>878</v>
      </c>
      <c r="N224" s="5" t="s">
        <v>119</v>
      </c>
      <c r="O224" s="5" t="s">
        <v>548</v>
      </c>
      <c r="P224" s="5" t="s">
        <v>548</v>
      </c>
      <c r="Q224" s="12"/>
    </row>
    <row r="225" ht="22.5" customHeight="1">
      <c r="A225" s="14">
        <v>260224.0</v>
      </c>
      <c r="B225" s="4">
        <v>46038.05414087963</v>
      </c>
      <c r="C225" s="5" t="s">
        <v>1723</v>
      </c>
      <c r="D225" s="5" t="s">
        <v>1724</v>
      </c>
      <c r="E225" s="5" t="s">
        <v>1723</v>
      </c>
      <c r="F225" s="5" t="s">
        <v>17</v>
      </c>
      <c r="G225" s="13" t="s">
        <v>1725</v>
      </c>
      <c r="H225" s="13" t="s">
        <v>1726</v>
      </c>
      <c r="I225" s="11" t="s">
        <v>1727</v>
      </c>
      <c r="J225" s="11" t="s">
        <v>1728</v>
      </c>
      <c r="K225" s="11" t="s">
        <v>1729</v>
      </c>
      <c r="L225" s="5" t="s">
        <v>162</v>
      </c>
      <c r="M225" s="5" t="s">
        <v>1730</v>
      </c>
      <c r="N225" s="5" t="s">
        <v>71</v>
      </c>
      <c r="O225" s="5" t="s">
        <v>1731</v>
      </c>
      <c r="P225" s="5" t="s">
        <v>182</v>
      </c>
      <c r="Q225" s="12"/>
    </row>
    <row r="226" ht="22.5" customHeight="1">
      <c r="A226" s="10">
        <v>260225.0</v>
      </c>
      <c r="B226" s="4">
        <v>46038.108123136575</v>
      </c>
      <c r="C226" s="5" t="s">
        <v>1732</v>
      </c>
      <c r="D226" s="5" t="s">
        <v>1733</v>
      </c>
      <c r="E226" s="5" t="s">
        <v>1732</v>
      </c>
      <c r="F226" s="5" t="s">
        <v>17</v>
      </c>
      <c r="G226" s="11" t="s">
        <v>1734</v>
      </c>
      <c r="H226" s="13" t="s">
        <v>1735</v>
      </c>
      <c r="I226" s="11" t="s">
        <v>1736</v>
      </c>
      <c r="J226" s="11" t="s">
        <v>1737</v>
      </c>
      <c r="K226" s="11" t="s">
        <v>20</v>
      </c>
      <c r="L226" s="5" t="s">
        <v>30</v>
      </c>
      <c r="M226" s="5" t="s">
        <v>1738</v>
      </c>
      <c r="N226" s="5" t="s">
        <v>119</v>
      </c>
      <c r="O226" s="5" t="s">
        <v>51</v>
      </c>
      <c r="P226" s="5" t="s">
        <v>52</v>
      </c>
      <c r="Q226" s="12"/>
    </row>
    <row r="227" ht="22.5" customHeight="1">
      <c r="A227" s="10">
        <v>260226.0</v>
      </c>
      <c r="B227" s="4">
        <v>46038.875274351856</v>
      </c>
      <c r="C227" s="5" t="s">
        <v>1739</v>
      </c>
      <c r="D227" s="5" t="s">
        <v>1740</v>
      </c>
      <c r="E227" s="5" t="s">
        <v>1739</v>
      </c>
      <c r="F227" s="5" t="s">
        <v>131</v>
      </c>
      <c r="G227" s="11" t="s">
        <v>1741</v>
      </c>
      <c r="H227" s="11" t="s">
        <v>1742</v>
      </c>
      <c r="I227" s="11" t="s">
        <v>1743</v>
      </c>
      <c r="J227" s="11" t="s">
        <v>1744</v>
      </c>
      <c r="K227" s="11" t="s">
        <v>1745</v>
      </c>
      <c r="L227" s="5" t="s">
        <v>162</v>
      </c>
      <c r="M227" s="5" t="s">
        <v>1746</v>
      </c>
      <c r="N227" s="5" t="s">
        <v>25</v>
      </c>
      <c r="O227" s="5" t="s">
        <v>26</v>
      </c>
      <c r="P227" s="5" t="s">
        <v>825</v>
      </c>
      <c r="Q227" s="12"/>
    </row>
    <row r="228" ht="22.5" customHeight="1">
      <c r="A228" s="10">
        <v>260227.0</v>
      </c>
      <c r="B228" s="4">
        <v>46038.21243915509</v>
      </c>
      <c r="C228" s="5" t="s">
        <v>1747</v>
      </c>
      <c r="D228" s="5" t="s">
        <v>1748</v>
      </c>
      <c r="E228" s="5" t="s">
        <v>1747</v>
      </c>
      <c r="F228" s="5" t="s">
        <v>17</v>
      </c>
      <c r="G228" s="11" t="s">
        <v>1749</v>
      </c>
      <c r="H228" s="13" t="s">
        <v>1750</v>
      </c>
      <c r="I228" s="11" t="s">
        <v>1751</v>
      </c>
      <c r="J228" s="11" t="s">
        <v>1752</v>
      </c>
      <c r="K228" s="11" t="s">
        <v>1753</v>
      </c>
      <c r="L228" s="5" t="s">
        <v>162</v>
      </c>
      <c r="M228" s="5" t="s">
        <v>1754</v>
      </c>
      <c r="N228" s="5" t="s">
        <v>61</v>
      </c>
      <c r="O228" s="5" t="s">
        <v>437</v>
      </c>
      <c r="P228" s="5" t="s">
        <v>268</v>
      </c>
      <c r="Q228" s="12"/>
    </row>
    <row r="229" ht="22.5" customHeight="1">
      <c r="A229" s="10">
        <v>260228.0</v>
      </c>
      <c r="B229" s="4">
        <v>46038.24360479167</v>
      </c>
      <c r="C229" s="5" t="s">
        <v>1755</v>
      </c>
      <c r="D229" s="5" t="s">
        <v>1756</v>
      </c>
      <c r="E229" s="5" t="s">
        <v>1755</v>
      </c>
      <c r="F229" s="5" t="s">
        <v>17</v>
      </c>
      <c r="G229" s="11" t="s">
        <v>1757</v>
      </c>
      <c r="H229" s="13" t="s">
        <v>1758</v>
      </c>
      <c r="I229" s="11" t="s">
        <v>1759</v>
      </c>
      <c r="J229" s="11" t="s">
        <v>51</v>
      </c>
      <c r="K229" s="11" t="s">
        <v>1760</v>
      </c>
      <c r="L229" s="5" t="s">
        <v>23</v>
      </c>
      <c r="M229" s="5" t="s">
        <v>1761</v>
      </c>
      <c r="N229" s="5" t="s">
        <v>39</v>
      </c>
      <c r="O229" s="5" t="s">
        <v>181</v>
      </c>
      <c r="P229" s="5" t="s">
        <v>1762</v>
      </c>
      <c r="Q229" s="12"/>
    </row>
    <row r="230" ht="22.5" customHeight="1">
      <c r="A230" s="10">
        <v>260229.0</v>
      </c>
      <c r="B230" s="4">
        <v>46038.245496400465</v>
      </c>
      <c r="C230" s="5" t="s">
        <v>1763</v>
      </c>
      <c r="D230" s="5" t="s">
        <v>1764</v>
      </c>
      <c r="E230" s="5" t="s">
        <v>1763</v>
      </c>
      <c r="F230" s="5" t="s">
        <v>17</v>
      </c>
      <c r="G230" s="11" t="s">
        <v>1765</v>
      </c>
      <c r="H230" s="13" t="s">
        <v>1766</v>
      </c>
      <c r="I230" s="11" t="s">
        <v>1767</v>
      </c>
      <c r="J230" s="11" t="s">
        <v>1768</v>
      </c>
      <c r="K230" s="11" t="s">
        <v>1769</v>
      </c>
      <c r="L230" s="5" t="s">
        <v>23</v>
      </c>
      <c r="M230" s="5" t="s">
        <v>1770</v>
      </c>
      <c r="N230" s="5" t="s">
        <v>456</v>
      </c>
      <c r="O230" s="5" t="s">
        <v>1771</v>
      </c>
      <c r="P230" s="5" t="s">
        <v>566</v>
      </c>
      <c r="Q230" s="12"/>
    </row>
    <row r="231" ht="22.5" customHeight="1">
      <c r="A231" s="14">
        <v>260230.0</v>
      </c>
      <c r="B231" s="4">
        <v>46038.25010081018</v>
      </c>
      <c r="C231" s="5" t="s">
        <v>1772</v>
      </c>
      <c r="D231" s="5" t="s">
        <v>1773</v>
      </c>
      <c r="E231" s="5" t="s">
        <v>1772</v>
      </c>
      <c r="F231" s="5" t="s">
        <v>17</v>
      </c>
      <c r="G231" s="13" t="s">
        <v>1774</v>
      </c>
      <c r="H231" s="13" t="s">
        <v>1775</v>
      </c>
      <c r="I231" s="15" t="s">
        <v>1776</v>
      </c>
      <c r="J231" s="11" t="s">
        <v>1379</v>
      </c>
      <c r="K231" s="11" t="s">
        <v>1777</v>
      </c>
      <c r="L231" s="5" t="s">
        <v>162</v>
      </c>
      <c r="M231" s="5" t="s">
        <v>1646</v>
      </c>
      <c r="N231" s="5" t="s">
        <v>119</v>
      </c>
      <c r="O231" s="5" t="s">
        <v>548</v>
      </c>
      <c r="P231" s="5" t="s">
        <v>200</v>
      </c>
      <c r="Q231" s="12"/>
    </row>
    <row r="232" ht="22.5" customHeight="1">
      <c r="A232" s="10">
        <v>260231.0</v>
      </c>
      <c r="B232" s="4">
        <v>46038.2560659375</v>
      </c>
      <c r="C232" s="5" t="s">
        <v>1778</v>
      </c>
      <c r="D232" s="5" t="s">
        <v>1779</v>
      </c>
      <c r="E232" s="5" t="s">
        <v>1778</v>
      </c>
      <c r="F232" s="5" t="s">
        <v>17</v>
      </c>
      <c r="G232" s="11" t="s">
        <v>1780</v>
      </c>
      <c r="H232" s="13" t="s">
        <v>1781</v>
      </c>
      <c r="I232" s="11" t="s">
        <v>1782</v>
      </c>
      <c r="J232" s="11" t="s">
        <v>1783</v>
      </c>
      <c r="K232" s="11" t="s">
        <v>1784</v>
      </c>
      <c r="L232" s="5" t="s">
        <v>23</v>
      </c>
      <c r="M232" s="5" t="s">
        <v>1785</v>
      </c>
      <c r="N232" s="5" t="s">
        <v>119</v>
      </c>
      <c r="O232" s="5" t="s">
        <v>51</v>
      </c>
      <c r="P232" s="5" t="s">
        <v>268</v>
      </c>
      <c r="Q232" s="12"/>
    </row>
    <row r="233" ht="22.5" customHeight="1">
      <c r="A233" s="10">
        <v>260232.0</v>
      </c>
      <c r="B233" s="4">
        <v>46038.273083506945</v>
      </c>
      <c r="C233" s="5" t="s">
        <v>1786</v>
      </c>
      <c r="D233" s="5" t="s">
        <v>1787</v>
      </c>
      <c r="E233" s="5" t="s">
        <v>1786</v>
      </c>
      <c r="F233" s="5" t="s">
        <v>17</v>
      </c>
      <c r="G233" s="11" t="s">
        <v>1788</v>
      </c>
      <c r="H233" s="11" t="s">
        <v>1789</v>
      </c>
      <c r="I233" s="11" t="s">
        <v>324</v>
      </c>
      <c r="J233" s="11" t="s">
        <v>1790</v>
      </c>
      <c r="K233" s="11" t="s">
        <v>1791</v>
      </c>
      <c r="L233" s="5" t="s">
        <v>23</v>
      </c>
      <c r="M233" s="5" t="s">
        <v>1792</v>
      </c>
      <c r="N233" s="5" t="s">
        <v>1383</v>
      </c>
      <c r="O233" s="5" t="s">
        <v>51</v>
      </c>
      <c r="P233" s="5" t="s">
        <v>200</v>
      </c>
      <c r="Q233" s="12"/>
    </row>
    <row r="234" ht="22.5" customHeight="1">
      <c r="A234" s="10">
        <v>260233.0</v>
      </c>
      <c r="B234" s="4">
        <v>46038.274556550925</v>
      </c>
      <c r="C234" s="5" t="s">
        <v>1793</v>
      </c>
      <c r="D234" s="5" t="s">
        <v>1794</v>
      </c>
      <c r="E234" s="5" t="s">
        <v>1793</v>
      </c>
      <c r="F234" s="5" t="s">
        <v>17</v>
      </c>
      <c r="G234" s="11" t="s">
        <v>1795</v>
      </c>
      <c r="H234" s="13" t="s">
        <v>1796</v>
      </c>
      <c r="I234" s="11" t="s">
        <v>1797</v>
      </c>
      <c r="J234" s="11" t="s">
        <v>862</v>
      </c>
      <c r="K234" s="11" t="s">
        <v>1138</v>
      </c>
      <c r="L234" s="5" t="s">
        <v>23</v>
      </c>
      <c r="M234" s="5" t="s">
        <v>1798</v>
      </c>
      <c r="N234" s="5" t="s">
        <v>119</v>
      </c>
      <c r="O234" s="5" t="s">
        <v>437</v>
      </c>
      <c r="P234" s="5" t="s">
        <v>182</v>
      </c>
      <c r="Q234" s="12"/>
    </row>
    <row r="235" ht="22.5" customHeight="1">
      <c r="A235" s="10">
        <v>260234.0</v>
      </c>
      <c r="B235" s="4">
        <v>46038.2774840625</v>
      </c>
      <c r="C235" s="5" t="s">
        <v>1799</v>
      </c>
      <c r="D235" s="5" t="s">
        <v>1800</v>
      </c>
      <c r="E235" s="5" t="s">
        <v>1799</v>
      </c>
      <c r="F235" s="5" t="s">
        <v>17</v>
      </c>
      <c r="G235" s="11" t="s">
        <v>1801</v>
      </c>
      <c r="H235" s="11" t="s">
        <v>1802</v>
      </c>
      <c r="I235" s="11" t="s">
        <v>1803</v>
      </c>
      <c r="J235" s="11" t="s">
        <v>1804</v>
      </c>
      <c r="K235" s="11" t="s">
        <v>1805</v>
      </c>
      <c r="L235" s="5" t="s">
        <v>30</v>
      </c>
      <c r="M235" s="5" t="s">
        <v>39</v>
      </c>
      <c r="N235" s="5" t="s">
        <v>39</v>
      </c>
      <c r="O235" s="5" t="s">
        <v>181</v>
      </c>
      <c r="P235" s="5" t="s">
        <v>660</v>
      </c>
      <c r="Q235" s="12"/>
    </row>
    <row r="236" ht="22.5" customHeight="1">
      <c r="A236" s="10">
        <v>260235.0</v>
      </c>
      <c r="B236" s="4">
        <v>46038.278584942134</v>
      </c>
      <c r="C236" s="5" t="s">
        <v>1806</v>
      </c>
      <c r="D236" s="5" t="s">
        <v>1807</v>
      </c>
      <c r="E236" s="5" t="s">
        <v>1806</v>
      </c>
      <c r="F236" s="5" t="s">
        <v>64</v>
      </c>
      <c r="G236" s="11" t="s">
        <v>1808</v>
      </c>
      <c r="H236" s="11" t="s">
        <v>1809</v>
      </c>
      <c r="I236" s="11" t="s">
        <v>1810</v>
      </c>
      <c r="J236" s="11" t="s">
        <v>1811</v>
      </c>
      <c r="K236" s="11" t="s">
        <v>1812</v>
      </c>
      <c r="L236" s="5" t="s">
        <v>30</v>
      </c>
      <c r="M236" s="5" t="s">
        <v>1813</v>
      </c>
      <c r="N236" s="5" t="s">
        <v>61</v>
      </c>
      <c r="O236" s="5" t="s">
        <v>51</v>
      </c>
      <c r="P236" s="5" t="s">
        <v>51</v>
      </c>
      <c r="Q236" s="12"/>
    </row>
    <row r="237" ht="22.5" customHeight="1">
      <c r="A237" s="14">
        <v>260236.0</v>
      </c>
      <c r="B237" s="4">
        <v>46038.28588107639</v>
      </c>
      <c r="C237" s="5" t="s">
        <v>1814</v>
      </c>
      <c r="D237" s="5" t="s">
        <v>1815</v>
      </c>
      <c r="E237" s="5" t="s">
        <v>1814</v>
      </c>
      <c r="F237" s="5" t="s">
        <v>17</v>
      </c>
      <c r="G237" s="13" t="s">
        <v>1816</v>
      </c>
      <c r="H237" s="13" t="s">
        <v>1817</v>
      </c>
      <c r="I237" s="11" t="s">
        <v>1818</v>
      </c>
      <c r="J237" s="11" t="s">
        <v>1819</v>
      </c>
      <c r="K237" s="11" t="s">
        <v>1820</v>
      </c>
      <c r="L237" s="5" t="s">
        <v>162</v>
      </c>
      <c r="M237" s="5" t="s">
        <v>1821</v>
      </c>
      <c r="N237" s="5" t="s">
        <v>1822</v>
      </c>
      <c r="O237" s="5" t="s">
        <v>592</v>
      </c>
      <c r="P237" s="5" t="s">
        <v>593</v>
      </c>
      <c r="Q237" s="12"/>
    </row>
    <row r="238" ht="22.5" customHeight="1">
      <c r="A238" s="10">
        <v>260237.0</v>
      </c>
      <c r="B238" s="4">
        <v>46038.30154659723</v>
      </c>
      <c r="C238" s="5" t="s">
        <v>1823</v>
      </c>
      <c r="D238" s="5" t="s">
        <v>1824</v>
      </c>
      <c r="E238" s="5" t="s">
        <v>1823</v>
      </c>
      <c r="F238" s="5" t="s">
        <v>17</v>
      </c>
      <c r="G238" s="11" t="s">
        <v>1825</v>
      </c>
      <c r="H238" s="11" t="s">
        <v>1826</v>
      </c>
      <c r="I238" s="11" t="s">
        <v>1827</v>
      </c>
      <c r="J238" s="11" t="s">
        <v>1828</v>
      </c>
      <c r="K238" s="11" t="s">
        <v>1344</v>
      </c>
      <c r="L238" s="5" t="s">
        <v>30</v>
      </c>
      <c r="M238" s="5" t="s">
        <v>1829</v>
      </c>
      <c r="N238" s="5" t="s">
        <v>1822</v>
      </c>
      <c r="O238" s="5" t="s">
        <v>51</v>
      </c>
      <c r="P238" s="5" t="s">
        <v>1830</v>
      </c>
      <c r="Q238" s="12"/>
    </row>
    <row r="239" ht="22.5" customHeight="1">
      <c r="A239" s="14">
        <v>260238.0</v>
      </c>
      <c r="B239" s="4">
        <v>46038.31003432871</v>
      </c>
      <c r="C239" s="5" t="s">
        <v>1814</v>
      </c>
      <c r="D239" s="5" t="s">
        <v>1815</v>
      </c>
      <c r="E239" s="5" t="s">
        <v>1814</v>
      </c>
      <c r="F239" s="5" t="s">
        <v>17</v>
      </c>
      <c r="G239" s="13" t="s">
        <v>1831</v>
      </c>
      <c r="H239" s="13" t="s">
        <v>1832</v>
      </c>
      <c r="I239" s="11" t="s">
        <v>1819</v>
      </c>
      <c r="J239" s="11" t="s">
        <v>1833</v>
      </c>
      <c r="K239" s="11" t="s">
        <v>1834</v>
      </c>
      <c r="L239" s="5" t="s">
        <v>162</v>
      </c>
      <c r="M239" s="5" t="s">
        <v>1821</v>
      </c>
      <c r="N239" s="5" t="s">
        <v>1822</v>
      </c>
      <c r="O239" s="5" t="s">
        <v>592</v>
      </c>
      <c r="P239" s="5" t="s">
        <v>593</v>
      </c>
      <c r="Q239" s="12"/>
    </row>
    <row r="240" ht="22.5" customHeight="1">
      <c r="A240" s="10">
        <v>260239.0</v>
      </c>
      <c r="B240" s="4">
        <v>46038.32530041666</v>
      </c>
      <c r="C240" s="5" t="s">
        <v>1835</v>
      </c>
      <c r="D240" s="5" t="s">
        <v>1836</v>
      </c>
      <c r="E240" s="5" t="s">
        <v>1835</v>
      </c>
      <c r="F240" s="5" t="s">
        <v>17</v>
      </c>
      <c r="G240" s="11" t="s">
        <v>1837</v>
      </c>
      <c r="H240" s="11" t="s">
        <v>1838</v>
      </c>
      <c r="I240" s="11" t="s">
        <v>1839</v>
      </c>
      <c r="J240" s="11" t="s">
        <v>1840</v>
      </c>
      <c r="K240" s="11" t="s">
        <v>1841</v>
      </c>
      <c r="L240" s="5" t="s">
        <v>30</v>
      </c>
      <c r="M240" s="5" t="s">
        <v>1842</v>
      </c>
      <c r="N240" s="5" t="s">
        <v>39</v>
      </c>
      <c r="O240" s="5" t="s">
        <v>51</v>
      </c>
      <c r="P240" s="5" t="s">
        <v>52</v>
      </c>
      <c r="Q240" s="12"/>
    </row>
    <row r="241" ht="22.5" customHeight="1">
      <c r="A241" s="14">
        <v>260240.0</v>
      </c>
      <c r="B241" s="4">
        <v>46038.33702363426</v>
      </c>
      <c r="C241" s="5" t="s">
        <v>1843</v>
      </c>
      <c r="D241" s="5" t="s">
        <v>1844</v>
      </c>
      <c r="E241" s="5" t="s">
        <v>1843</v>
      </c>
      <c r="F241" s="5" t="s">
        <v>17</v>
      </c>
      <c r="G241" s="13" t="s">
        <v>1845</v>
      </c>
      <c r="H241" s="13" t="s">
        <v>1846</v>
      </c>
      <c r="I241" s="11" t="s">
        <v>51</v>
      </c>
      <c r="J241" s="11" t="s">
        <v>1847</v>
      </c>
      <c r="K241" s="11" t="s">
        <v>1848</v>
      </c>
      <c r="L241" s="5" t="s">
        <v>162</v>
      </c>
      <c r="M241" s="5" t="s">
        <v>1849</v>
      </c>
      <c r="N241" s="5" t="s">
        <v>61</v>
      </c>
      <c r="O241" s="5" t="s">
        <v>548</v>
      </c>
      <c r="P241" s="5" t="s">
        <v>660</v>
      </c>
      <c r="Q241" s="12"/>
    </row>
    <row r="242" ht="22.5" customHeight="1">
      <c r="A242" s="10">
        <v>260241.0</v>
      </c>
      <c r="B242" s="4">
        <v>46039.26825141204</v>
      </c>
      <c r="C242" s="5" t="s">
        <v>1850</v>
      </c>
      <c r="D242" s="5" t="s">
        <v>1851</v>
      </c>
      <c r="E242" s="5" t="s">
        <v>1850</v>
      </c>
      <c r="F242" s="5" t="s">
        <v>17</v>
      </c>
      <c r="G242" s="11" t="s">
        <v>1852</v>
      </c>
      <c r="H242" s="11" t="s">
        <v>1853</v>
      </c>
      <c r="I242" s="11" t="s">
        <v>1854</v>
      </c>
      <c r="J242" s="11" t="s">
        <v>1855</v>
      </c>
      <c r="K242" s="11" t="s">
        <v>1856</v>
      </c>
      <c r="L242" s="5" t="s">
        <v>30</v>
      </c>
      <c r="M242" s="5" t="s">
        <v>1857</v>
      </c>
      <c r="N242" s="5" t="s">
        <v>119</v>
      </c>
      <c r="O242" s="5" t="s">
        <v>51</v>
      </c>
      <c r="P242" s="5" t="s">
        <v>52</v>
      </c>
      <c r="Q242" s="12"/>
    </row>
    <row r="243" ht="22.5" customHeight="1">
      <c r="A243" s="10">
        <v>260242.0</v>
      </c>
      <c r="B243" s="4">
        <v>46038.370104710644</v>
      </c>
      <c r="C243" s="5" t="s">
        <v>1858</v>
      </c>
      <c r="D243" s="5" t="s">
        <v>1859</v>
      </c>
      <c r="E243" s="5" t="s">
        <v>1858</v>
      </c>
      <c r="F243" s="5" t="s">
        <v>17</v>
      </c>
      <c r="G243" s="11" t="s">
        <v>1860</v>
      </c>
      <c r="H243" s="13" t="s">
        <v>1861</v>
      </c>
      <c r="I243" s="11" t="s">
        <v>1862</v>
      </c>
      <c r="J243" s="11" t="s">
        <v>21</v>
      </c>
      <c r="K243" s="11" t="s">
        <v>1863</v>
      </c>
      <c r="L243" s="5" t="s">
        <v>162</v>
      </c>
      <c r="M243" s="5" t="s">
        <v>1864</v>
      </c>
      <c r="N243" s="5" t="s">
        <v>164</v>
      </c>
      <c r="O243" s="5" t="s">
        <v>1865</v>
      </c>
      <c r="P243" s="5" t="s">
        <v>1237</v>
      </c>
      <c r="Q243" s="12"/>
    </row>
    <row r="244" ht="22.5" customHeight="1">
      <c r="A244" s="10">
        <v>260243.0</v>
      </c>
      <c r="B244" s="4">
        <v>46038.38535791667</v>
      </c>
      <c r="C244" s="5" t="s">
        <v>1866</v>
      </c>
      <c r="D244" s="5" t="s">
        <v>1867</v>
      </c>
      <c r="E244" s="5" t="s">
        <v>1866</v>
      </c>
      <c r="F244" s="5" t="s">
        <v>17</v>
      </c>
      <c r="G244" s="11" t="s">
        <v>1868</v>
      </c>
      <c r="H244" s="11" t="s">
        <v>1869</v>
      </c>
      <c r="I244" s="11" t="s">
        <v>1870</v>
      </c>
      <c r="J244" s="11" t="s">
        <v>1871</v>
      </c>
      <c r="K244" s="11" t="s">
        <v>1432</v>
      </c>
      <c r="L244" s="5" t="s">
        <v>162</v>
      </c>
      <c r="M244" s="5" t="s">
        <v>878</v>
      </c>
      <c r="N244" s="5" t="s">
        <v>1872</v>
      </c>
      <c r="O244" s="5" t="s">
        <v>548</v>
      </c>
      <c r="P244" s="5" t="s">
        <v>566</v>
      </c>
      <c r="Q244" s="12"/>
    </row>
    <row r="245" ht="22.5" customHeight="1">
      <c r="A245" s="10">
        <v>260244.0</v>
      </c>
      <c r="B245" s="4">
        <v>46038.43465578704</v>
      </c>
      <c r="C245" s="5" t="s">
        <v>1873</v>
      </c>
      <c r="D245" s="5" t="s">
        <v>1874</v>
      </c>
      <c r="E245" s="5" t="s">
        <v>1873</v>
      </c>
      <c r="F245" s="5" t="s">
        <v>17</v>
      </c>
      <c r="G245" s="11" t="s">
        <v>1875</v>
      </c>
      <c r="H245" s="11" t="s">
        <v>1876</v>
      </c>
      <c r="I245" s="11" t="s">
        <v>1877</v>
      </c>
      <c r="J245" s="11" t="s">
        <v>1878</v>
      </c>
      <c r="K245" s="11" t="s">
        <v>1879</v>
      </c>
      <c r="L245" s="5" t="s">
        <v>162</v>
      </c>
      <c r="M245" s="5" t="s">
        <v>1880</v>
      </c>
      <c r="N245" s="5" t="s">
        <v>71</v>
      </c>
      <c r="O245" s="5" t="s">
        <v>26</v>
      </c>
      <c r="P245" s="5" t="s">
        <v>26</v>
      </c>
      <c r="Q245" s="12"/>
    </row>
    <row r="246" ht="22.5" customHeight="1">
      <c r="A246" s="14">
        <v>260245.0</v>
      </c>
      <c r="B246" s="4">
        <v>46038.44758074074</v>
      </c>
      <c r="C246" s="5" t="s">
        <v>1881</v>
      </c>
      <c r="D246" s="5" t="s">
        <v>1882</v>
      </c>
      <c r="E246" s="5" t="s">
        <v>1881</v>
      </c>
      <c r="F246" s="5" t="s">
        <v>17</v>
      </c>
      <c r="G246" s="13" t="s">
        <v>1883</v>
      </c>
      <c r="H246" s="13" t="s">
        <v>1884</v>
      </c>
      <c r="I246" s="11" t="s">
        <v>1885</v>
      </c>
      <c r="J246" s="11" t="s">
        <v>1886</v>
      </c>
      <c r="K246" s="11" t="s">
        <v>1887</v>
      </c>
      <c r="L246" s="5" t="s">
        <v>30</v>
      </c>
      <c r="M246" s="5" t="s">
        <v>1888</v>
      </c>
      <c r="N246" s="5" t="s">
        <v>119</v>
      </c>
      <c r="O246" s="5" t="s">
        <v>51</v>
      </c>
      <c r="P246" s="5" t="s">
        <v>52</v>
      </c>
      <c r="Q246" s="12"/>
    </row>
    <row r="247" ht="22.5" customHeight="1">
      <c r="A247" s="10">
        <v>260246.0</v>
      </c>
      <c r="B247" s="4">
        <v>46038.46944533565</v>
      </c>
      <c r="C247" s="5" t="s">
        <v>1889</v>
      </c>
      <c r="D247" s="5" t="s">
        <v>1890</v>
      </c>
      <c r="E247" s="5" t="s">
        <v>1889</v>
      </c>
      <c r="F247" s="5" t="s">
        <v>17</v>
      </c>
      <c r="G247" s="11" t="s">
        <v>1891</v>
      </c>
      <c r="H247" s="13" t="s">
        <v>1892</v>
      </c>
      <c r="I247" s="11" t="s">
        <v>1893</v>
      </c>
      <c r="J247" s="11" t="s">
        <v>1894</v>
      </c>
      <c r="K247" s="11" t="s">
        <v>1895</v>
      </c>
      <c r="L247" s="5" t="s">
        <v>23</v>
      </c>
      <c r="M247" s="5" t="s">
        <v>1896</v>
      </c>
      <c r="N247" s="5" t="s">
        <v>119</v>
      </c>
      <c r="O247" s="5" t="s">
        <v>833</v>
      </c>
      <c r="P247" s="5" t="s">
        <v>794</v>
      </c>
      <c r="Q247" s="12"/>
    </row>
    <row r="248" ht="22.5" customHeight="1">
      <c r="A248" s="10">
        <v>260247.0</v>
      </c>
      <c r="B248" s="4">
        <v>46038.47926857639</v>
      </c>
      <c r="C248" s="5" t="s">
        <v>1897</v>
      </c>
      <c r="D248" s="5" t="s">
        <v>1898</v>
      </c>
      <c r="E248" s="5" t="s">
        <v>1897</v>
      </c>
      <c r="F248" s="5" t="s">
        <v>17</v>
      </c>
      <c r="G248" s="11" t="s">
        <v>1899</v>
      </c>
      <c r="H248" s="11" t="s">
        <v>1900</v>
      </c>
      <c r="I248" s="11" t="s">
        <v>1901</v>
      </c>
      <c r="J248" s="11" t="s">
        <v>1902</v>
      </c>
      <c r="K248" s="11" t="s">
        <v>1903</v>
      </c>
      <c r="L248" s="5" t="s">
        <v>162</v>
      </c>
      <c r="M248" s="5" t="s">
        <v>1904</v>
      </c>
      <c r="N248" s="5" t="s">
        <v>119</v>
      </c>
      <c r="O248" s="5" t="s">
        <v>437</v>
      </c>
      <c r="P248" s="5" t="s">
        <v>1905</v>
      </c>
      <c r="Q248" s="12"/>
    </row>
    <row r="249" ht="22.5" customHeight="1">
      <c r="A249" s="10">
        <v>260248.0</v>
      </c>
      <c r="B249" s="4">
        <v>46038.53207207176</v>
      </c>
      <c r="C249" s="5" t="s">
        <v>1906</v>
      </c>
      <c r="D249" s="5" t="s">
        <v>1907</v>
      </c>
      <c r="E249" s="5" t="s">
        <v>1908</v>
      </c>
      <c r="F249" s="5" t="s">
        <v>64</v>
      </c>
      <c r="G249" s="11" t="s">
        <v>1909</v>
      </c>
      <c r="H249" s="13" t="s">
        <v>1910</v>
      </c>
      <c r="I249" s="11" t="s">
        <v>1911</v>
      </c>
      <c r="J249" s="11" t="s">
        <v>1432</v>
      </c>
      <c r="K249" s="11" t="s">
        <v>1912</v>
      </c>
      <c r="L249" s="5" t="s">
        <v>162</v>
      </c>
      <c r="M249" s="5" t="s">
        <v>1505</v>
      </c>
      <c r="N249" s="5" t="s">
        <v>71</v>
      </c>
      <c r="O249" s="5" t="s">
        <v>26</v>
      </c>
      <c r="P249" s="5" t="s">
        <v>26</v>
      </c>
      <c r="Q249" s="12"/>
    </row>
    <row r="250" ht="22.5" customHeight="1">
      <c r="A250" s="10">
        <v>260249.0</v>
      </c>
      <c r="B250" s="4">
        <v>46038.911834976854</v>
      </c>
      <c r="C250" s="5" t="s">
        <v>1913</v>
      </c>
      <c r="D250" s="5" t="s">
        <v>1914</v>
      </c>
      <c r="E250" s="5" t="s">
        <v>1913</v>
      </c>
      <c r="F250" s="5" t="s">
        <v>17</v>
      </c>
      <c r="G250" s="11" t="s">
        <v>1915</v>
      </c>
      <c r="H250" s="11" t="s">
        <v>1916</v>
      </c>
      <c r="I250" s="11" t="s">
        <v>1917</v>
      </c>
      <c r="J250" s="11" t="s">
        <v>1918</v>
      </c>
      <c r="K250" s="11" t="s">
        <v>1432</v>
      </c>
      <c r="L250" s="5" t="s">
        <v>30</v>
      </c>
      <c r="M250" s="5" t="s">
        <v>1919</v>
      </c>
      <c r="N250" s="5" t="s">
        <v>39</v>
      </c>
      <c r="O250" s="5" t="s">
        <v>833</v>
      </c>
      <c r="P250" s="5" t="s">
        <v>404</v>
      </c>
      <c r="Q250" s="12"/>
    </row>
    <row r="251" ht="22.5" customHeight="1">
      <c r="A251" s="10">
        <v>260250.0</v>
      </c>
      <c r="B251" s="4">
        <v>46038.64733877315</v>
      </c>
      <c r="C251" s="5" t="s">
        <v>1920</v>
      </c>
      <c r="D251" s="5" t="s">
        <v>1921</v>
      </c>
      <c r="E251" s="5" t="s">
        <v>1920</v>
      </c>
      <c r="F251" s="5" t="s">
        <v>17</v>
      </c>
      <c r="G251" s="11" t="s">
        <v>1922</v>
      </c>
      <c r="H251" s="11" t="s">
        <v>1923</v>
      </c>
      <c r="I251" s="11" t="s">
        <v>1924</v>
      </c>
      <c r="J251" s="11" t="s">
        <v>1925</v>
      </c>
      <c r="K251" s="11" t="s">
        <v>1926</v>
      </c>
      <c r="L251" s="5" t="s">
        <v>162</v>
      </c>
      <c r="M251" s="5" t="s">
        <v>1927</v>
      </c>
      <c r="N251" s="5" t="s">
        <v>71</v>
      </c>
      <c r="O251" s="5" t="s">
        <v>26</v>
      </c>
      <c r="P251" s="5" t="s">
        <v>825</v>
      </c>
      <c r="Q251" s="12"/>
    </row>
    <row r="252" ht="22.5" customHeight="1">
      <c r="A252" s="10">
        <v>260251.0</v>
      </c>
      <c r="B252" s="4">
        <v>46038.65381555556</v>
      </c>
      <c r="C252" s="5" t="s">
        <v>1928</v>
      </c>
      <c r="D252" s="5" t="s">
        <v>1929</v>
      </c>
      <c r="E252" s="5" t="s">
        <v>1928</v>
      </c>
      <c r="F252" s="5" t="s">
        <v>17</v>
      </c>
      <c r="G252" s="11" t="s">
        <v>1930</v>
      </c>
      <c r="H252" s="11" t="s">
        <v>1931</v>
      </c>
      <c r="I252" s="11" t="s">
        <v>1932</v>
      </c>
      <c r="J252" s="11" t="s">
        <v>607</v>
      </c>
      <c r="K252" s="11" t="s">
        <v>1933</v>
      </c>
      <c r="L252" s="5" t="s">
        <v>162</v>
      </c>
      <c r="M252" s="5" t="s">
        <v>1934</v>
      </c>
      <c r="N252" s="5" t="s">
        <v>119</v>
      </c>
      <c r="O252" s="5" t="s">
        <v>26</v>
      </c>
      <c r="P252" s="5" t="s">
        <v>1935</v>
      </c>
      <c r="Q252" s="12"/>
    </row>
    <row r="253" ht="22.5" customHeight="1">
      <c r="A253" s="10">
        <v>260252.0</v>
      </c>
      <c r="B253" s="4">
        <v>46038.670673229164</v>
      </c>
      <c r="C253" s="5" t="s">
        <v>1936</v>
      </c>
      <c r="D253" s="5" t="s">
        <v>1937</v>
      </c>
      <c r="E253" s="5" t="s">
        <v>1936</v>
      </c>
      <c r="F253" s="5" t="s">
        <v>17</v>
      </c>
      <c r="G253" s="11" t="s">
        <v>1938</v>
      </c>
      <c r="H253" s="13" t="s">
        <v>1939</v>
      </c>
      <c r="I253" s="11" t="s">
        <v>1940</v>
      </c>
      <c r="J253" s="11" t="s">
        <v>1941</v>
      </c>
      <c r="K253" s="11" t="s">
        <v>58</v>
      </c>
      <c r="L253" s="5" t="s">
        <v>162</v>
      </c>
      <c r="M253" s="5" t="s">
        <v>1942</v>
      </c>
      <c r="N253" s="5" t="s">
        <v>39</v>
      </c>
      <c r="O253" s="5" t="s">
        <v>40</v>
      </c>
      <c r="P253" s="5" t="s">
        <v>41</v>
      </c>
      <c r="Q253" s="12"/>
    </row>
    <row r="254" ht="22.5" customHeight="1">
      <c r="A254" s="14">
        <v>260253.0</v>
      </c>
      <c r="B254" s="4">
        <v>46038.72625020833</v>
      </c>
      <c r="C254" s="5" t="s">
        <v>1943</v>
      </c>
      <c r="D254" s="5" t="s">
        <v>1944</v>
      </c>
      <c r="E254" s="5" t="s">
        <v>1943</v>
      </c>
      <c r="F254" s="5" t="s">
        <v>17</v>
      </c>
      <c r="G254" s="13" t="s">
        <v>1945</v>
      </c>
      <c r="H254" s="13" t="s">
        <v>1946</v>
      </c>
      <c r="I254" s="11" t="s">
        <v>1947</v>
      </c>
      <c r="J254" s="11" t="s">
        <v>1155</v>
      </c>
      <c r="K254" s="11" t="s">
        <v>1948</v>
      </c>
      <c r="L254" s="5" t="s">
        <v>23</v>
      </c>
      <c r="M254" s="5" t="s">
        <v>1949</v>
      </c>
      <c r="N254" s="5" t="s">
        <v>119</v>
      </c>
      <c r="O254" s="5" t="s">
        <v>181</v>
      </c>
      <c r="P254" s="5" t="s">
        <v>660</v>
      </c>
      <c r="Q254" s="12"/>
    </row>
    <row r="255" ht="22.5" customHeight="1">
      <c r="A255" s="10">
        <v>260254.0</v>
      </c>
      <c r="B255" s="4">
        <v>46038.73394730324</v>
      </c>
      <c r="C255" s="5" t="s">
        <v>1739</v>
      </c>
      <c r="D255" s="5" t="s">
        <v>1740</v>
      </c>
      <c r="E255" s="5" t="s">
        <v>1739</v>
      </c>
      <c r="F255" s="5" t="s">
        <v>17</v>
      </c>
      <c r="G255" s="11" t="s">
        <v>1950</v>
      </c>
      <c r="H255" s="11" t="s">
        <v>1951</v>
      </c>
      <c r="I255" s="11" t="s">
        <v>1952</v>
      </c>
      <c r="J255" s="11" t="s">
        <v>1743</v>
      </c>
      <c r="K255" s="11" t="s">
        <v>1953</v>
      </c>
      <c r="L255" s="5" t="s">
        <v>162</v>
      </c>
      <c r="M255" s="5" t="s">
        <v>1746</v>
      </c>
      <c r="N255" s="5" t="s">
        <v>25</v>
      </c>
      <c r="O255" s="5" t="s">
        <v>26</v>
      </c>
      <c r="P255" s="5" t="s">
        <v>825</v>
      </c>
      <c r="Q255" s="12"/>
    </row>
    <row r="256" ht="22.5" customHeight="1">
      <c r="A256" s="10">
        <v>260255.0</v>
      </c>
      <c r="B256" s="4">
        <v>46038.740739155095</v>
      </c>
      <c r="C256" s="5" t="s">
        <v>1954</v>
      </c>
      <c r="D256" s="5" t="s">
        <v>1955</v>
      </c>
      <c r="E256" s="5" t="s">
        <v>1954</v>
      </c>
      <c r="F256" s="5" t="s">
        <v>17</v>
      </c>
      <c r="G256" s="11" t="s">
        <v>1956</v>
      </c>
      <c r="H256" s="11" t="s">
        <v>1957</v>
      </c>
      <c r="I256" s="11" t="s">
        <v>1958</v>
      </c>
      <c r="J256" s="11" t="s">
        <v>1959</v>
      </c>
      <c r="K256" s="11" t="s">
        <v>1960</v>
      </c>
      <c r="L256" s="5" t="s">
        <v>162</v>
      </c>
      <c r="M256" s="5" t="s">
        <v>1456</v>
      </c>
      <c r="N256" s="5" t="s">
        <v>61</v>
      </c>
      <c r="O256" s="5" t="s">
        <v>1961</v>
      </c>
      <c r="P256" s="5" t="s">
        <v>1962</v>
      </c>
      <c r="Q256" s="12"/>
    </row>
    <row r="257" ht="22.5" customHeight="1">
      <c r="A257" s="10">
        <v>260256.0</v>
      </c>
      <c r="B257" s="4">
        <v>46038.78838571759</v>
      </c>
      <c r="C257" s="5" t="s">
        <v>1963</v>
      </c>
      <c r="D257" s="5" t="s">
        <v>1964</v>
      </c>
      <c r="E257" s="5" t="s">
        <v>1963</v>
      </c>
      <c r="F257" s="5" t="s">
        <v>17</v>
      </c>
      <c r="G257" s="11" t="s">
        <v>1965</v>
      </c>
      <c r="H257" s="13" t="s">
        <v>1966</v>
      </c>
      <c r="I257" s="11" t="s">
        <v>1967</v>
      </c>
      <c r="J257" s="11" t="s">
        <v>1968</v>
      </c>
      <c r="K257" s="11" t="s">
        <v>1969</v>
      </c>
      <c r="L257" s="5" t="s">
        <v>23</v>
      </c>
      <c r="M257" s="5" t="s">
        <v>1970</v>
      </c>
      <c r="N257" s="5" t="s">
        <v>456</v>
      </c>
      <c r="O257" s="5" t="s">
        <v>1961</v>
      </c>
      <c r="P257" s="5" t="s">
        <v>1971</v>
      </c>
      <c r="Q257" s="12"/>
    </row>
    <row r="258" ht="22.5" customHeight="1">
      <c r="A258" s="10">
        <v>260257.0</v>
      </c>
      <c r="B258" s="4">
        <v>46038.816313981486</v>
      </c>
      <c r="C258" s="5" t="s">
        <v>1972</v>
      </c>
      <c r="D258" s="5" t="s">
        <v>1973</v>
      </c>
      <c r="E258" s="5" t="s">
        <v>1972</v>
      </c>
      <c r="F258" s="5" t="s">
        <v>17</v>
      </c>
      <c r="G258" s="11" t="s">
        <v>1974</v>
      </c>
      <c r="H258" s="11" t="s">
        <v>1975</v>
      </c>
      <c r="I258" s="11" t="s">
        <v>1976</v>
      </c>
      <c r="J258" s="11" t="s">
        <v>274</v>
      </c>
      <c r="K258" s="11" t="s">
        <v>1977</v>
      </c>
      <c r="L258" s="5" t="s">
        <v>23</v>
      </c>
      <c r="M258" s="5" t="s">
        <v>1978</v>
      </c>
      <c r="N258" s="5" t="s">
        <v>119</v>
      </c>
      <c r="O258" s="5" t="s">
        <v>734</v>
      </c>
      <c r="P258" s="5" t="s">
        <v>182</v>
      </c>
      <c r="Q258" s="12"/>
    </row>
    <row r="259" ht="22.5" customHeight="1">
      <c r="A259" s="10">
        <v>260258.0</v>
      </c>
      <c r="B259" s="4">
        <v>46038.83153431713</v>
      </c>
      <c r="C259" s="5" t="s">
        <v>1979</v>
      </c>
      <c r="D259" s="5" t="s">
        <v>1980</v>
      </c>
      <c r="E259" s="5" t="s">
        <v>1979</v>
      </c>
      <c r="F259" s="5" t="s">
        <v>17</v>
      </c>
      <c r="G259" s="11" t="s">
        <v>1981</v>
      </c>
      <c r="H259" s="13" t="s">
        <v>1982</v>
      </c>
      <c r="I259" s="11" t="s">
        <v>720</v>
      </c>
      <c r="J259" s="11" t="s">
        <v>1983</v>
      </c>
      <c r="K259" s="11" t="s">
        <v>714</v>
      </c>
      <c r="L259" s="5" t="s">
        <v>23</v>
      </c>
      <c r="M259" s="5" t="s">
        <v>1984</v>
      </c>
      <c r="N259" s="5" t="s">
        <v>1985</v>
      </c>
      <c r="O259" s="5" t="s">
        <v>200</v>
      </c>
      <c r="P259" s="5" t="s">
        <v>200</v>
      </c>
      <c r="Q259" s="12"/>
    </row>
    <row r="260" ht="22.5" customHeight="1">
      <c r="A260" s="10">
        <v>260259.0</v>
      </c>
      <c r="B260" s="4">
        <v>46038.83332820602</v>
      </c>
      <c r="C260" s="5" t="s">
        <v>1986</v>
      </c>
      <c r="D260" s="5" t="s">
        <v>1987</v>
      </c>
      <c r="E260" s="5" t="s">
        <v>1986</v>
      </c>
      <c r="F260" s="5" t="s">
        <v>17</v>
      </c>
      <c r="G260" s="11" t="s">
        <v>1988</v>
      </c>
      <c r="H260" s="11" t="s">
        <v>1989</v>
      </c>
      <c r="I260" s="11" t="s">
        <v>1990</v>
      </c>
      <c r="J260" s="11" t="s">
        <v>461</v>
      </c>
      <c r="K260" s="11" t="s">
        <v>1991</v>
      </c>
      <c r="L260" s="5" t="s">
        <v>23</v>
      </c>
      <c r="M260" s="5" t="s">
        <v>1992</v>
      </c>
      <c r="N260" s="5" t="s">
        <v>1993</v>
      </c>
      <c r="O260" s="5" t="s">
        <v>200</v>
      </c>
      <c r="P260" s="5" t="s">
        <v>201</v>
      </c>
      <c r="Q260" s="12"/>
    </row>
    <row r="261" ht="22.5" customHeight="1">
      <c r="A261" s="10">
        <v>260260.0</v>
      </c>
      <c r="B261" s="4">
        <v>46038.84371128472</v>
      </c>
      <c r="C261" s="5" t="s">
        <v>1994</v>
      </c>
      <c r="D261" s="5" t="s">
        <v>1995</v>
      </c>
      <c r="E261" s="5" t="s">
        <v>1994</v>
      </c>
      <c r="F261" s="5" t="s">
        <v>17</v>
      </c>
      <c r="G261" s="11" t="s">
        <v>1996</v>
      </c>
      <c r="H261" s="11" t="s">
        <v>1997</v>
      </c>
      <c r="I261" s="11" t="s">
        <v>1998</v>
      </c>
      <c r="J261" s="11" t="s">
        <v>1999</v>
      </c>
      <c r="K261" s="11" t="s">
        <v>2000</v>
      </c>
      <c r="L261" s="5" t="s">
        <v>30</v>
      </c>
      <c r="M261" s="5" t="s">
        <v>1646</v>
      </c>
      <c r="N261" s="5" t="s">
        <v>119</v>
      </c>
      <c r="O261" s="5" t="s">
        <v>548</v>
      </c>
      <c r="P261" s="5" t="s">
        <v>40</v>
      </c>
      <c r="Q261" s="12"/>
    </row>
    <row r="262" ht="22.5" customHeight="1">
      <c r="A262" s="10">
        <v>260261.0</v>
      </c>
      <c r="B262" s="4">
        <v>46038.85878592593</v>
      </c>
      <c r="C262" s="5" t="s">
        <v>2001</v>
      </c>
      <c r="D262" s="5" t="s">
        <v>2002</v>
      </c>
      <c r="E262" s="5" t="s">
        <v>2003</v>
      </c>
      <c r="F262" s="5" t="s">
        <v>64</v>
      </c>
      <c r="G262" s="11" t="s">
        <v>2004</v>
      </c>
      <c r="H262" s="11" t="s">
        <v>2005</v>
      </c>
      <c r="I262" s="11" t="s">
        <v>2006</v>
      </c>
      <c r="J262" s="11" t="s">
        <v>2007</v>
      </c>
      <c r="K262" s="11" t="s">
        <v>2008</v>
      </c>
      <c r="L262" s="5" t="s">
        <v>30</v>
      </c>
      <c r="M262" s="5" t="s">
        <v>2009</v>
      </c>
      <c r="N262" s="5" t="s">
        <v>295</v>
      </c>
      <c r="O262" s="5" t="s">
        <v>51</v>
      </c>
      <c r="P262" s="5" t="s">
        <v>52</v>
      </c>
      <c r="Q262" s="12"/>
    </row>
    <row r="263" ht="22.5" customHeight="1">
      <c r="A263" s="14">
        <v>260262.0</v>
      </c>
      <c r="B263" s="4">
        <v>46038.87132211805</v>
      </c>
      <c r="C263" s="5" t="s">
        <v>2010</v>
      </c>
      <c r="D263" s="5" t="s">
        <v>2011</v>
      </c>
      <c r="E263" s="5" t="s">
        <v>2010</v>
      </c>
      <c r="F263" s="5" t="s">
        <v>17</v>
      </c>
      <c r="G263" s="13" t="s">
        <v>2012</v>
      </c>
      <c r="H263" s="13" t="s">
        <v>2013</v>
      </c>
      <c r="I263" s="11" t="s">
        <v>2014</v>
      </c>
      <c r="J263" s="11" t="s">
        <v>2015</v>
      </c>
      <c r="K263" s="11" t="s">
        <v>1721</v>
      </c>
      <c r="L263" s="5" t="s">
        <v>162</v>
      </c>
      <c r="M263" s="5" t="s">
        <v>2016</v>
      </c>
      <c r="N263" s="5" t="s">
        <v>61</v>
      </c>
      <c r="O263" s="5" t="s">
        <v>181</v>
      </c>
      <c r="P263" s="5" t="s">
        <v>660</v>
      </c>
      <c r="Q263" s="12"/>
    </row>
    <row r="264" ht="22.5" customHeight="1">
      <c r="A264" s="10">
        <v>260263.0</v>
      </c>
      <c r="B264" s="4">
        <v>46038.88456802083</v>
      </c>
      <c r="C264" s="5" t="s">
        <v>2017</v>
      </c>
      <c r="D264" s="5" t="s">
        <v>2018</v>
      </c>
      <c r="E264" s="5" t="s">
        <v>2017</v>
      </c>
      <c r="F264" s="5" t="s">
        <v>17</v>
      </c>
      <c r="G264" s="11" t="s">
        <v>2019</v>
      </c>
      <c r="H264" s="11" t="s">
        <v>2020</v>
      </c>
      <c r="I264" s="11" t="s">
        <v>488</v>
      </c>
      <c r="J264" s="11" t="s">
        <v>2021</v>
      </c>
      <c r="K264" s="11" t="s">
        <v>2022</v>
      </c>
      <c r="L264" s="5" t="s">
        <v>30</v>
      </c>
      <c r="M264" s="5" t="s">
        <v>2023</v>
      </c>
      <c r="N264" s="5" t="s">
        <v>199</v>
      </c>
      <c r="O264" s="5" t="s">
        <v>181</v>
      </c>
      <c r="P264" s="5" t="s">
        <v>660</v>
      </c>
      <c r="Q264" s="12"/>
    </row>
    <row r="265" ht="22.5" customHeight="1">
      <c r="A265" s="10">
        <v>260264.0</v>
      </c>
      <c r="B265" s="4">
        <v>46038.919237395836</v>
      </c>
      <c r="C265" s="5" t="s">
        <v>2024</v>
      </c>
      <c r="D265" s="5" t="s">
        <v>2025</v>
      </c>
      <c r="E265" s="5" t="s">
        <v>2024</v>
      </c>
      <c r="F265" s="5" t="s">
        <v>17</v>
      </c>
      <c r="G265" s="11" t="s">
        <v>2026</v>
      </c>
      <c r="H265" s="13" t="s">
        <v>2027</v>
      </c>
      <c r="I265" s="11" t="s">
        <v>2028</v>
      </c>
      <c r="J265" s="11" t="s">
        <v>2029</v>
      </c>
      <c r="K265" s="11" t="s">
        <v>2030</v>
      </c>
      <c r="L265" s="5" t="s">
        <v>30</v>
      </c>
      <c r="M265" s="5" t="s">
        <v>557</v>
      </c>
      <c r="N265" s="5" t="s">
        <v>61</v>
      </c>
      <c r="O265" s="5" t="s">
        <v>437</v>
      </c>
      <c r="P265" s="5" t="s">
        <v>328</v>
      </c>
      <c r="Q265" s="12"/>
    </row>
    <row r="266" ht="22.5" customHeight="1">
      <c r="A266" s="10">
        <v>260265.0</v>
      </c>
      <c r="B266" s="4">
        <v>46038.93685427083</v>
      </c>
      <c r="C266" s="5" t="s">
        <v>2031</v>
      </c>
      <c r="D266" s="5" t="s">
        <v>1627</v>
      </c>
      <c r="E266" s="5" t="s">
        <v>2032</v>
      </c>
      <c r="F266" s="5" t="s">
        <v>131</v>
      </c>
      <c r="G266" s="11" t="s">
        <v>2033</v>
      </c>
      <c r="H266" s="11" t="s">
        <v>2034</v>
      </c>
      <c r="I266" s="11" t="s">
        <v>2035</v>
      </c>
      <c r="J266" s="11" t="s">
        <v>2036</v>
      </c>
      <c r="K266" s="11" t="s">
        <v>2037</v>
      </c>
      <c r="L266" s="5" t="s">
        <v>30</v>
      </c>
      <c r="M266" s="5" t="s">
        <v>1156</v>
      </c>
      <c r="N266" s="5" t="s">
        <v>164</v>
      </c>
      <c r="O266" s="5" t="s">
        <v>51</v>
      </c>
      <c r="P266" s="5" t="s">
        <v>52</v>
      </c>
      <c r="Q266" s="12"/>
    </row>
    <row r="267" ht="22.5" customHeight="1">
      <c r="A267" s="10">
        <v>260266.0</v>
      </c>
      <c r="B267" s="4">
        <v>46038.948179942134</v>
      </c>
      <c r="C267" s="5" t="s">
        <v>2038</v>
      </c>
      <c r="D267" s="5" t="s">
        <v>2039</v>
      </c>
      <c r="E267" s="5" t="s">
        <v>2038</v>
      </c>
      <c r="F267" s="5" t="s">
        <v>64</v>
      </c>
      <c r="G267" s="11" t="s">
        <v>2040</v>
      </c>
      <c r="H267" s="11" t="s">
        <v>2041</v>
      </c>
      <c r="I267" s="11" t="s">
        <v>2042</v>
      </c>
      <c r="J267" s="11" t="s">
        <v>2043</v>
      </c>
      <c r="K267" s="11" t="s">
        <v>463</v>
      </c>
      <c r="L267" s="5" t="s">
        <v>162</v>
      </c>
      <c r="M267" s="5" t="s">
        <v>2044</v>
      </c>
      <c r="N267" s="5" t="s">
        <v>119</v>
      </c>
      <c r="O267" s="5" t="s">
        <v>26</v>
      </c>
      <c r="P267" s="5" t="s">
        <v>26</v>
      </c>
      <c r="Q267" s="12"/>
    </row>
    <row r="268" ht="22.5" customHeight="1">
      <c r="A268" s="10">
        <v>260267.0</v>
      </c>
      <c r="B268" s="4">
        <v>46038.96066913195</v>
      </c>
      <c r="C268" s="5" t="s">
        <v>2045</v>
      </c>
      <c r="D268" s="5" t="s">
        <v>2046</v>
      </c>
      <c r="E268" s="5" t="s">
        <v>2045</v>
      </c>
      <c r="F268" s="5" t="s">
        <v>64</v>
      </c>
      <c r="G268" s="11" t="s">
        <v>2047</v>
      </c>
      <c r="H268" s="11" t="s">
        <v>2048</v>
      </c>
      <c r="I268" s="11" t="s">
        <v>2049</v>
      </c>
      <c r="J268" s="11" t="s">
        <v>2050</v>
      </c>
      <c r="K268" s="11" t="s">
        <v>2051</v>
      </c>
      <c r="L268" s="5" t="s">
        <v>30</v>
      </c>
      <c r="M268" s="5" t="s">
        <v>2052</v>
      </c>
      <c r="N268" s="5" t="s">
        <v>71</v>
      </c>
      <c r="O268" s="5" t="s">
        <v>51</v>
      </c>
      <c r="P268" s="5" t="s">
        <v>73</v>
      </c>
      <c r="Q268" s="12"/>
    </row>
    <row r="269" ht="22.5" customHeight="1">
      <c r="A269" s="10">
        <v>260268.0</v>
      </c>
      <c r="B269" s="4">
        <v>46038.96105972222</v>
      </c>
      <c r="C269" s="5" t="s">
        <v>2053</v>
      </c>
      <c r="D269" s="5" t="s">
        <v>2054</v>
      </c>
      <c r="E269" s="5" t="s">
        <v>2053</v>
      </c>
      <c r="F269" s="5" t="s">
        <v>17</v>
      </c>
      <c r="G269" s="11" t="s">
        <v>2055</v>
      </c>
      <c r="H269" s="11" t="s">
        <v>2056</v>
      </c>
      <c r="I269" s="11" t="s">
        <v>2057</v>
      </c>
      <c r="J269" s="11" t="s">
        <v>2058</v>
      </c>
      <c r="K269" s="11" t="s">
        <v>2059</v>
      </c>
      <c r="L269" s="5" t="s">
        <v>162</v>
      </c>
      <c r="M269" s="5" t="s">
        <v>1579</v>
      </c>
      <c r="N269" s="5" t="s">
        <v>119</v>
      </c>
      <c r="O269" s="5" t="s">
        <v>257</v>
      </c>
      <c r="P269" s="5" t="s">
        <v>258</v>
      </c>
      <c r="Q269" s="12"/>
    </row>
    <row r="270" ht="22.5" customHeight="1">
      <c r="A270" s="14">
        <v>260269.0</v>
      </c>
      <c r="B270" s="4">
        <v>46038.97887851852</v>
      </c>
      <c r="C270" s="5" t="s">
        <v>2060</v>
      </c>
      <c r="D270" s="5" t="s">
        <v>2061</v>
      </c>
      <c r="E270" s="5" t="s">
        <v>2060</v>
      </c>
      <c r="F270" s="5" t="s">
        <v>64</v>
      </c>
      <c r="G270" s="13" t="s">
        <v>2062</v>
      </c>
      <c r="H270" s="13" t="s">
        <v>2063</v>
      </c>
      <c r="I270" s="11" t="s">
        <v>2064</v>
      </c>
      <c r="J270" s="11" t="s">
        <v>2065</v>
      </c>
      <c r="K270" s="11" t="s">
        <v>2066</v>
      </c>
      <c r="L270" s="5" t="s">
        <v>162</v>
      </c>
      <c r="M270" s="5" t="s">
        <v>2067</v>
      </c>
      <c r="N270" s="5" t="s">
        <v>119</v>
      </c>
      <c r="O270" s="5" t="s">
        <v>200</v>
      </c>
      <c r="P270" s="5" t="s">
        <v>201</v>
      </c>
      <c r="Q270" s="12"/>
    </row>
    <row r="271" ht="22.5" customHeight="1">
      <c r="A271" s="10">
        <v>260270.0</v>
      </c>
      <c r="B271" s="4">
        <v>46038.975687638886</v>
      </c>
      <c r="C271" s="5" t="s">
        <v>2068</v>
      </c>
      <c r="D271" s="5" t="s">
        <v>2069</v>
      </c>
      <c r="E271" s="5" t="s">
        <v>2068</v>
      </c>
      <c r="F271" s="5" t="s">
        <v>17</v>
      </c>
      <c r="G271" s="11" t="s">
        <v>2070</v>
      </c>
      <c r="H271" s="11" t="s">
        <v>2071</v>
      </c>
      <c r="I271" s="11" t="s">
        <v>2072</v>
      </c>
      <c r="J271" s="11" t="s">
        <v>2073</v>
      </c>
      <c r="K271" s="11" t="s">
        <v>2074</v>
      </c>
      <c r="L271" s="5" t="s">
        <v>162</v>
      </c>
      <c r="M271" s="5" t="s">
        <v>1116</v>
      </c>
      <c r="N271" s="5" t="s">
        <v>61</v>
      </c>
      <c r="O271" s="5" t="s">
        <v>833</v>
      </c>
      <c r="P271" s="5" t="s">
        <v>2075</v>
      </c>
      <c r="Q271" s="12"/>
    </row>
    <row r="272" ht="22.5" customHeight="1">
      <c r="A272" s="10">
        <v>260271.0</v>
      </c>
      <c r="B272" s="4">
        <v>46038.98358858796</v>
      </c>
      <c r="C272" s="5" t="s">
        <v>2076</v>
      </c>
      <c r="D272" s="5" t="s">
        <v>2077</v>
      </c>
      <c r="E272" s="5" t="s">
        <v>2076</v>
      </c>
      <c r="F272" s="5" t="s">
        <v>17</v>
      </c>
      <c r="G272" s="11" t="s">
        <v>2078</v>
      </c>
      <c r="H272" s="11" t="s">
        <v>2079</v>
      </c>
      <c r="I272" s="11" t="s">
        <v>2080</v>
      </c>
      <c r="J272" s="11" t="s">
        <v>2081</v>
      </c>
      <c r="K272" s="11" t="s">
        <v>2082</v>
      </c>
      <c r="L272" s="5" t="s">
        <v>23</v>
      </c>
      <c r="M272" s="5" t="s">
        <v>2083</v>
      </c>
      <c r="N272" s="5" t="s">
        <v>119</v>
      </c>
      <c r="O272" s="5" t="s">
        <v>200</v>
      </c>
      <c r="P272" s="5" t="s">
        <v>201</v>
      </c>
      <c r="Q272" s="12"/>
    </row>
    <row r="273" ht="22.5" customHeight="1">
      <c r="A273" s="10">
        <v>260272.0</v>
      </c>
      <c r="B273" s="4">
        <v>46038.98645303241</v>
      </c>
      <c r="C273" s="5" t="s">
        <v>2084</v>
      </c>
      <c r="D273" s="5" t="s">
        <v>2085</v>
      </c>
      <c r="E273" s="5" t="s">
        <v>2084</v>
      </c>
      <c r="F273" s="5" t="s">
        <v>17</v>
      </c>
      <c r="G273" s="11" t="s">
        <v>2086</v>
      </c>
      <c r="H273" s="11" t="s">
        <v>2087</v>
      </c>
      <c r="I273" s="11" t="s">
        <v>2088</v>
      </c>
      <c r="J273" s="11" t="s">
        <v>2089</v>
      </c>
      <c r="K273" s="11" t="s">
        <v>1138</v>
      </c>
      <c r="L273" s="5" t="s">
        <v>162</v>
      </c>
      <c r="M273" s="5" t="s">
        <v>878</v>
      </c>
      <c r="N273" s="5" t="s">
        <v>119</v>
      </c>
      <c r="O273" s="5" t="s">
        <v>548</v>
      </c>
      <c r="P273" s="5" t="s">
        <v>2090</v>
      </c>
      <c r="Q273" s="12"/>
    </row>
    <row r="274" ht="22.5" customHeight="1">
      <c r="A274" s="10">
        <v>260273.0</v>
      </c>
      <c r="B274" s="4">
        <v>46038.995707106485</v>
      </c>
      <c r="C274" s="5" t="s">
        <v>2091</v>
      </c>
      <c r="D274" s="5" t="s">
        <v>2092</v>
      </c>
      <c r="E274" s="5" t="s">
        <v>2091</v>
      </c>
      <c r="F274" s="5" t="s">
        <v>131</v>
      </c>
      <c r="G274" s="11" t="s">
        <v>2093</v>
      </c>
      <c r="H274" s="11" t="s">
        <v>2094</v>
      </c>
      <c r="I274" s="11" t="s">
        <v>2095</v>
      </c>
      <c r="J274" s="11" t="s">
        <v>2096</v>
      </c>
      <c r="K274" s="11" t="s">
        <v>2097</v>
      </c>
      <c r="L274" s="5" t="s">
        <v>162</v>
      </c>
      <c r="M274" s="5" t="s">
        <v>2098</v>
      </c>
      <c r="N274" s="5" t="s">
        <v>2099</v>
      </c>
      <c r="O274" s="5" t="s">
        <v>2100</v>
      </c>
      <c r="P274" s="5" t="s">
        <v>2101</v>
      </c>
      <c r="Q274" s="12"/>
    </row>
    <row r="275" ht="22.5" customHeight="1">
      <c r="A275" s="10">
        <v>260274.0</v>
      </c>
      <c r="B275" s="4">
        <v>46039.00166409722</v>
      </c>
      <c r="C275" s="5" t="s">
        <v>2102</v>
      </c>
      <c r="D275" s="5" t="s">
        <v>2103</v>
      </c>
      <c r="E275" s="5" t="s">
        <v>2102</v>
      </c>
      <c r="F275" s="5" t="s">
        <v>17</v>
      </c>
      <c r="G275" s="11" t="s">
        <v>2104</v>
      </c>
      <c r="H275" s="13" t="s">
        <v>2105</v>
      </c>
      <c r="I275" s="11" t="s">
        <v>955</v>
      </c>
      <c r="J275" s="11" t="s">
        <v>2106</v>
      </c>
      <c r="K275" s="11" t="s">
        <v>2107</v>
      </c>
      <c r="L275" s="5" t="s">
        <v>30</v>
      </c>
      <c r="M275" s="5" t="s">
        <v>2108</v>
      </c>
      <c r="N275" s="5" t="s">
        <v>39</v>
      </c>
      <c r="O275" s="5" t="s">
        <v>403</v>
      </c>
      <c r="P275" s="5" t="s">
        <v>404</v>
      </c>
      <c r="Q275" s="12"/>
    </row>
    <row r="276" ht="22.5" customHeight="1">
      <c r="A276" s="10">
        <v>260275.0</v>
      </c>
      <c r="B276" s="4">
        <v>46039.04539621528</v>
      </c>
      <c r="C276" s="5" t="s">
        <v>2109</v>
      </c>
      <c r="D276" s="5" t="s">
        <v>2110</v>
      </c>
      <c r="E276" s="5" t="s">
        <v>2109</v>
      </c>
      <c r="F276" s="5" t="s">
        <v>17</v>
      </c>
      <c r="G276" s="11" t="s">
        <v>2111</v>
      </c>
      <c r="H276" s="13" t="s">
        <v>2112</v>
      </c>
      <c r="I276" s="11" t="s">
        <v>2113</v>
      </c>
      <c r="J276" s="11" t="s">
        <v>2114</v>
      </c>
      <c r="K276" s="11" t="s">
        <v>2115</v>
      </c>
      <c r="L276" s="5" t="s">
        <v>162</v>
      </c>
      <c r="M276" s="5" t="s">
        <v>2116</v>
      </c>
      <c r="N276" s="5" t="s">
        <v>413</v>
      </c>
      <c r="O276" s="5" t="s">
        <v>549</v>
      </c>
      <c r="P276" s="5" t="s">
        <v>267</v>
      </c>
      <c r="Q276" s="12"/>
    </row>
    <row r="277" ht="22.5" customHeight="1">
      <c r="A277" s="10">
        <v>260276.0</v>
      </c>
      <c r="B277" s="4">
        <v>46039.01867425926</v>
      </c>
      <c r="C277" s="5" t="s">
        <v>2117</v>
      </c>
      <c r="D277" s="5" t="s">
        <v>2118</v>
      </c>
      <c r="E277" s="5" t="s">
        <v>2117</v>
      </c>
      <c r="F277" s="5" t="s">
        <v>17</v>
      </c>
      <c r="G277" s="11" t="s">
        <v>2119</v>
      </c>
      <c r="H277" s="11" t="s">
        <v>2120</v>
      </c>
      <c r="I277" s="11" t="s">
        <v>840</v>
      </c>
      <c r="J277" s="11" t="s">
        <v>2121</v>
      </c>
      <c r="K277" s="11" t="s">
        <v>2122</v>
      </c>
      <c r="L277" s="5" t="s">
        <v>30</v>
      </c>
      <c r="M277" s="5" t="s">
        <v>2123</v>
      </c>
      <c r="N277" s="5" t="s">
        <v>61</v>
      </c>
      <c r="O277" s="5" t="s">
        <v>1865</v>
      </c>
      <c r="P277" s="5" t="s">
        <v>660</v>
      </c>
      <c r="Q277" s="12"/>
    </row>
    <row r="278" ht="22.5" customHeight="1">
      <c r="A278" s="10">
        <v>260277.0</v>
      </c>
      <c r="B278" s="4">
        <v>46039.02968569445</v>
      </c>
      <c r="C278" s="5" t="s">
        <v>2124</v>
      </c>
      <c r="D278" s="5" t="s">
        <v>2125</v>
      </c>
      <c r="E278" s="5" t="s">
        <v>2124</v>
      </c>
      <c r="F278" s="5" t="s">
        <v>17</v>
      </c>
      <c r="G278" s="11" t="s">
        <v>2126</v>
      </c>
      <c r="H278" s="11" t="s">
        <v>2127</v>
      </c>
      <c r="I278" s="11" t="s">
        <v>2128</v>
      </c>
      <c r="J278" s="11" t="s">
        <v>2129</v>
      </c>
      <c r="K278" s="11" t="s">
        <v>2130</v>
      </c>
      <c r="L278" s="5" t="s">
        <v>23</v>
      </c>
      <c r="M278" s="5" t="s">
        <v>2131</v>
      </c>
      <c r="N278" s="5" t="s">
        <v>39</v>
      </c>
      <c r="O278" s="5" t="s">
        <v>267</v>
      </c>
      <c r="P278" s="5" t="s">
        <v>268</v>
      </c>
      <c r="Q278" s="12"/>
    </row>
    <row r="279" ht="22.5" customHeight="1">
      <c r="A279" s="10">
        <v>260278.0</v>
      </c>
      <c r="B279" s="4">
        <v>46039.04788755787</v>
      </c>
      <c r="C279" s="5" t="s">
        <v>2132</v>
      </c>
      <c r="D279" s="5" t="s">
        <v>2133</v>
      </c>
      <c r="E279" s="5" t="s">
        <v>2132</v>
      </c>
      <c r="F279" s="5" t="s">
        <v>17</v>
      </c>
      <c r="G279" s="11" t="s">
        <v>2134</v>
      </c>
      <c r="H279" s="11" t="s">
        <v>2135</v>
      </c>
      <c r="I279" s="11" t="s">
        <v>1496</v>
      </c>
      <c r="J279" s="11" t="s">
        <v>2136</v>
      </c>
      <c r="K279" s="11" t="s">
        <v>2137</v>
      </c>
      <c r="L279" s="5" t="s">
        <v>23</v>
      </c>
      <c r="M279" s="5" t="s">
        <v>2138</v>
      </c>
      <c r="N279" s="5" t="s">
        <v>111</v>
      </c>
      <c r="O279" s="5" t="s">
        <v>267</v>
      </c>
      <c r="P279" s="5" t="s">
        <v>268</v>
      </c>
      <c r="Q279" s="12"/>
    </row>
    <row r="280" ht="22.5" customHeight="1">
      <c r="A280" s="10">
        <v>260279.0</v>
      </c>
      <c r="B280" s="4">
        <v>46039.05267131944</v>
      </c>
      <c r="C280" s="5" t="s">
        <v>2139</v>
      </c>
      <c r="D280" s="5" t="s">
        <v>2140</v>
      </c>
      <c r="E280" s="5" t="s">
        <v>2139</v>
      </c>
      <c r="F280" s="5" t="s">
        <v>17</v>
      </c>
      <c r="G280" s="15" t="s">
        <v>2141</v>
      </c>
      <c r="H280" s="13" t="s">
        <v>2142</v>
      </c>
      <c r="I280" s="11" t="s">
        <v>2143</v>
      </c>
      <c r="J280" s="11" t="s">
        <v>2144</v>
      </c>
      <c r="K280" s="11" t="s">
        <v>2145</v>
      </c>
      <c r="L280" s="5" t="s">
        <v>162</v>
      </c>
      <c r="M280" s="5" t="s">
        <v>1116</v>
      </c>
      <c r="N280" s="5" t="s">
        <v>119</v>
      </c>
      <c r="O280" s="5" t="s">
        <v>403</v>
      </c>
      <c r="P280" s="5" t="s">
        <v>404</v>
      </c>
      <c r="Q280" s="12"/>
    </row>
    <row r="281" ht="22.5" customHeight="1">
      <c r="A281" s="10">
        <v>260280.0</v>
      </c>
      <c r="B281" s="4">
        <v>46039.05791665509</v>
      </c>
      <c r="C281" s="5" t="s">
        <v>2146</v>
      </c>
      <c r="D281" s="5" t="s">
        <v>2147</v>
      </c>
      <c r="E281" s="5" t="s">
        <v>2146</v>
      </c>
      <c r="F281" s="5" t="s">
        <v>17</v>
      </c>
      <c r="G281" s="11" t="s">
        <v>2148</v>
      </c>
      <c r="H281" s="11" t="s">
        <v>2149</v>
      </c>
      <c r="I281" s="11" t="s">
        <v>409</v>
      </c>
      <c r="J281" s="11" t="s">
        <v>2150</v>
      </c>
      <c r="K281" s="11" t="s">
        <v>2151</v>
      </c>
      <c r="L281" s="5" t="s">
        <v>30</v>
      </c>
      <c r="M281" s="5" t="s">
        <v>801</v>
      </c>
      <c r="N281" s="5" t="s">
        <v>119</v>
      </c>
      <c r="O281" s="5" t="s">
        <v>833</v>
      </c>
      <c r="P281" s="5" t="s">
        <v>404</v>
      </c>
      <c r="Q281" s="12"/>
    </row>
    <row r="282" ht="22.5" customHeight="1">
      <c r="A282" s="10">
        <v>260281.0</v>
      </c>
      <c r="B282" s="4">
        <v>46039.0583616088</v>
      </c>
      <c r="C282" s="5" t="s">
        <v>2152</v>
      </c>
      <c r="D282" s="5" t="s">
        <v>2153</v>
      </c>
      <c r="E282" s="5" t="s">
        <v>2152</v>
      </c>
      <c r="F282" s="5" t="s">
        <v>64</v>
      </c>
      <c r="G282" s="11" t="s">
        <v>2154</v>
      </c>
      <c r="H282" s="11" t="s">
        <v>2155</v>
      </c>
      <c r="I282" s="11" t="s">
        <v>2156</v>
      </c>
      <c r="J282" s="11" t="s">
        <v>2157</v>
      </c>
      <c r="K282" s="11" t="s">
        <v>343</v>
      </c>
      <c r="L282" s="5" t="s">
        <v>30</v>
      </c>
      <c r="M282" s="5" t="s">
        <v>2158</v>
      </c>
      <c r="N282" s="5" t="s">
        <v>2159</v>
      </c>
      <c r="O282" s="5" t="s">
        <v>26</v>
      </c>
      <c r="P282" s="5" t="s">
        <v>73</v>
      </c>
      <c r="Q282" s="12"/>
    </row>
    <row r="283" ht="22.5" customHeight="1">
      <c r="A283" s="10">
        <v>260282.0</v>
      </c>
      <c r="B283" s="4">
        <v>46039.06136317129</v>
      </c>
      <c r="C283" s="5" t="s">
        <v>2160</v>
      </c>
      <c r="D283" s="5" t="s">
        <v>2161</v>
      </c>
      <c r="E283" s="5" t="s">
        <v>2160</v>
      </c>
      <c r="F283" s="5" t="s">
        <v>17</v>
      </c>
      <c r="G283" s="11" t="s">
        <v>2162</v>
      </c>
      <c r="H283" s="11" t="s">
        <v>2163</v>
      </c>
      <c r="I283" s="11" t="s">
        <v>1827</v>
      </c>
      <c r="J283" s="11" t="s">
        <v>2164</v>
      </c>
      <c r="K283" s="11" t="s">
        <v>46</v>
      </c>
      <c r="L283" s="5" t="s">
        <v>23</v>
      </c>
      <c r="M283" s="5" t="s">
        <v>2165</v>
      </c>
      <c r="N283" s="5" t="s">
        <v>119</v>
      </c>
      <c r="O283" s="5" t="s">
        <v>734</v>
      </c>
      <c r="P283" s="5" t="s">
        <v>734</v>
      </c>
      <c r="Q283" s="12"/>
    </row>
    <row r="284" ht="22.5" customHeight="1">
      <c r="A284" s="10">
        <v>260283.0</v>
      </c>
      <c r="B284" s="4">
        <v>46039.07634892361</v>
      </c>
      <c r="C284" s="5" t="s">
        <v>2166</v>
      </c>
      <c r="D284" s="5" t="s">
        <v>2167</v>
      </c>
      <c r="E284" s="5" t="s">
        <v>2166</v>
      </c>
      <c r="F284" s="5" t="s">
        <v>17</v>
      </c>
      <c r="G284" s="11" t="s">
        <v>2168</v>
      </c>
      <c r="H284" s="13" t="s">
        <v>2169</v>
      </c>
      <c r="I284" s="11" t="s">
        <v>2170</v>
      </c>
      <c r="J284" s="11" t="s">
        <v>488</v>
      </c>
      <c r="K284" s="11" t="s">
        <v>2171</v>
      </c>
      <c r="L284" s="5" t="s">
        <v>30</v>
      </c>
      <c r="M284" s="5" t="s">
        <v>2172</v>
      </c>
      <c r="N284" s="5" t="s">
        <v>119</v>
      </c>
      <c r="O284" s="5" t="s">
        <v>2173</v>
      </c>
      <c r="P284" s="5" t="s">
        <v>566</v>
      </c>
      <c r="Q284" s="12"/>
    </row>
    <row r="285" ht="22.5" customHeight="1">
      <c r="A285" s="14">
        <v>260284.0</v>
      </c>
      <c r="B285" s="4">
        <v>46039.09289863426</v>
      </c>
      <c r="C285" s="5" t="s">
        <v>2174</v>
      </c>
      <c r="D285" s="5" t="s">
        <v>2175</v>
      </c>
      <c r="E285" s="5" t="s">
        <v>2174</v>
      </c>
      <c r="F285" s="5" t="s">
        <v>64</v>
      </c>
      <c r="G285" s="13" t="s">
        <v>2176</v>
      </c>
      <c r="H285" s="13" t="s">
        <v>2177</v>
      </c>
      <c r="I285" s="11" t="s">
        <v>2178</v>
      </c>
      <c r="J285" s="11" t="s">
        <v>2179</v>
      </c>
      <c r="K285" s="11" t="s">
        <v>2180</v>
      </c>
      <c r="L285" s="5" t="s">
        <v>162</v>
      </c>
      <c r="M285" s="5" t="s">
        <v>2181</v>
      </c>
      <c r="N285" s="5" t="s">
        <v>39</v>
      </c>
      <c r="O285" s="5" t="s">
        <v>2173</v>
      </c>
      <c r="P285" s="5" t="s">
        <v>2182</v>
      </c>
      <c r="Q285" s="12"/>
    </row>
    <row r="286" ht="22.5" customHeight="1">
      <c r="A286" s="10">
        <v>260285.0</v>
      </c>
      <c r="B286" s="4">
        <v>46039.102725034725</v>
      </c>
      <c r="C286" s="5" t="s">
        <v>2183</v>
      </c>
      <c r="D286" s="5" t="s">
        <v>2184</v>
      </c>
      <c r="E286" s="5" t="s">
        <v>2183</v>
      </c>
      <c r="F286" s="5" t="s">
        <v>17</v>
      </c>
      <c r="G286" s="11" t="s">
        <v>2185</v>
      </c>
      <c r="H286" s="11" t="s">
        <v>2186</v>
      </c>
      <c r="I286" s="11" t="s">
        <v>2187</v>
      </c>
      <c r="J286" s="11" t="s">
        <v>2188</v>
      </c>
      <c r="K286" s="11" t="s">
        <v>2189</v>
      </c>
      <c r="L286" s="5" t="s">
        <v>30</v>
      </c>
      <c r="M286" s="5" t="s">
        <v>39</v>
      </c>
      <c r="N286" s="5" t="s">
        <v>759</v>
      </c>
      <c r="O286" s="5" t="s">
        <v>51</v>
      </c>
      <c r="P286" s="5" t="s">
        <v>73</v>
      </c>
      <c r="Q286" s="12"/>
    </row>
    <row r="287" ht="22.5" customHeight="1">
      <c r="A287" s="10">
        <v>260286.0</v>
      </c>
      <c r="B287" s="4">
        <v>46039.113839074074</v>
      </c>
      <c r="C287" s="5" t="s">
        <v>2190</v>
      </c>
      <c r="D287" s="5" t="s">
        <v>2191</v>
      </c>
      <c r="E287" s="5" t="s">
        <v>2190</v>
      </c>
      <c r="F287" s="5" t="s">
        <v>17</v>
      </c>
      <c r="G287" s="11" t="s">
        <v>2192</v>
      </c>
      <c r="H287" s="13" t="s">
        <v>2315</v>
      </c>
      <c r="I287" s="11" t="s">
        <v>2194</v>
      </c>
      <c r="J287" s="11" t="s">
        <v>2195</v>
      </c>
      <c r="K287" s="11" t="s">
        <v>2196</v>
      </c>
      <c r="L287" s="5" t="s">
        <v>30</v>
      </c>
      <c r="M287" s="5" t="s">
        <v>2197</v>
      </c>
      <c r="N287" s="5" t="s">
        <v>119</v>
      </c>
      <c r="O287" s="5" t="s">
        <v>51</v>
      </c>
      <c r="P287" s="5" t="s">
        <v>52</v>
      </c>
      <c r="Q287" s="12"/>
    </row>
    <row r="288" ht="22.5" customHeight="1">
      <c r="A288" s="10">
        <v>260287.0</v>
      </c>
      <c r="B288" s="4">
        <v>46039.13512976852</v>
      </c>
      <c r="C288" s="5" t="s">
        <v>2198</v>
      </c>
      <c r="D288" s="5" t="s">
        <v>2199</v>
      </c>
      <c r="E288" s="5" t="s">
        <v>2198</v>
      </c>
      <c r="F288" s="5" t="s">
        <v>17</v>
      </c>
      <c r="G288" s="11" t="s">
        <v>2200</v>
      </c>
      <c r="H288" s="11" t="s">
        <v>2201</v>
      </c>
      <c r="I288" s="11" t="s">
        <v>2202</v>
      </c>
      <c r="J288" s="11" t="s">
        <v>2203</v>
      </c>
      <c r="K288" s="11" t="s">
        <v>2204</v>
      </c>
      <c r="L288" s="5" t="s">
        <v>162</v>
      </c>
      <c r="M288" s="5" t="s">
        <v>2205</v>
      </c>
      <c r="N288" s="5" t="s">
        <v>61</v>
      </c>
      <c r="O288" s="5" t="s">
        <v>1961</v>
      </c>
      <c r="P288" s="5" t="s">
        <v>660</v>
      </c>
      <c r="Q288" s="12"/>
    </row>
    <row r="289" ht="22.5" customHeight="1">
      <c r="A289" s="10">
        <v>260288.0</v>
      </c>
      <c r="B289" s="4">
        <v>46039.14142915509</v>
      </c>
      <c r="C289" s="5" t="s">
        <v>2206</v>
      </c>
      <c r="D289" s="5" t="s">
        <v>2207</v>
      </c>
      <c r="E289" s="5" t="s">
        <v>2206</v>
      </c>
      <c r="F289" s="5" t="s">
        <v>17</v>
      </c>
      <c r="G289" s="11" t="s">
        <v>2208</v>
      </c>
      <c r="H289" s="11" t="s">
        <v>2209</v>
      </c>
      <c r="I289" s="11" t="s">
        <v>1430</v>
      </c>
      <c r="J289" s="11" t="s">
        <v>2210</v>
      </c>
      <c r="K289" s="11" t="s">
        <v>2211</v>
      </c>
      <c r="L289" s="5" t="s">
        <v>30</v>
      </c>
      <c r="M289" s="5" t="s">
        <v>2212</v>
      </c>
      <c r="N289" s="5" t="s">
        <v>164</v>
      </c>
      <c r="O289" s="5" t="s">
        <v>72</v>
      </c>
      <c r="P289" s="5" t="s">
        <v>73</v>
      </c>
      <c r="Q289" s="12"/>
    </row>
    <row r="290" ht="22.5" customHeight="1">
      <c r="A290" s="10">
        <v>260289.0</v>
      </c>
      <c r="B290" s="4">
        <v>46039.156841909724</v>
      </c>
      <c r="C290" s="5" t="s">
        <v>2213</v>
      </c>
      <c r="D290" s="5" t="s">
        <v>2214</v>
      </c>
      <c r="E290" s="5" t="s">
        <v>2213</v>
      </c>
      <c r="F290" s="5" t="s">
        <v>17</v>
      </c>
      <c r="G290" s="11" t="s">
        <v>2215</v>
      </c>
      <c r="H290" s="11" t="s">
        <v>2216</v>
      </c>
      <c r="I290" s="11" t="s">
        <v>2217</v>
      </c>
      <c r="J290" s="11" t="s">
        <v>2218</v>
      </c>
      <c r="K290" s="11" t="s">
        <v>2219</v>
      </c>
      <c r="L290" s="5" t="s">
        <v>30</v>
      </c>
      <c r="M290" s="5" t="s">
        <v>2220</v>
      </c>
      <c r="N290" s="5" t="s">
        <v>119</v>
      </c>
      <c r="O290" s="5" t="s">
        <v>2221</v>
      </c>
      <c r="P290" s="5" t="s">
        <v>2222</v>
      </c>
      <c r="Q290" s="12"/>
    </row>
    <row r="291" ht="22.5" customHeight="1">
      <c r="A291" s="10">
        <v>260290.0</v>
      </c>
      <c r="B291" s="4">
        <v>46039.1709315162</v>
      </c>
      <c r="C291" s="5" t="s">
        <v>2223</v>
      </c>
      <c r="D291" s="5" t="s">
        <v>2224</v>
      </c>
      <c r="E291" s="5" t="s">
        <v>2223</v>
      </c>
      <c r="F291" s="5" t="s">
        <v>17</v>
      </c>
      <c r="G291" s="11" t="s">
        <v>2225</v>
      </c>
      <c r="H291" s="13" t="s">
        <v>2226</v>
      </c>
      <c r="I291" s="11" t="s">
        <v>2227</v>
      </c>
      <c r="J291" s="11" t="s">
        <v>2228</v>
      </c>
      <c r="K291" s="11" t="s">
        <v>2229</v>
      </c>
      <c r="L291" s="5" t="s">
        <v>30</v>
      </c>
      <c r="M291" s="5" t="s">
        <v>2230</v>
      </c>
      <c r="N291" s="5" t="s">
        <v>111</v>
      </c>
      <c r="O291" s="5" t="s">
        <v>51</v>
      </c>
      <c r="P291" s="5" t="s">
        <v>52</v>
      </c>
      <c r="Q291" s="12"/>
    </row>
    <row r="292" ht="22.5" customHeight="1">
      <c r="A292" s="10">
        <v>260291.0</v>
      </c>
      <c r="B292" s="4">
        <v>46039.176386875</v>
      </c>
      <c r="C292" s="5" t="s">
        <v>2231</v>
      </c>
      <c r="D292" s="5" t="s">
        <v>2232</v>
      </c>
      <c r="E292" s="5" t="s">
        <v>2231</v>
      </c>
      <c r="F292" s="5" t="s">
        <v>17</v>
      </c>
      <c r="G292" s="11" t="s">
        <v>2233</v>
      </c>
      <c r="H292" s="11" t="s">
        <v>2234</v>
      </c>
      <c r="I292" s="11" t="s">
        <v>2235</v>
      </c>
      <c r="J292" s="11" t="s">
        <v>1309</v>
      </c>
      <c r="K292" s="11" t="s">
        <v>2236</v>
      </c>
      <c r="L292" s="5" t="s">
        <v>23</v>
      </c>
      <c r="M292" s="5" t="s">
        <v>2237</v>
      </c>
      <c r="N292" s="5" t="s">
        <v>1822</v>
      </c>
      <c r="O292" s="5" t="s">
        <v>51</v>
      </c>
      <c r="P292" s="5" t="s">
        <v>52</v>
      </c>
      <c r="Q292" s="12"/>
    </row>
    <row r="293" ht="22.5" customHeight="1">
      <c r="A293" s="10">
        <v>260292.0</v>
      </c>
      <c r="B293" s="4">
        <v>46039.19614915509</v>
      </c>
      <c r="C293" s="5" t="s">
        <v>2238</v>
      </c>
      <c r="D293" s="5" t="s">
        <v>2239</v>
      </c>
      <c r="E293" s="5" t="s">
        <v>2238</v>
      </c>
      <c r="F293" s="5" t="s">
        <v>17</v>
      </c>
      <c r="G293" s="11" t="s">
        <v>2240</v>
      </c>
      <c r="H293" s="11" t="s">
        <v>2241</v>
      </c>
      <c r="I293" s="11" t="s">
        <v>2242</v>
      </c>
      <c r="J293" s="11" t="s">
        <v>2243</v>
      </c>
      <c r="K293" s="11" t="s">
        <v>2244</v>
      </c>
      <c r="L293" s="5" t="s">
        <v>30</v>
      </c>
      <c r="M293" s="5" t="s">
        <v>2245</v>
      </c>
      <c r="N293" s="5" t="s">
        <v>164</v>
      </c>
      <c r="O293" s="5" t="s">
        <v>51</v>
      </c>
      <c r="P293" s="5" t="s">
        <v>52</v>
      </c>
      <c r="Q293" s="12"/>
    </row>
    <row r="294" ht="22.5" customHeight="1">
      <c r="A294" s="10">
        <v>260293.0</v>
      </c>
      <c r="B294" s="4">
        <v>46039.19792119213</v>
      </c>
      <c r="C294" s="5" t="s">
        <v>2246</v>
      </c>
      <c r="D294" s="5" t="s">
        <v>2247</v>
      </c>
      <c r="E294" s="5" t="s">
        <v>2246</v>
      </c>
      <c r="F294" s="5" t="s">
        <v>17</v>
      </c>
      <c r="G294" s="11" t="s">
        <v>2248</v>
      </c>
      <c r="H294" s="11" t="s">
        <v>2249</v>
      </c>
      <c r="I294" s="11" t="s">
        <v>2250</v>
      </c>
      <c r="J294" s="11" t="s">
        <v>1645</v>
      </c>
      <c r="K294" s="11" t="s">
        <v>2251</v>
      </c>
      <c r="L294" s="5" t="s">
        <v>30</v>
      </c>
      <c r="M294" s="5" t="s">
        <v>2252</v>
      </c>
      <c r="N294" s="5" t="s">
        <v>164</v>
      </c>
      <c r="O294" s="5" t="s">
        <v>446</v>
      </c>
      <c r="P294" s="5" t="s">
        <v>446</v>
      </c>
      <c r="Q294" s="12"/>
    </row>
    <row r="295" ht="22.5" customHeight="1">
      <c r="A295" s="10">
        <v>260294.0</v>
      </c>
      <c r="B295" s="4">
        <v>46039.224956516206</v>
      </c>
      <c r="C295" s="5" t="s">
        <v>2253</v>
      </c>
      <c r="D295" s="5" t="s">
        <v>2254</v>
      </c>
      <c r="E295" s="5" t="s">
        <v>2253</v>
      </c>
      <c r="F295" s="5" t="s">
        <v>17</v>
      </c>
      <c r="G295" s="11" t="s">
        <v>2255</v>
      </c>
      <c r="H295" s="11" t="s">
        <v>2256</v>
      </c>
      <c r="I295" s="11" t="s">
        <v>21</v>
      </c>
      <c r="J295" s="11" t="s">
        <v>2257</v>
      </c>
      <c r="K295" s="11" t="s">
        <v>2258</v>
      </c>
      <c r="L295" s="5" t="s">
        <v>162</v>
      </c>
      <c r="M295" s="5" t="s">
        <v>1228</v>
      </c>
      <c r="N295" s="5" t="s">
        <v>71</v>
      </c>
      <c r="O295" s="5" t="s">
        <v>200</v>
      </c>
      <c r="P295" s="5" t="s">
        <v>201</v>
      </c>
      <c r="Q295" s="12"/>
    </row>
    <row r="296" ht="22.5" customHeight="1">
      <c r="A296" s="14">
        <v>260295.0</v>
      </c>
      <c r="B296" s="4">
        <v>46039.22976650463</v>
      </c>
      <c r="C296" s="5" t="s">
        <v>2259</v>
      </c>
      <c r="D296" s="5" t="s">
        <v>2260</v>
      </c>
      <c r="E296" s="5" t="s">
        <v>2259</v>
      </c>
      <c r="F296" s="5" t="s">
        <v>17</v>
      </c>
      <c r="G296" s="13" t="s">
        <v>2261</v>
      </c>
      <c r="H296" s="13" t="s">
        <v>2262</v>
      </c>
      <c r="I296" s="11" t="s">
        <v>2263</v>
      </c>
      <c r="J296" s="11" t="s">
        <v>21</v>
      </c>
      <c r="K296" s="11" t="s">
        <v>2264</v>
      </c>
      <c r="L296" s="5" t="s">
        <v>23</v>
      </c>
      <c r="M296" s="5" t="s">
        <v>2265</v>
      </c>
      <c r="N296" s="5" t="s">
        <v>119</v>
      </c>
      <c r="O296" s="5" t="s">
        <v>257</v>
      </c>
      <c r="P296" s="5" t="s">
        <v>258</v>
      </c>
      <c r="Q296" s="12"/>
    </row>
    <row r="297" ht="22.5" customHeight="1">
      <c r="A297" s="10">
        <v>260296.0</v>
      </c>
      <c r="B297" s="4">
        <v>46039.26513753472</v>
      </c>
      <c r="C297" s="5" t="s">
        <v>2266</v>
      </c>
      <c r="D297" s="5" t="s">
        <v>2267</v>
      </c>
      <c r="E297" s="5" t="s">
        <v>2266</v>
      </c>
      <c r="F297" s="5" t="s">
        <v>17</v>
      </c>
      <c r="G297" s="11" t="s">
        <v>2268</v>
      </c>
      <c r="H297" s="11" t="s">
        <v>2269</v>
      </c>
      <c r="I297" s="11" t="s">
        <v>2270</v>
      </c>
      <c r="J297" s="11" t="s">
        <v>2271</v>
      </c>
      <c r="K297" s="11" t="s">
        <v>2272</v>
      </c>
      <c r="L297" s="5" t="s">
        <v>30</v>
      </c>
      <c r="M297" s="5" t="s">
        <v>2273</v>
      </c>
      <c r="N297" s="5" t="s">
        <v>39</v>
      </c>
      <c r="O297" s="5" t="s">
        <v>51</v>
      </c>
      <c r="P297" s="5" t="s">
        <v>52</v>
      </c>
      <c r="Q297" s="12"/>
    </row>
    <row r="298" ht="22.5" customHeight="1">
      <c r="A298" s="10">
        <v>260297.0</v>
      </c>
      <c r="B298" s="4">
        <v>46039.311226342594</v>
      </c>
      <c r="C298" s="5" t="s">
        <v>2274</v>
      </c>
      <c r="D298" s="5" t="s">
        <v>2275</v>
      </c>
      <c r="E298" s="5" t="s">
        <v>2274</v>
      </c>
      <c r="F298" s="5" t="s">
        <v>17</v>
      </c>
      <c r="G298" s="11" t="s">
        <v>2276</v>
      </c>
      <c r="H298" s="11" t="s">
        <v>2277</v>
      </c>
      <c r="I298" s="11" t="s">
        <v>2278</v>
      </c>
      <c r="J298" s="11" t="s">
        <v>2279</v>
      </c>
      <c r="K298" s="11" t="s">
        <v>2280</v>
      </c>
      <c r="L298" s="5" t="s">
        <v>162</v>
      </c>
      <c r="M298" s="5" t="s">
        <v>2281</v>
      </c>
      <c r="N298" s="5" t="s">
        <v>456</v>
      </c>
      <c r="O298" s="5" t="s">
        <v>1703</v>
      </c>
      <c r="P298" s="5" t="s">
        <v>1703</v>
      </c>
      <c r="Q298" s="12"/>
    </row>
    <row r="299" ht="22.5" customHeight="1">
      <c r="A299" s="10">
        <v>260298.0</v>
      </c>
      <c r="B299" s="4">
        <v>46039.498341597224</v>
      </c>
      <c r="C299" s="5" t="s">
        <v>2282</v>
      </c>
      <c r="D299" s="5" t="s">
        <v>2283</v>
      </c>
      <c r="E299" s="5" t="s">
        <v>2282</v>
      </c>
      <c r="F299" s="5" t="s">
        <v>17</v>
      </c>
      <c r="G299" s="11" t="s">
        <v>2284</v>
      </c>
      <c r="H299" s="13" t="s">
        <v>2285</v>
      </c>
      <c r="I299" s="11" t="s">
        <v>2286</v>
      </c>
      <c r="J299" s="11" t="s">
        <v>1243</v>
      </c>
      <c r="K299" s="11" t="s">
        <v>2287</v>
      </c>
      <c r="L299" s="5" t="s">
        <v>23</v>
      </c>
      <c r="M299" s="5" t="s">
        <v>1116</v>
      </c>
      <c r="N299" s="5" t="s">
        <v>119</v>
      </c>
      <c r="O299" s="5" t="s">
        <v>548</v>
      </c>
      <c r="P299" s="5" t="s">
        <v>566</v>
      </c>
      <c r="Q299" s="12"/>
    </row>
    <row r="300" ht="22.5" customHeight="1">
      <c r="A300" s="10">
        <v>260299.0</v>
      </c>
      <c r="B300" s="4">
        <v>46039.54242871528</v>
      </c>
      <c r="C300" s="4">
        <v>46039.54242871528</v>
      </c>
      <c r="D300" s="5" t="s">
        <v>2288</v>
      </c>
      <c r="E300" s="5" t="s">
        <v>2289</v>
      </c>
      <c r="F300" s="5" t="s">
        <v>64</v>
      </c>
      <c r="G300" s="11" t="s">
        <v>2290</v>
      </c>
      <c r="H300" s="11" t="s">
        <v>2291</v>
      </c>
      <c r="I300" s="11" t="s">
        <v>2170</v>
      </c>
      <c r="J300" s="11" t="s">
        <v>2292</v>
      </c>
      <c r="K300" s="11" t="s">
        <v>2293</v>
      </c>
      <c r="L300" s="5" t="s">
        <v>162</v>
      </c>
      <c r="M300" s="5" t="s">
        <v>2294</v>
      </c>
      <c r="N300" s="5" t="s">
        <v>119</v>
      </c>
      <c r="O300" s="5" t="s">
        <v>403</v>
      </c>
      <c r="P300" s="5" t="s">
        <v>1401</v>
      </c>
      <c r="Q300" s="12"/>
    </row>
    <row r="301" ht="22.5" customHeight="1">
      <c r="A301" s="10">
        <v>260300.0</v>
      </c>
      <c r="B301" s="4">
        <v>46039.56412962963</v>
      </c>
      <c r="C301" s="5" t="s">
        <v>2295</v>
      </c>
      <c r="D301" s="5" t="s">
        <v>2296</v>
      </c>
      <c r="E301" s="5" t="s">
        <v>2297</v>
      </c>
      <c r="F301" s="5" t="s">
        <v>17</v>
      </c>
      <c r="G301" s="11" t="s">
        <v>2298</v>
      </c>
      <c r="H301" s="13" t="s">
        <v>2299</v>
      </c>
      <c r="I301" s="11" t="s">
        <v>400</v>
      </c>
      <c r="J301" s="11" t="s">
        <v>2300</v>
      </c>
      <c r="K301" s="11" t="s">
        <v>2301</v>
      </c>
      <c r="L301" s="5" t="s">
        <v>30</v>
      </c>
      <c r="M301" s="5" t="s">
        <v>2302</v>
      </c>
      <c r="N301" s="5" t="s">
        <v>71</v>
      </c>
      <c r="O301" s="5" t="s">
        <v>592</v>
      </c>
      <c r="P301" s="5" t="s">
        <v>2303</v>
      </c>
      <c r="Q301" s="12"/>
    </row>
    <row r="302" ht="22.5" customHeight="1">
      <c r="A302" s="10">
        <v>260301.0</v>
      </c>
      <c r="B302" s="4">
        <v>46039.76005753472</v>
      </c>
      <c r="C302" s="5" t="s">
        <v>2304</v>
      </c>
      <c r="D302" s="5" t="s">
        <v>2305</v>
      </c>
      <c r="E302" s="5" t="s">
        <v>2304</v>
      </c>
      <c r="F302" s="5" t="s">
        <v>131</v>
      </c>
      <c r="G302" s="11" t="s">
        <v>2306</v>
      </c>
      <c r="H302" s="11" t="s">
        <v>2307</v>
      </c>
      <c r="I302" s="11" t="s">
        <v>22</v>
      </c>
      <c r="J302" s="11" t="s">
        <v>2308</v>
      </c>
      <c r="K302" s="11" t="s">
        <v>2309</v>
      </c>
      <c r="L302" s="5" t="s">
        <v>162</v>
      </c>
      <c r="M302" s="5" t="s">
        <v>2310</v>
      </c>
      <c r="N302" s="5" t="s">
        <v>456</v>
      </c>
      <c r="O302" s="5" t="s">
        <v>26</v>
      </c>
      <c r="P302" s="5" t="s">
        <v>26</v>
      </c>
      <c r="Q302" s="12"/>
    </row>
    <row r="303" ht="22.5" customHeight="1">
      <c r="A303" s="16"/>
      <c r="B303" s="2"/>
      <c r="C303" s="3"/>
      <c r="D303" s="3"/>
      <c r="E303" s="3"/>
      <c r="F303" s="3"/>
      <c r="G303" s="17"/>
      <c r="H303" s="17"/>
      <c r="I303" s="17"/>
      <c r="J303" s="17"/>
      <c r="K303" s="17"/>
      <c r="L303" s="3"/>
      <c r="M303" s="3"/>
      <c r="N303" s="3"/>
      <c r="O303" s="3"/>
      <c r="P303" s="3"/>
      <c r="Q303" s="12"/>
    </row>
    <row r="304">
      <c r="A304" s="18"/>
      <c r="G304" s="19"/>
      <c r="H304" s="19"/>
      <c r="I304" s="19"/>
      <c r="J304" s="19"/>
      <c r="K304" s="19"/>
    </row>
    <row r="305">
      <c r="A305" s="18"/>
      <c r="G305" s="19"/>
      <c r="H305" s="19"/>
      <c r="I305" s="19"/>
      <c r="J305" s="19"/>
      <c r="K305" s="19"/>
    </row>
    <row r="306">
      <c r="A306" s="18"/>
      <c r="G306" s="19"/>
      <c r="H306" s="19"/>
      <c r="I306" s="19"/>
      <c r="J306" s="19"/>
      <c r="K306" s="19"/>
    </row>
    <row r="307">
      <c r="A307" s="18"/>
      <c r="G307" s="19"/>
      <c r="H307" s="19"/>
      <c r="I307" s="19"/>
      <c r="J307" s="19"/>
      <c r="K307" s="19"/>
    </row>
    <row r="308">
      <c r="A308" s="18"/>
      <c r="G308" s="19"/>
      <c r="H308" s="19"/>
      <c r="I308" s="19"/>
      <c r="J308" s="19"/>
      <c r="K308" s="19"/>
    </row>
    <row r="309">
      <c r="A309" s="18"/>
      <c r="G309" s="19"/>
      <c r="H309" s="19"/>
      <c r="I309" s="19"/>
      <c r="J309" s="19"/>
      <c r="K309" s="19"/>
    </row>
    <row r="310">
      <c r="A310" s="18"/>
      <c r="G310" s="19"/>
      <c r="H310" s="19"/>
      <c r="I310" s="19"/>
      <c r="J310" s="19"/>
      <c r="K310" s="19"/>
    </row>
    <row r="311">
      <c r="A311" s="18"/>
      <c r="G311" s="19"/>
      <c r="H311" s="19"/>
      <c r="I311" s="19"/>
      <c r="J311" s="19"/>
      <c r="K311" s="19"/>
    </row>
    <row r="312">
      <c r="A312" s="18"/>
      <c r="G312" s="19"/>
      <c r="H312" s="19"/>
      <c r="I312" s="19"/>
      <c r="J312" s="19"/>
      <c r="K312" s="19"/>
    </row>
    <row r="313">
      <c r="A313" s="18"/>
      <c r="G313" s="19"/>
      <c r="H313" s="19"/>
      <c r="I313" s="19"/>
      <c r="J313" s="19"/>
      <c r="K313" s="19"/>
    </row>
    <row r="314">
      <c r="A314" s="18"/>
      <c r="G314" s="19"/>
      <c r="H314" s="19"/>
      <c r="I314" s="19"/>
      <c r="J314" s="19"/>
      <c r="K314" s="19"/>
    </row>
    <row r="315">
      <c r="A315" s="18"/>
      <c r="G315" s="19"/>
      <c r="H315" s="19"/>
      <c r="I315" s="19"/>
      <c r="J315" s="19"/>
      <c r="K315" s="19"/>
    </row>
    <row r="316">
      <c r="A316" s="18"/>
      <c r="G316" s="19"/>
      <c r="H316" s="19"/>
      <c r="I316" s="19"/>
      <c r="J316" s="19"/>
      <c r="K316" s="19"/>
    </row>
    <row r="317">
      <c r="A317" s="18"/>
      <c r="G317" s="19"/>
      <c r="H317" s="19"/>
      <c r="I317" s="19"/>
      <c r="J317" s="19"/>
      <c r="K317" s="19"/>
    </row>
    <row r="318">
      <c r="A318" s="18"/>
      <c r="G318" s="19"/>
      <c r="H318" s="19"/>
      <c r="I318" s="19"/>
      <c r="J318" s="19"/>
      <c r="K318" s="19"/>
    </row>
    <row r="319">
      <c r="A319" s="18"/>
      <c r="G319" s="19"/>
      <c r="H319" s="19"/>
      <c r="I319" s="19"/>
      <c r="J319" s="19"/>
      <c r="K319" s="19"/>
    </row>
    <row r="320">
      <c r="A320" s="18"/>
      <c r="G320" s="19"/>
      <c r="H320" s="19"/>
      <c r="I320" s="19"/>
      <c r="J320" s="19"/>
      <c r="K320" s="19"/>
    </row>
    <row r="321">
      <c r="A321" s="18"/>
      <c r="G321" s="19"/>
      <c r="H321" s="19"/>
      <c r="I321" s="19"/>
      <c r="J321" s="19"/>
      <c r="K321" s="19"/>
    </row>
    <row r="322">
      <c r="A322" s="18"/>
      <c r="G322" s="19"/>
      <c r="H322" s="19"/>
      <c r="I322" s="19"/>
      <c r="J322" s="19"/>
      <c r="K322" s="19"/>
    </row>
    <row r="323">
      <c r="A323" s="18"/>
      <c r="G323" s="19"/>
      <c r="H323" s="19"/>
      <c r="I323" s="19"/>
      <c r="J323" s="19"/>
      <c r="K323" s="19"/>
    </row>
    <row r="324">
      <c r="A324" s="18"/>
      <c r="G324" s="19"/>
      <c r="H324" s="19"/>
      <c r="I324" s="19"/>
      <c r="J324" s="19"/>
      <c r="K324" s="19"/>
    </row>
    <row r="325">
      <c r="A325" s="18"/>
      <c r="G325" s="19"/>
      <c r="H325" s="19"/>
      <c r="I325" s="19"/>
      <c r="J325" s="19"/>
      <c r="K325" s="19"/>
    </row>
    <row r="326">
      <c r="A326" s="18"/>
      <c r="G326" s="19"/>
      <c r="H326" s="19"/>
      <c r="I326" s="19"/>
      <c r="J326" s="19"/>
      <c r="K326" s="19"/>
    </row>
    <row r="327">
      <c r="A327" s="18"/>
      <c r="G327" s="19"/>
      <c r="H327" s="19"/>
      <c r="I327" s="19"/>
      <c r="J327" s="19"/>
      <c r="K327" s="19"/>
    </row>
    <row r="328">
      <c r="A328" s="18"/>
      <c r="G328" s="19"/>
      <c r="H328" s="19"/>
      <c r="I328" s="19"/>
      <c r="J328" s="19"/>
      <c r="K328" s="19"/>
    </row>
    <row r="329">
      <c r="A329" s="18"/>
      <c r="G329" s="19"/>
      <c r="H329" s="19"/>
      <c r="I329" s="19"/>
      <c r="J329" s="19"/>
      <c r="K329" s="19"/>
    </row>
    <row r="330">
      <c r="A330" s="18"/>
      <c r="G330" s="19"/>
      <c r="H330" s="19"/>
      <c r="I330" s="19"/>
      <c r="J330" s="19"/>
      <c r="K330" s="19"/>
    </row>
    <row r="331">
      <c r="A331" s="18"/>
      <c r="G331" s="19"/>
      <c r="H331" s="19"/>
      <c r="I331" s="19"/>
      <c r="J331" s="19"/>
      <c r="K331" s="19"/>
    </row>
    <row r="332">
      <c r="A332" s="18"/>
      <c r="G332" s="19"/>
      <c r="H332" s="19"/>
      <c r="I332" s="19"/>
      <c r="J332" s="19"/>
      <c r="K332" s="19"/>
    </row>
    <row r="333">
      <c r="A333" s="18"/>
      <c r="G333" s="19"/>
      <c r="H333" s="19"/>
      <c r="I333" s="19"/>
      <c r="J333" s="19"/>
      <c r="K333" s="19"/>
    </row>
    <row r="334">
      <c r="A334" s="18"/>
      <c r="G334" s="19"/>
      <c r="H334" s="19"/>
      <c r="I334" s="19"/>
      <c r="J334" s="19"/>
      <c r="K334" s="19"/>
    </row>
    <row r="335">
      <c r="A335" s="18"/>
      <c r="G335" s="19"/>
      <c r="H335" s="19"/>
      <c r="I335" s="19"/>
      <c r="J335" s="19"/>
      <c r="K335" s="19"/>
    </row>
    <row r="336">
      <c r="A336" s="18"/>
      <c r="G336" s="19"/>
      <c r="H336" s="19"/>
      <c r="I336" s="19"/>
      <c r="J336" s="19"/>
      <c r="K336" s="19"/>
    </row>
    <row r="337">
      <c r="A337" s="18"/>
      <c r="G337" s="19"/>
      <c r="H337" s="19"/>
      <c r="I337" s="19"/>
      <c r="J337" s="19"/>
      <c r="K337" s="19"/>
    </row>
    <row r="338">
      <c r="A338" s="18"/>
      <c r="G338" s="19"/>
      <c r="H338" s="19"/>
      <c r="I338" s="19"/>
      <c r="J338" s="19"/>
      <c r="K338" s="19"/>
    </row>
    <row r="339">
      <c r="A339" s="18"/>
      <c r="G339" s="19"/>
      <c r="H339" s="19"/>
      <c r="I339" s="19"/>
      <c r="J339" s="19"/>
      <c r="K339" s="19"/>
    </row>
    <row r="340">
      <c r="A340" s="18"/>
      <c r="G340" s="19"/>
      <c r="H340" s="19"/>
      <c r="I340" s="19"/>
      <c r="J340" s="19"/>
      <c r="K340" s="19"/>
    </row>
    <row r="341">
      <c r="A341" s="18"/>
      <c r="G341" s="19"/>
      <c r="H341" s="19"/>
      <c r="I341" s="19"/>
      <c r="J341" s="19"/>
      <c r="K341" s="19"/>
    </row>
    <row r="342">
      <c r="A342" s="18"/>
      <c r="G342" s="19"/>
      <c r="H342" s="19"/>
      <c r="I342" s="19"/>
      <c r="J342" s="19"/>
      <c r="K342" s="19"/>
    </row>
    <row r="343">
      <c r="A343" s="18"/>
      <c r="G343" s="19"/>
      <c r="H343" s="19"/>
      <c r="I343" s="19"/>
      <c r="J343" s="19"/>
      <c r="K343" s="19"/>
    </row>
    <row r="344">
      <c r="A344" s="18"/>
      <c r="G344" s="19"/>
      <c r="H344" s="19"/>
      <c r="I344" s="19"/>
      <c r="J344" s="19"/>
      <c r="K344" s="19"/>
    </row>
    <row r="345">
      <c r="A345" s="18"/>
      <c r="G345" s="19"/>
      <c r="H345" s="19"/>
      <c r="I345" s="19"/>
      <c r="J345" s="19"/>
      <c r="K345" s="19"/>
    </row>
    <row r="346">
      <c r="A346" s="18"/>
      <c r="G346" s="19"/>
      <c r="H346" s="19"/>
      <c r="I346" s="19"/>
      <c r="J346" s="19"/>
      <c r="K346" s="19"/>
    </row>
    <row r="347">
      <c r="A347" s="18"/>
      <c r="G347" s="19"/>
      <c r="H347" s="19"/>
      <c r="I347" s="19"/>
      <c r="J347" s="19"/>
      <c r="K347" s="19"/>
    </row>
    <row r="348">
      <c r="A348" s="18"/>
      <c r="G348" s="19"/>
      <c r="H348" s="19"/>
      <c r="I348" s="19"/>
      <c r="J348" s="19"/>
      <c r="K348" s="19"/>
    </row>
    <row r="349">
      <c r="A349" s="18"/>
      <c r="G349" s="19"/>
      <c r="H349" s="19"/>
      <c r="I349" s="19"/>
      <c r="J349" s="19"/>
      <c r="K349" s="19"/>
    </row>
    <row r="350">
      <c r="A350" s="18"/>
      <c r="G350" s="19"/>
      <c r="H350" s="19"/>
      <c r="I350" s="19"/>
      <c r="J350" s="19"/>
      <c r="K350" s="19"/>
    </row>
    <row r="351">
      <c r="A351" s="18"/>
      <c r="G351" s="19"/>
      <c r="H351" s="19"/>
      <c r="I351" s="19"/>
      <c r="J351" s="19"/>
      <c r="K351" s="19"/>
    </row>
    <row r="352">
      <c r="A352" s="18"/>
      <c r="G352" s="19"/>
      <c r="H352" s="19"/>
      <c r="I352" s="19"/>
      <c r="J352" s="19"/>
      <c r="K352" s="19"/>
    </row>
    <row r="353">
      <c r="A353" s="18"/>
      <c r="G353" s="19"/>
      <c r="H353" s="19"/>
      <c r="I353" s="19"/>
      <c r="J353" s="19"/>
      <c r="K353" s="19"/>
    </row>
    <row r="354">
      <c r="A354" s="18"/>
      <c r="G354" s="19"/>
      <c r="H354" s="19"/>
      <c r="I354" s="19"/>
      <c r="J354" s="19"/>
      <c r="K354" s="19"/>
    </row>
    <row r="355">
      <c r="A355" s="18"/>
      <c r="G355" s="19"/>
      <c r="H355" s="19"/>
      <c r="I355" s="19"/>
      <c r="J355" s="19"/>
      <c r="K355" s="19"/>
    </row>
    <row r="356">
      <c r="A356" s="18"/>
      <c r="G356" s="19"/>
      <c r="H356" s="19"/>
      <c r="I356" s="19"/>
      <c r="J356" s="19"/>
      <c r="K356" s="19"/>
    </row>
    <row r="357">
      <c r="A357" s="18"/>
      <c r="G357" s="19"/>
      <c r="H357" s="19"/>
      <c r="I357" s="19"/>
      <c r="J357" s="19"/>
      <c r="K357" s="19"/>
    </row>
    <row r="358">
      <c r="A358" s="18"/>
      <c r="G358" s="19"/>
      <c r="H358" s="19"/>
      <c r="I358" s="19"/>
      <c r="J358" s="19"/>
      <c r="K358" s="19"/>
    </row>
    <row r="359">
      <c r="A359" s="18"/>
      <c r="G359" s="19"/>
      <c r="H359" s="19"/>
      <c r="I359" s="19"/>
      <c r="J359" s="19"/>
      <c r="K359" s="19"/>
    </row>
    <row r="360">
      <c r="A360" s="18"/>
      <c r="G360" s="19"/>
      <c r="H360" s="19"/>
      <c r="I360" s="19"/>
      <c r="J360" s="19"/>
      <c r="K360" s="19"/>
    </row>
    <row r="361">
      <c r="A361" s="18"/>
      <c r="G361" s="19"/>
      <c r="H361" s="19"/>
      <c r="I361" s="19"/>
      <c r="J361" s="19"/>
      <c r="K361" s="19"/>
    </row>
    <row r="362">
      <c r="A362" s="18"/>
      <c r="G362" s="19"/>
      <c r="H362" s="19"/>
      <c r="I362" s="19"/>
      <c r="J362" s="19"/>
      <c r="K362" s="19"/>
    </row>
    <row r="363">
      <c r="A363" s="18"/>
      <c r="G363" s="19"/>
      <c r="H363" s="19"/>
      <c r="I363" s="19"/>
      <c r="J363" s="19"/>
      <c r="K363" s="19"/>
    </row>
    <row r="364">
      <c r="A364" s="18"/>
      <c r="G364" s="19"/>
      <c r="H364" s="19"/>
      <c r="I364" s="19"/>
      <c r="J364" s="19"/>
      <c r="K364" s="19"/>
    </row>
    <row r="365">
      <c r="A365" s="18"/>
      <c r="G365" s="19"/>
      <c r="H365" s="19"/>
      <c r="I365" s="19"/>
      <c r="J365" s="19"/>
      <c r="K365" s="19"/>
    </row>
    <row r="366">
      <c r="A366" s="18"/>
      <c r="G366" s="19"/>
      <c r="H366" s="19"/>
      <c r="I366" s="19"/>
      <c r="J366" s="19"/>
      <c r="K366" s="19"/>
    </row>
    <row r="367">
      <c r="A367" s="18"/>
      <c r="G367" s="19"/>
      <c r="H367" s="19"/>
      <c r="I367" s="19"/>
      <c r="J367" s="19"/>
      <c r="K367" s="19"/>
    </row>
    <row r="368">
      <c r="A368" s="18"/>
      <c r="G368" s="19"/>
      <c r="H368" s="19"/>
      <c r="I368" s="19"/>
      <c r="J368" s="19"/>
      <c r="K368" s="19"/>
    </row>
    <row r="369">
      <c r="A369" s="18"/>
      <c r="G369" s="19"/>
      <c r="H369" s="19"/>
      <c r="I369" s="19"/>
      <c r="J369" s="19"/>
      <c r="K369" s="19"/>
    </row>
    <row r="370">
      <c r="A370" s="18"/>
      <c r="G370" s="19"/>
      <c r="H370" s="19"/>
      <c r="I370" s="19"/>
      <c r="J370" s="19"/>
      <c r="K370" s="19"/>
    </row>
    <row r="371">
      <c r="A371" s="18"/>
      <c r="G371" s="19"/>
      <c r="H371" s="19"/>
      <c r="I371" s="19"/>
      <c r="J371" s="19"/>
      <c r="K371" s="19"/>
    </row>
    <row r="372">
      <c r="A372" s="18"/>
      <c r="G372" s="19"/>
      <c r="H372" s="19"/>
      <c r="I372" s="19"/>
      <c r="J372" s="19"/>
      <c r="K372" s="19"/>
    </row>
    <row r="373">
      <c r="A373" s="18"/>
      <c r="G373" s="19"/>
      <c r="H373" s="19"/>
      <c r="I373" s="19"/>
      <c r="J373" s="19"/>
      <c r="K373" s="19"/>
    </row>
    <row r="374">
      <c r="A374" s="18"/>
      <c r="G374" s="19"/>
      <c r="H374" s="19"/>
      <c r="I374" s="19"/>
      <c r="J374" s="19"/>
      <c r="K374" s="19"/>
    </row>
    <row r="375">
      <c r="A375" s="18"/>
      <c r="G375" s="19"/>
      <c r="H375" s="19"/>
      <c r="I375" s="19"/>
      <c r="J375" s="19"/>
      <c r="K375" s="19"/>
    </row>
    <row r="376">
      <c r="A376" s="18"/>
      <c r="G376" s="19"/>
      <c r="H376" s="19"/>
      <c r="I376" s="19"/>
      <c r="J376" s="19"/>
      <c r="K376" s="19"/>
    </row>
    <row r="377">
      <c r="A377" s="18"/>
      <c r="G377" s="19"/>
      <c r="H377" s="19"/>
      <c r="I377" s="19"/>
      <c r="J377" s="19"/>
      <c r="K377" s="19"/>
    </row>
    <row r="378">
      <c r="A378" s="18"/>
      <c r="G378" s="19"/>
      <c r="H378" s="19"/>
      <c r="I378" s="19"/>
      <c r="J378" s="19"/>
      <c r="K378" s="19"/>
    </row>
    <row r="379">
      <c r="A379" s="18"/>
      <c r="G379" s="19"/>
      <c r="H379" s="19"/>
      <c r="I379" s="19"/>
      <c r="J379" s="19"/>
      <c r="K379" s="19"/>
    </row>
    <row r="380">
      <c r="A380" s="18"/>
      <c r="G380" s="19"/>
      <c r="H380" s="19"/>
      <c r="I380" s="19"/>
      <c r="J380" s="19"/>
      <c r="K380" s="19"/>
    </row>
    <row r="381">
      <c r="A381" s="18"/>
      <c r="G381" s="19"/>
      <c r="H381" s="19"/>
      <c r="I381" s="19"/>
      <c r="J381" s="19"/>
      <c r="K381" s="19"/>
    </row>
    <row r="382">
      <c r="A382" s="18"/>
      <c r="G382" s="19"/>
      <c r="H382" s="19"/>
      <c r="I382" s="19"/>
      <c r="J382" s="19"/>
      <c r="K382" s="19"/>
    </row>
    <row r="383">
      <c r="A383" s="18"/>
      <c r="G383" s="19"/>
      <c r="H383" s="19"/>
      <c r="I383" s="19"/>
      <c r="J383" s="19"/>
      <c r="K383" s="19"/>
    </row>
    <row r="384">
      <c r="A384" s="18"/>
      <c r="G384" s="19"/>
      <c r="H384" s="19"/>
      <c r="I384" s="19"/>
      <c r="J384" s="19"/>
      <c r="K384" s="19"/>
    </row>
    <row r="385">
      <c r="A385" s="18"/>
      <c r="G385" s="19"/>
      <c r="H385" s="19"/>
      <c r="I385" s="19"/>
      <c r="J385" s="19"/>
      <c r="K385" s="19"/>
    </row>
    <row r="386">
      <c r="A386" s="18"/>
      <c r="G386" s="19"/>
      <c r="H386" s="19"/>
      <c r="I386" s="19"/>
      <c r="J386" s="19"/>
      <c r="K386" s="19"/>
    </row>
    <row r="387">
      <c r="A387" s="18"/>
      <c r="G387" s="19"/>
      <c r="H387" s="19"/>
      <c r="I387" s="19"/>
      <c r="J387" s="19"/>
      <c r="K387" s="19"/>
    </row>
    <row r="388">
      <c r="A388" s="18"/>
      <c r="G388" s="19"/>
      <c r="H388" s="19"/>
      <c r="I388" s="19"/>
      <c r="J388" s="19"/>
      <c r="K388" s="19"/>
    </row>
    <row r="389">
      <c r="A389" s="18"/>
      <c r="G389" s="19"/>
      <c r="H389" s="19"/>
      <c r="I389" s="19"/>
      <c r="J389" s="19"/>
      <c r="K389" s="19"/>
    </row>
    <row r="390">
      <c r="A390" s="18"/>
      <c r="G390" s="19"/>
      <c r="H390" s="19"/>
      <c r="I390" s="19"/>
      <c r="J390" s="19"/>
      <c r="K390" s="19"/>
    </row>
    <row r="391">
      <c r="A391" s="18"/>
      <c r="G391" s="19"/>
      <c r="H391" s="19"/>
      <c r="I391" s="19"/>
      <c r="J391" s="19"/>
      <c r="K391" s="19"/>
    </row>
    <row r="392">
      <c r="A392" s="18"/>
      <c r="G392" s="19"/>
      <c r="H392" s="19"/>
      <c r="I392" s="19"/>
      <c r="J392" s="19"/>
      <c r="K392" s="19"/>
    </row>
    <row r="393">
      <c r="A393" s="18"/>
      <c r="G393" s="19"/>
      <c r="H393" s="19"/>
      <c r="I393" s="19"/>
      <c r="J393" s="19"/>
      <c r="K393" s="19"/>
    </row>
    <row r="394">
      <c r="A394" s="18"/>
      <c r="G394" s="19"/>
      <c r="H394" s="19"/>
      <c r="I394" s="19"/>
      <c r="J394" s="19"/>
      <c r="K394" s="19"/>
    </row>
    <row r="395">
      <c r="A395" s="18"/>
      <c r="G395" s="19"/>
      <c r="H395" s="19"/>
      <c r="I395" s="19"/>
      <c r="J395" s="19"/>
      <c r="K395" s="19"/>
    </row>
    <row r="396">
      <c r="A396" s="18"/>
      <c r="G396" s="19"/>
      <c r="H396" s="19"/>
      <c r="I396" s="19"/>
      <c r="J396" s="19"/>
      <c r="K396" s="19"/>
    </row>
    <row r="397">
      <c r="A397" s="18"/>
      <c r="G397" s="19"/>
      <c r="H397" s="19"/>
      <c r="I397" s="19"/>
      <c r="J397" s="19"/>
      <c r="K397" s="19"/>
    </row>
    <row r="398">
      <c r="A398" s="18"/>
      <c r="G398" s="19"/>
      <c r="H398" s="19"/>
      <c r="I398" s="19"/>
      <c r="J398" s="19"/>
      <c r="K398" s="19"/>
    </row>
    <row r="399">
      <c r="A399" s="18"/>
      <c r="G399" s="19"/>
      <c r="H399" s="19"/>
      <c r="I399" s="19"/>
      <c r="J399" s="19"/>
      <c r="K399" s="19"/>
    </row>
    <row r="400">
      <c r="A400" s="18"/>
      <c r="G400" s="19"/>
      <c r="H400" s="19"/>
      <c r="I400" s="19"/>
      <c r="J400" s="19"/>
      <c r="K400" s="19"/>
    </row>
    <row r="401">
      <c r="A401" s="18"/>
      <c r="G401" s="19"/>
      <c r="H401" s="19"/>
      <c r="I401" s="19"/>
      <c r="J401" s="19"/>
      <c r="K401" s="19"/>
    </row>
    <row r="402">
      <c r="A402" s="18"/>
      <c r="G402" s="19"/>
      <c r="H402" s="19"/>
      <c r="I402" s="19"/>
      <c r="J402" s="19"/>
      <c r="K402" s="19"/>
    </row>
  </sheetData>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5" max="5" width="18.88"/>
    <col customWidth="1" min="6" max="6" width="35.38"/>
    <col customWidth="1" min="8" max="8" width="15.75"/>
    <col customWidth="1" min="9" max="9" width="18.88"/>
    <col customWidth="1" min="10" max="12" width="34.63"/>
    <col customWidth="1" min="18" max="18" width="16.63"/>
  </cols>
  <sheetData>
    <row r="1">
      <c r="A1" s="20" t="s">
        <v>2316</v>
      </c>
      <c r="B1" s="20" t="s">
        <v>2317</v>
      </c>
      <c r="C1" s="20" t="s">
        <v>2318</v>
      </c>
      <c r="D1" s="20" t="s">
        <v>2319</v>
      </c>
      <c r="E1" s="20" t="s">
        <v>2320</v>
      </c>
      <c r="F1" s="20" t="s">
        <v>11</v>
      </c>
      <c r="G1" s="20" t="s">
        <v>2321</v>
      </c>
      <c r="H1" s="21" t="s">
        <v>2322</v>
      </c>
      <c r="I1" s="22" t="s">
        <v>2323</v>
      </c>
      <c r="J1" s="20" t="s">
        <v>7</v>
      </c>
      <c r="K1" s="20" t="s">
        <v>8</v>
      </c>
      <c r="L1" s="20" t="s">
        <v>9</v>
      </c>
      <c r="M1" s="23" t="s">
        <v>2324</v>
      </c>
      <c r="N1" s="23" t="s">
        <v>2325</v>
      </c>
      <c r="O1" s="24" t="s">
        <v>2326</v>
      </c>
      <c r="P1" s="24" t="s">
        <v>2327</v>
      </c>
      <c r="Q1" s="24" t="s">
        <v>2328</v>
      </c>
      <c r="R1" s="25" t="s">
        <v>2329</v>
      </c>
      <c r="S1" s="26" t="s">
        <v>2330</v>
      </c>
    </row>
    <row r="2">
      <c r="A2" s="27" t="s">
        <v>2331</v>
      </c>
      <c r="B2" s="28" t="s">
        <v>2332</v>
      </c>
      <c r="C2" s="29" t="s">
        <v>2333</v>
      </c>
      <c r="D2" s="30"/>
      <c r="E2" s="29" t="s">
        <v>2334</v>
      </c>
      <c r="F2" s="29" t="s">
        <v>24</v>
      </c>
      <c r="G2" s="29" t="s">
        <v>2335</v>
      </c>
      <c r="H2" s="31" t="s">
        <v>2336</v>
      </c>
      <c r="I2" s="32" t="s">
        <v>2337</v>
      </c>
      <c r="J2" s="29" t="s">
        <v>470</v>
      </c>
      <c r="K2" s="29" t="s">
        <v>2338</v>
      </c>
      <c r="L2" s="29" t="s">
        <v>58</v>
      </c>
      <c r="M2" s="28" t="s">
        <v>2339</v>
      </c>
      <c r="N2" s="30"/>
      <c r="O2" s="30" t="s">
        <v>2340</v>
      </c>
      <c r="P2" s="28" t="s">
        <v>2339</v>
      </c>
      <c r="Q2" s="28" t="s">
        <v>2339</v>
      </c>
      <c r="R2" s="28" t="s">
        <v>2339</v>
      </c>
      <c r="S2" s="28" t="s">
        <v>2339</v>
      </c>
    </row>
    <row r="3">
      <c r="A3" s="27" t="s">
        <v>2341</v>
      </c>
      <c r="B3" s="28" t="s">
        <v>2342</v>
      </c>
      <c r="C3" s="29" t="s">
        <v>2343</v>
      </c>
      <c r="D3" s="30"/>
      <c r="E3" s="29" t="s">
        <v>2344</v>
      </c>
      <c r="F3" s="29" t="s">
        <v>2345</v>
      </c>
      <c r="G3" s="29" t="s">
        <v>2346</v>
      </c>
      <c r="H3" s="31" t="s">
        <v>2336</v>
      </c>
      <c r="I3" s="32" t="s">
        <v>2347</v>
      </c>
      <c r="J3" s="29" t="s">
        <v>1645</v>
      </c>
      <c r="K3" s="29" t="s">
        <v>2348</v>
      </c>
      <c r="L3" s="29" t="s">
        <v>2349</v>
      </c>
      <c r="M3" s="28" t="s">
        <v>2339</v>
      </c>
      <c r="N3" s="30"/>
      <c r="O3" s="33" t="s">
        <v>2350</v>
      </c>
      <c r="P3" s="28" t="s">
        <v>2339</v>
      </c>
      <c r="Q3" s="28" t="s">
        <v>2339</v>
      </c>
      <c r="R3" s="28" t="s">
        <v>2339</v>
      </c>
      <c r="S3" s="28" t="s">
        <v>2339</v>
      </c>
    </row>
    <row r="4">
      <c r="A4" s="27" t="s">
        <v>2351</v>
      </c>
      <c r="B4" s="28" t="s">
        <v>2342</v>
      </c>
      <c r="C4" s="29" t="s">
        <v>2352</v>
      </c>
      <c r="D4" s="30"/>
      <c r="E4" s="29" t="s">
        <v>2353</v>
      </c>
      <c r="F4" s="29" t="s">
        <v>2354</v>
      </c>
      <c r="G4" s="29" t="s">
        <v>164</v>
      </c>
      <c r="H4" s="31" t="s">
        <v>2336</v>
      </c>
      <c r="I4" s="32" t="s">
        <v>2337</v>
      </c>
      <c r="J4" s="29" t="s">
        <v>2355</v>
      </c>
      <c r="K4" s="29" t="s">
        <v>195</v>
      </c>
      <c r="L4" s="29" t="s">
        <v>714</v>
      </c>
      <c r="M4" s="28" t="s">
        <v>2339</v>
      </c>
      <c r="N4" s="34"/>
      <c r="O4" s="30" t="s">
        <v>2356</v>
      </c>
      <c r="P4" s="28" t="s">
        <v>2339</v>
      </c>
      <c r="Q4" s="28" t="s">
        <v>2339</v>
      </c>
      <c r="R4" s="28" t="s">
        <v>2339</v>
      </c>
      <c r="S4" s="28" t="s">
        <v>2339</v>
      </c>
    </row>
    <row r="5">
      <c r="A5" s="27" t="s">
        <v>2357</v>
      </c>
      <c r="B5" s="28" t="s">
        <v>2342</v>
      </c>
      <c r="C5" s="29" t="s">
        <v>2358</v>
      </c>
      <c r="D5" s="30"/>
      <c r="E5" s="29" t="s">
        <v>2359</v>
      </c>
      <c r="F5" s="29" t="s">
        <v>2360</v>
      </c>
      <c r="G5" s="29" t="s">
        <v>164</v>
      </c>
      <c r="H5" s="35" t="s">
        <v>2361</v>
      </c>
      <c r="I5" s="32" t="s">
        <v>2337</v>
      </c>
      <c r="J5" s="29" t="s">
        <v>1645</v>
      </c>
      <c r="K5" s="29" t="s">
        <v>470</v>
      </c>
      <c r="L5" s="29" t="s">
        <v>58</v>
      </c>
      <c r="M5" s="28" t="s">
        <v>2362</v>
      </c>
      <c r="N5" s="30"/>
      <c r="O5" s="30" t="s">
        <v>2363</v>
      </c>
      <c r="P5" s="28" t="s">
        <v>2339</v>
      </c>
      <c r="Q5" s="30"/>
      <c r="R5" s="28" t="s">
        <v>2339</v>
      </c>
      <c r="S5" s="28" t="s">
        <v>2339</v>
      </c>
    </row>
    <row r="6">
      <c r="A6" s="27" t="s">
        <v>2364</v>
      </c>
      <c r="B6" s="28" t="s">
        <v>2342</v>
      </c>
      <c r="C6" s="29" t="s">
        <v>2365</v>
      </c>
      <c r="D6" s="30"/>
      <c r="E6" s="29" t="s">
        <v>2366</v>
      </c>
      <c r="F6" s="29" t="s">
        <v>2367</v>
      </c>
      <c r="G6" s="29" t="s">
        <v>2368</v>
      </c>
      <c r="H6" s="35" t="s">
        <v>2361</v>
      </c>
      <c r="I6" s="32" t="s">
        <v>2337</v>
      </c>
      <c r="J6" s="29" t="s">
        <v>470</v>
      </c>
      <c r="K6" s="29" t="s">
        <v>1155</v>
      </c>
      <c r="L6" s="29" t="s">
        <v>58</v>
      </c>
      <c r="M6" s="28" t="s">
        <v>2362</v>
      </c>
      <c r="N6" s="28" t="s">
        <v>2369</v>
      </c>
      <c r="O6" s="30" t="s">
        <v>2370</v>
      </c>
      <c r="P6" s="28" t="s">
        <v>2339</v>
      </c>
      <c r="Q6" s="28" t="s">
        <v>2339</v>
      </c>
      <c r="R6" s="28" t="s">
        <v>2339</v>
      </c>
      <c r="S6" s="28" t="s">
        <v>2339</v>
      </c>
    </row>
    <row r="7">
      <c r="A7" s="27" t="s">
        <v>2371</v>
      </c>
      <c r="B7" s="28" t="s">
        <v>2332</v>
      </c>
      <c r="C7" s="29" t="s">
        <v>2372</v>
      </c>
      <c r="D7" s="30"/>
      <c r="E7" s="29" t="s">
        <v>2366</v>
      </c>
      <c r="F7" s="29" t="s">
        <v>2373</v>
      </c>
      <c r="G7" s="29" t="s">
        <v>2335</v>
      </c>
      <c r="H7" s="36" t="s">
        <v>2374</v>
      </c>
      <c r="I7" s="37" t="s">
        <v>2375</v>
      </c>
      <c r="J7" s="29" t="s">
        <v>2355</v>
      </c>
      <c r="K7" s="29" t="s">
        <v>2376</v>
      </c>
      <c r="L7" s="30"/>
      <c r="M7" s="28" t="s">
        <v>2362</v>
      </c>
      <c r="N7" s="30"/>
      <c r="O7" s="30" t="s">
        <v>2377</v>
      </c>
      <c r="P7" s="28" t="s">
        <v>2339</v>
      </c>
      <c r="Q7" s="28" t="s">
        <v>2339</v>
      </c>
      <c r="R7" s="28" t="s">
        <v>2339</v>
      </c>
      <c r="S7" s="28" t="s">
        <v>2339</v>
      </c>
    </row>
    <row r="8">
      <c r="A8" s="27" t="s">
        <v>2378</v>
      </c>
      <c r="B8" s="28" t="s">
        <v>2332</v>
      </c>
      <c r="C8" s="29" t="s">
        <v>2379</v>
      </c>
      <c r="D8" s="29" t="s">
        <v>2380</v>
      </c>
      <c r="E8" s="29" t="s">
        <v>2381</v>
      </c>
      <c r="F8" s="29" t="s">
        <v>2382</v>
      </c>
      <c r="G8" s="29" t="s">
        <v>2335</v>
      </c>
      <c r="H8" s="31" t="s">
        <v>2336</v>
      </c>
      <c r="I8" s="32" t="s">
        <v>2337</v>
      </c>
      <c r="J8" s="29" t="s">
        <v>1645</v>
      </c>
      <c r="K8" s="29" t="s">
        <v>2383</v>
      </c>
      <c r="L8" s="29" t="s">
        <v>2384</v>
      </c>
      <c r="M8" s="28" t="s">
        <v>2339</v>
      </c>
      <c r="N8" s="30"/>
      <c r="O8" s="38" t="s">
        <v>2385</v>
      </c>
      <c r="P8" s="28" t="s">
        <v>2339</v>
      </c>
      <c r="Q8" s="28" t="s">
        <v>2339</v>
      </c>
      <c r="R8" s="28" t="s">
        <v>2339</v>
      </c>
      <c r="S8" s="28" t="s">
        <v>2339</v>
      </c>
    </row>
    <row r="9">
      <c r="A9" s="27" t="s">
        <v>2386</v>
      </c>
      <c r="B9" s="28" t="s">
        <v>2342</v>
      </c>
      <c r="C9" s="29" t="s">
        <v>2387</v>
      </c>
      <c r="D9" s="29" t="s">
        <v>2388</v>
      </c>
      <c r="E9" s="29" t="s">
        <v>2389</v>
      </c>
      <c r="F9" s="29" t="s">
        <v>2382</v>
      </c>
      <c r="G9" s="29" t="s">
        <v>164</v>
      </c>
      <c r="H9" s="31" t="s">
        <v>2336</v>
      </c>
      <c r="I9" s="32" t="s">
        <v>2337</v>
      </c>
      <c r="J9" s="29" t="s">
        <v>2390</v>
      </c>
      <c r="K9" s="29" t="s">
        <v>2391</v>
      </c>
      <c r="L9" s="29" t="s">
        <v>58</v>
      </c>
      <c r="M9" s="28" t="s">
        <v>2339</v>
      </c>
      <c r="N9" s="30"/>
      <c r="O9" s="38" t="s">
        <v>2392</v>
      </c>
      <c r="P9" s="28" t="s">
        <v>2339</v>
      </c>
      <c r="Q9" s="28" t="s">
        <v>2339</v>
      </c>
      <c r="R9" s="28" t="s">
        <v>2339</v>
      </c>
      <c r="S9" s="28" t="s">
        <v>2339</v>
      </c>
    </row>
    <row r="10">
      <c r="A10" s="27" t="s">
        <v>2393</v>
      </c>
      <c r="B10" s="28" t="s">
        <v>2342</v>
      </c>
      <c r="C10" s="29" t="s">
        <v>2394</v>
      </c>
      <c r="D10" s="29" t="s">
        <v>2395</v>
      </c>
      <c r="E10" s="29" t="s">
        <v>2396</v>
      </c>
      <c r="F10" s="29" t="s">
        <v>2397</v>
      </c>
      <c r="G10" s="29" t="s">
        <v>164</v>
      </c>
      <c r="H10" s="31" t="s">
        <v>2336</v>
      </c>
      <c r="I10" s="32" t="s">
        <v>2337</v>
      </c>
      <c r="J10" s="29" t="s">
        <v>1894</v>
      </c>
      <c r="K10" s="29" t="s">
        <v>1645</v>
      </c>
      <c r="L10" s="29" t="s">
        <v>720</v>
      </c>
      <c r="M10" s="28" t="s">
        <v>2339</v>
      </c>
      <c r="N10" s="28" t="s">
        <v>2339</v>
      </c>
      <c r="O10" s="38" t="s">
        <v>2398</v>
      </c>
      <c r="P10" s="28" t="s">
        <v>2339</v>
      </c>
      <c r="Q10" s="30"/>
      <c r="R10" s="28" t="s">
        <v>2339</v>
      </c>
      <c r="S10" s="28" t="s">
        <v>2339</v>
      </c>
    </row>
    <row r="11">
      <c r="A11" s="27" t="s">
        <v>2399</v>
      </c>
      <c r="B11" s="28" t="s">
        <v>2342</v>
      </c>
      <c r="C11" s="29" t="s">
        <v>2400</v>
      </c>
      <c r="D11" s="30"/>
      <c r="E11" s="29" t="s">
        <v>2401</v>
      </c>
      <c r="F11" s="29" t="s">
        <v>1116</v>
      </c>
      <c r="G11" s="29" t="s">
        <v>2402</v>
      </c>
      <c r="H11" s="31" t="s">
        <v>2336</v>
      </c>
      <c r="I11" s="32" t="s">
        <v>2337</v>
      </c>
      <c r="J11" s="29" t="s">
        <v>470</v>
      </c>
      <c r="K11" s="29" t="s">
        <v>2403</v>
      </c>
      <c r="L11" s="29" t="s">
        <v>1350</v>
      </c>
      <c r="M11" s="28" t="s">
        <v>2339</v>
      </c>
      <c r="N11" s="28" t="s">
        <v>2339</v>
      </c>
      <c r="O11" s="38" t="s">
        <v>2404</v>
      </c>
      <c r="P11" s="28" t="s">
        <v>2339</v>
      </c>
      <c r="Q11" s="28" t="s">
        <v>2339</v>
      </c>
      <c r="R11" s="28" t="s">
        <v>2339</v>
      </c>
      <c r="S11" s="28" t="s">
        <v>2339</v>
      </c>
    </row>
    <row r="12">
      <c r="A12" s="27" t="s">
        <v>2405</v>
      </c>
      <c r="B12" s="28" t="s">
        <v>2342</v>
      </c>
      <c r="C12" s="29" t="s">
        <v>2406</v>
      </c>
      <c r="D12" s="30"/>
      <c r="E12" s="29" t="s">
        <v>2407</v>
      </c>
      <c r="F12" s="29" t="s">
        <v>1456</v>
      </c>
      <c r="G12" s="30"/>
      <c r="H12" s="39" t="s">
        <v>2408</v>
      </c>
      <c r="I12" s="40" t="s">
        <v>2336</v>
      </c>
      <c r="J12" s="29" t="s">
        <v>1958</v>
      </c>
      <c r="K12" s="29" t="s">
        <v>1958</v>
      </c>
      <c r="L12" s="30"/>
      <c r="M12" s="28" t="s">
        <v>2409</v>
      </c>
      <c r="N12" s="30"/>
      <c r="O12" s="38" t="s">
        <v>2410</v>
      </c>
      <c r="P12" s="28" t="s">
        <v>2339</v>
      </c>
      <c r="Q12" s="28" t="s">
        <v>2339</v>
      </c>
      <c r="R12" s="28" t="s">
        <v>2339</v>
      </c>
      <c r="S12" s="28" t="s">
        <v>2339</v>
      </c>
    </row>
    <row r="13">
      <c r="A13" s="27" t="s">
        <v>2411</v>
      </c>
      <c r="B13" s="28" t="s">
        <v>2342</v>
      </c>
      <c r="C13" s="29" t="s">
        <v>2412</v>
      </c>
      <c r="D13" s="30"/>
      <c r="E13" s="29" t="s">
        <v>2413</v>
      </c>
      <c r="F13" s="29" t="s">
        <v>2414</v>
      </c>
      <c r="G13" s="30"/>
      <c r="H13" s="39" t="s">
        <v>2415</v>
      </c>
      <c r="I13" s="40" t="s">
        <v>2336</v>
      </c>
      <c r="J13" s="29" t="s">
        <v>1958</v>
      </c>
      <c r="K13" s="30"/>
      <c r="L13" s="30"/>
      <c r="M13" s="28" t="s">
        <v>2416</v>
      </c>
      <c r="N13" s="30"/>
      <c r="O13" s="38" t="s">
        <v>2417</v>
      </c>
      <c r="P13" s="28" t="s">
        <v>2339</v>
      </c>
      <c r="Q13" s="28" t="s">
        <v>2339</v>
      </c>
      <c r="R13" s="28" t="s">
        <v>2339</v>
      </c>
      <c r="S13" s="28" t="s">
        <v>2339</v>
      </c>
    </row>
    <row r="14">
      <c r="A14" s="27" t="s">
        <v>2418</v>
      </c>
      <c r="B14" s="28" t="s">
        <v>2342</v>
      </c>
      <c r="C14" s="29" t="s">
        <v>2419</v>
      </c>
      <c r="D14" s="30"/>
      <c r="E14" s="29" t="s">
        <v>2420</v>
      </c>
      <c r="F14" s="29" t="s">
        <v>2421</v>
      </c>
      <c r="G14" s="29" t="s">
        <v>2422</v>
      </c>
      <c r="H14" s="35" t="s">
        <v>2361</v>
      </c>
      <c r="I14" s="32" t="s">
        <v>2337</v>
      </c>
      <c r="J14" s="29" t="s">
        <v>470</v>
      </c>
      <c r="K14" s="29" t="s">
        <v>1432</v>
      </c>
      <c r="L14" s="29" t="s">
        <v>2423</v>
      </c>
      <c r="M14" s="28" t="s">
        <v>2362</v>
      </c>
      <c r="N14" s="28" t="s">
        <v>2339</v>
      </c>
      <c r="O14" s="38" t="s">
        <v>2424</v>
      </c>
      <c r="P14" s="28" t="s">
        <v>2339</v>
      </c>
      <c r="Q14" s="28" t="s">
        <v>2339</v>
      </c>
      <c r="R14" s="28" t="s">
        <v>2339</v>
      </c>
      <c r="S14" s="28" t="s">
        <v>2339</v>
      </c>
    </row>
    <row r="15">
      <c r="A15" s="27" t="s">
        <v>2425</v>
      </c>
      <c r="B15" s="28" t="s">
        <v>2342</v>
      </c>
      <c r="C15" s="29" t="s">
        <v>2426</v>
      </c>
      <c r="D15" s="30"/>
      <c r="E15" s="41" t="s">
        <v>2427</v>
      </c>
      <c r="F15" s="42" t="s">
        <v>2428</v>
      </c>
      <c r="G15" s="29" t="s">
        <v>1822</v>
      </c>
      <c r="H15" s="43" t="s">
        <v>2361</v>
      </c>
      <c r="I15" s="32" t="s">
        <v>2337</v>
      </c>
      <c r="J15" s="29" t="s">
        <v>470</v>
      </c>
      <c r="K15" s="29" t="s">
        <v>1432</v>
      </c>
      <c r="L15" s="29" t="s">
        <v>689</v>
      </c>
      <c r="M15" s="28" t="s">
        <v>2362</v>
      </c>
      <c r="N15" s="30"/>
      <c r="O15" s="38" t="s">
        <v>2429</v>
      </c>
      <c r="P15" s="28" t="s">
        <v>2339</v>
      </c>
      <c r="Q15" s="28" t="s">
        <v>2339</v>
      </c>
      <c r="R15" s="28" t="s">
        <v>2339</v>
      </c>
      <c r="S15" s="28" t="s">
        <v>2339</v>
      </c>
    </row>
    <row r="16">
      <c r="A16" s="27" t="s">
        <v>2430</v>
      </c>
      <c r="B16" s="28" t="s">
        <v>2342</v>
      </c>
      <c r="C16" s="42" t="s">
        <v>2431</v>
      </c>
      <c r="D16" s="30"/>
      <c r="E16" s="29" t="s">
        <v>2432</v>
      </c>
      <c r="F16" s="42" t="s">
        <v>2433</v>
      </c>
      <c r="G16" s="30"/>
      <c r="H16" s="39" t="s">
        <v>2408</v>
      </c>
      <c r="I16" s="40" t="s">
        <v>2336</v>
      </c>
      <c r="J16" s="42" t="s">
        <v>2434</v>
      </c>
      <c r="K16" s="29" t="s">
        <v>2435</v>
      </c>
      <c r="L16" s="30"/>
      <c r="M16" s="28" t="s">
        <v>2362</v>
      </c>
      <c r="N16" s="28" t="s">
        <v>2339</v>
      </c>
      <c r="O16" s="38" t="s">
        <v>2436</v>
      </c>
      <c r="P16" s="28" t="s">
        <v>2339</v>
      </c>
      <c r="Q16" s="28" t="s">
        <v>2339</v>
      </c>
      <c r="R16" s="28" t="s">
        <v>2339</v>
      </c>
      <c r="S16" s="28" t="s">
        <v>2339</v>
      </c>
    </row>
    <row r="17">
      <c r="A17" s="27" t="s">
        <v>2437</v>
      </c>
      <c r="B17" s="28" t="s">
        <v>2342</v>
      </c>
      <c r="C17" s="29" t="s">
        <v>2438</v>
      </c>
      <c r="D17" s="29" t="s">
        <v>2439</v>
      </c>
      <c r="E17" s="29" t="s">
        <v>2440</v>
      </c>
      <c r="F17" s="29" t="s">
        <v>2441</v>
      </c>
      <c r="G17" s="29" t="s">
        <v>2442</v>
      </c>
      <c r="H17" s="44" t="s">
        <v>2374</v>
      </c>
      <c r="I17" s="45" t="s">
        <v>2375</v>
      </c>
      <c r="J17" s="29" t="s">
        <v>2443</v>
      </c>
      <c r="K17" s="29" t="s">
        <v>2444</v>
      </c>
      <c r="L17" s="29" t="s">
        <v>2445</v>
      </c>
      <c r="M17" s="28" t="s">
        <v>2409</v>
      </c>
      <c r="N17" s="30"/>
      <c r="O17" s="38" t="s">
        <v>2446</v>
      </c>
      <c r="P17" s="28" t="s">
        <v>2339</v>
      </c>
      <c r="Q17" s="30"/>
      <c r="R17" s="28" t="s">
        <v>2339</v>
      </c>
      <c r="S17" s="28" t="s">
        <v>2339</v>
      </c>
    </row>
    <row r="18">
      <c r="A18" s="27" t="s">
        <v>2447</v>
      </c>
      <c r="B18" s="28" t="s">
        <v>2332</v>
      </c>
      <c r="C18" s="29" t="s">
        <v>2448</v>
      </c>
      <c r="D18" s="30"/>
      <c r="E18" s="29" t="s">
        <v>2449</v>
      </c>
      <c r="F18" s="30"/>
      <c r="G18" s="30"/>
      <c r="H18" s="39" t="s">
        <v>2408</v>
      </c>
      <c r="I18" s="40" t="s">
        <v>2336</v>
      </c>
      <c r="J18" s="42" t="s">
        <v>2435</v>
      </c>
      <c r="K18" s="29" t="s">
        <v>2450</v>
      </c>
      <c r="L18" s="29" t="s">
        <v>2451</v>
      </c>
      <c r="M18" s="28" t="s">
        <v>2362</v>
      </c>
      <c r="N18" s="30"/>
      <c r="O18" s="38" t="s">
        <v>2452</v>
      </c>
      <c r="P18" s="28" t="s">
        <v>2339</v>
      </c>
      <c r="Q18" s="28" t="s">
        <v>2339</v>
      </c>
      <c r="R18" s="28" t="s">
        <v>2339</v>
      </c>
      <c r="S18" s="28" t="s">
        <v>2339</v>
      </c>
    </row>
    <row r="19">
      <c r="A19" s="27" t="s">
        <v>2453</v>
      </c>
      <c r="B19" s="28" t="s">
        <v>2342</v>
      </c>
      <c r="C19" s="29" t="s">
        <v>2454</v>
      </c>
      <c r="D19" s="30"/>
      <c r="E19" s="29" t="s">
        <v>2455</v>
      </c>
      <c r="F19" s="29" t="s">
        <v>1864</v>
      </c>
      <c r="G19" s="29" t="s">
        <v>164</v>
      </c>
      <c r="H19" s="36" t="s">
        <v>2374</v>
      </c>
      <c r="I19" s="45" t="s">
        <v>2375</v>
      </c>
      <c r="J19" s="29" t="s">
        <v>2456</v>
      </c>
      <c r="K19" s="29" t="s">
        <v>2457</v>
      </c>
      <c r="L19" s="29" t="s">
        <v>2458</v>
      </c>
      <c r="M19" s="28" t="s">
        <v>2362</v>
      </c>
      <c r="N19" s="28" t="s">
        <v>2339</v>
      </c>
      <c r="O19" s="38" t="s">
        <v>2459</v>
      </c>
      <c r="P19" s="28" t="s">
        <v>2339</v>
      </c>
      <c r="Q19" s="28" t="s">
        <v>2339</v>
      </c>
      <c r="R19" s="28" t="s">
        <v>2339</v>
      </c>
      <c r="S19" s="28" t="s">
        <v>2339</v>
      </c>
    </row>
    <row r="20">
      <c r="A20" s="27" t="s">
        <v>2460</v>
      </c>
      <c r="B20" s="28" t="s">
        <v>2342</v>
      </c>
      <c r="C20" s="42" t="s">
        <v>2461</v>
      </c>
      <c r="D20" s="30"/>
      <c r="E20" s="29" t="s">
        <v>2462</v>
      </c>
      <c r="F20" s="42" t="s">
        <v>1456</v>
      </c>
      <c r="G20" s="30"/>
      <c r="H20" s="46" t="s">
        <v>2408</v>
      </c>
      <c r="I20" s="40" t="s">
        <v>2336</v>
      </c>
      <c r="J20" s="41" t="s">
        <v>1958</v>
      </c>
      <c r="K20" s="29" t="s">
        <v>1760</v>
      </c>
      <c r="L20" s="29" t="s">
        <v>2463</v>
      </c>
      <c r="M20" s="28" t="s">
        <v>2362</v>
      </c>
      <c r="N20" s="28" t="s">
        <v>2339</v>
      </c>
      <c r="O20" s="38" t="s">
        <v>1954</v>
      </c>
      <c r="P20" s="28" t="s">
        <v>2339</v>
      </c>
      <c r="Q20" s="28" t="s">
        <v>2339</v>
      </c>
      <c r="R20" s="28" t="s">
        <v>2339</v>
      </c>
      <c r="S20" s="28" t="s">
        <v>2339</v>
      </c>
    </row>
    <row r="21">
      <c r="A21" s="27" t="s">
        <v>2464</v>
      </c>
      <c r="B21" s="28" t="s">
        <v>2342</v>
      </c>
      <c r="C21" s="42" t="s">
        <v>2465</v>
      </c>
      <c r="D21" s="30"/>
      <c r="E21" s="41" t="s">
        <v>2466</v>
      </c>
      <c r="F21" s="29" t="s">
        <v>2467</v>
      </c>
      <c r="G21" s="29" t="s">
        <v>2468</v>
      </c>
      <c r="H21" s="36" t="s">
        <v>2374</v>
      </c>
      <c r="I21" s="45" t="s">
        <v>2375</v>
      </c>
      <c r="J21" s="29" t="s">
        <v>470</v>
      </c>
      <c r="K21" s="41" t="s">
        <v>21</v>
      </c>
      <c r="L21" s="29" t="s">
        <v>2469</v>
      </c>
      <c r="M21" s="28" t="s">
        <v>2362</v>
      </c>
      <c r="N21" s="28" t="s">
        <v>2339</v>
      </c>
      <c r="O21" s="38" t="s">
        <v>2470</v>
      </c>
      <c r="P21" s="28" t="s">
        <v>2339</v>
      </c>
      <c r="Q21" s="28" t="s">
        <v>2339</v>
      </c>
      <c r="R21" s="28" t="s">
        <v>2339</v>
      </c>
      <c r="S21" s="28" t="s">
        <v>2339</v>
      </c>
    </row>
    <row r="22">
      <c r="A22" s="27" t="s">
        <v>2471</v>
      </c>
      <c r="B22" s="28" t="s">
        <v>2342</v>
      </c>
      <c r="C22" s="29" t="s">
        <v>2472</v>
      </c>
      <c r="D22" s="30"/>
      <c r="E22" s="41" t="s">
        <v>2473</v>
      </c>
      <c r="F22" s="29" t="s">
        <v>2474</v>
      </c>
      <c r="G22" s="30"/>
      <c r="H22" s="36" t="s">
        <v>2374</v>
      </c>
      <c r="I22" s="45" t="s">
        <v>2375</v>
      </c>
      <c r="J22" s="29" t="s">
        <v>470</v>
      </c>
      <c r="K22" s="29" t="s">
        <v>1645</v>
      </c>
      <c r="L22" s="29" t="s">
        <v>2475</v>
      </c>
      <c r="M22" s="28" t="s">
        <v>2362</v>
      </c>
      <c r="N22" s="28" t="s">
        <v>2339</v>
      </c>
      <c r="O22" s="38" t="s">
        <v>2476</v>
      </c>
      <c r="P22" s="28" t="s">
        <v>2339</v>
      </c>
      <c r="Q22" s="28" t="s">
        <v>2339</v>
      </c>
      <c r="R22" s="28" t="s">
        <v>2339</v>
      </c>
      <c r="S22" s="28" t="s">
        <v>2339</v>
      </c>
    </row>
    <row r="23">
      <c r="A23" s="27" t="s">
        <v>2477</v>
      </c>
      <c r="B23" s="28" t="s">
        <v>2342</v>
      </c>
      <c r="C23" s="42" t="s">
        <v>2478</v>
      </c>
      <c r="D23" s="30"/>
      <c r="E23" s="29" t="s">
        <v>2479</v>
      </c>
      <c r="F23" s="42" t="s">
        <v>2480</v>
      </c>
      <c r="G23" s="30"/>
      <c r="H23" s="37" t="s">
        <v>2375</v>
      </c>
      <c r="I23" s="47" t="s">
        <v>2481</v>
      </c>
      <c r="J23" s="29" t="s">
        <v>470</v>
      </c>
      <c r="K23" s="29" t="s">
        <v>1155</v>
      </c>
      <c r="L23" s="29" t="s">
        <v>2482</v>
      </c>
      <c r="M23" s="28" t="s">
        <v>2362</v>
      </c>
      <c r="N23" s="28" t="s">
        <v>2339</v>
      </c>
      <c r="O23" s="38" t="s">
        <v>2483</v>
      </c>
      <c r="P23" s="28" t="s">
        <v>2339</v>
      </c>
      <c r="Q23" s="28" t="s">
        <v>2339</v>
      </c>
      <c r="R23" s="28" t="s">
        <v>2339</v>
      </c>
      <c r="S23" s="28" t="s">
        <v>2339</v>
      </c>
    </row>
    <row r="24">
      <c r="A24" s="27" t="s">
        <v>2484</v>
      </c>
      <c r="B24" s="28" t="s">
        <v>2342</v>
      </c>
      <c r="C24" s="29" t="s">
        <v>2485</v>
      </c>
      <c r="D24" s="29" t="s">
        <v>2486</v>
      </c>
      <c r="E24" s="29" t="s">
        <v>2487</v>
      </c>
      <c r="F24" s="29" t="s">
        <v>2488</v>
      </c>
      <c r="G24" s="30"/>
      <c r="H24" s="48" t="s">
        <v>2374</v>
      </c>
      <c r="I24" s="45" t="s">
        <v>2375</v>
      </c>
      <c r="J24" s="29" t="s">
        <v>2489</v>
      </c>
      <c r="K24" s="30"/>
      <c r="L24" s="30"/>
      <c r="M24" s="28" t="s">
        <v>2490</v>
      </c>
      <c r="N24" s="30"/>
      <c r="O24" s="38" t="s">
        <v>2491</v>
      </c>
      <c r="P24" s="28" t="s">
        <v>2339</v>
      </c>
      <c r="Q24" s="28" t="s">
        <v>2339</v>
      </c>
      <c r="R24" s="28" t="s">
        <v>2339</v>
      </c>
      <c r="S24" s="28" t="s">
        <v>2339</v>
      </c>
    </row>
    <row r="25">
      <c r="A25" s="27" t="s">
        <v>2492</v>
      </c>
      <c r="B25" s="28" t="s">
        <v>2342</v>
      </c>
      <c r="C25" s="42" t="s">
        <v>2493</v>
      </c>
      <c r="D25" s="42" t="s">
        <v>2494</v>
      </c>
      <c r="E25" s="29" t="s">
        <v>2495</v>
      </c>
      <c r="F25" s="29" t="s">
        <v>2474</v>
      </c>
      <c r="G25" s="30"/>
      <c r="H25" s="36" t="s">
        <v>2374</v>
      </c>
      <c r="I25" s="45" t="s">
        <v>2375</v>
      </c>
      <c r="J25" s="29" t="s">
        <v>2496</v>
      </c>
      <c r="K25" s="29" t="s">
        <v>2497</v>
      </c>
      <c r="L25" s="29" t="s">
        <v>2498</v>
      </c>
      <c r="M25" s="28" t="s">
        <v>2362</v>
      </c>
      <c r="N25" s="30"/>
      <c r="O25" s="38" t="s">
        <v>2499</v>
      </c>
      <c r="P25" s="28" t="s">
        <v>2339</v>
      </c>
      <c r="Q25" s="28" t="s">
        <v>2339</v>
      </c>
      <c r="R25" s="28" t="s">
        <v>2339</v>
      </c>
      <c r="S25" s="28" t="s">
        <v>2339</v>
      </c>
    </row>
    <row r="26">
      <c r="A26" s="27" t="s">
        <v>2500</v>
      </c>
      <c r="B26" s="28" t="s">
        <v>2342</v>
      </c>
      <c r="C26" s="29" t="s">
        <v>2501</v>
      </c>
      <c r="D26" s="30"/>
      <c r="E26" s="29" t="s">
        <v>2502</v>
      </c>
      <c r="F26" s="42" t="s">
        <v>1088</v>
      </c>
      <c r="G26" s="30"/>
      <c r="H26" s="39" t="s">
        <v>2408</v>
      </c>
      <c r="I26" s="40" t="s">
        <v>2336</v>
      </c>
      <c r="J26" s="41" t="s">
        <v>2503</v>
      </c>
      <c r="K26" s="41" t="s">
        <v>2504</v>
      </c>
      <c r="L26" s="30"/>
      <c r="M26" s="28" t="s">
        <v>2362</v>
      </c>
      <c r="N26" s="28" t="s">
        <v>2339</v>
      </c>
      <c r="O26" s="38" t="s">
        <v>2505</v>
      </c>
      <c r="P26" s="28" t="s">
        <v>2339</v>
      </c>
      <c r="Q26" s="28" t="s">
        <v>2339</v>
      </c>
      <c r="R26" s="28" t="s">
        <v>2339</v>
      </c>
      <c r="S26" s="28" t="s">
        <v>2339</v>
      </c>
    </row>
    <row r="27">
      <c r="A27" s="27" t="s">
        <v>2506</v>
      </c>
      <c r="B27" s="28" t="s">
        <v>2332</v>
      </c>
      <c r="C27" s="29" t="s">
        <v>2507</v>
      </c>
      <c r="D27" s="30"/>
      <c r="E27" s="29" t="s">
        <v>2508</v>
      </c>
      <c r="F27" s="42" t="s">
        <v>2509</v>
      </c>
      <c r="G27" s="29" t="s">
        <v>2335</v>
      </c>
      <c r="H27" s="35" t="s">
        <v>2361</v>
      </c>
      <c r="I27" s="49" t="s">
        <v>2337</v>
      </c>
      <c r="J27" s="42" t="s">
        <v>1645</v>
      </c>
      <c r="K27" s="50" t="s">
        <v>2510</v>
      </c>
      <c r="L27" s="29" t="s">
        <v>2511</v>
      </c>
      <c r="M27" s="28" t="s">
        <v>2362</v>
      </c>
      <c r="N27" s="30"/>
      <c r="O27" s="38" t="s">
        <v>2512</v>
      </c>
      <c r="P27" s="28" t="s">
        <v>2339</v>
      </c>
      <c r="Q27" s="28" t="s">
        <v>2339</v>
      </c>
      <c r="R27" s="28" t="s">
        <v>2339</v>
      </c>
      <c r="S27" s="28" t="s">
        <v>2339</v>
      </c>
    </row>
    <row r="28">
      <c r="A28" s="27" t="s">
        <v>2513</v>
      </c>
      <c r="B28" s="28" t="s">
        <v>2342</v>
      </c>
      <c r="C28" s="29" t="s">
        <v>2431</v>
      </c>
      <c r="D28" s="30"/>
      <c r="E28" s="29" t="s">
        <v>2514</v>
      </c>
      <c r="F28" s="29" t="s">
        <v>2515</v>
      </c>
      <c r="G28" s="30"/>
      <c r="H28" s="51" t="s">
        <v>2375</v>
      </c>
      <c r="I28" s="47" t="s">
        <v>2481</v>
      </c>
      <c r="J28" s="29" t="s">
        <v>470</v>
      </c>
      <c r="K28" s="29" t="s">
        <v>2516</v>
      </c>
      <c r="L28" s="30"/>
      <c r="M28" s="28" t="s">
        <v>2339</v>
      </c>
      <c r="N28" s="30"/>
      <c r="O28" s="52" t="s">
        <v>2517</v>
      </c>
      <c r="P28" s="28" t="s">
        <v>2339</v>
      </c>
      <c r="Q28" s="28" t="s">
        <v>2339</v>
      </c>
      <c r="R28" s="28" t="s">
        <v>2339</v>
      </c>
      <c r="S28" s="28" t="s">
        <v>2339</v>
      </c>
    </row>
    <row r="29">
      <c r="A29" s="27" t="s">
        <v>2518</v>
      </c>
      <c r="B29" s="28" t="s">
        <v>2342</v>
      </c>
      <c r="C29" s="42" t="s">
        <v>2519</v>
      </c>
      <c r="D29" s="30"/>
      <c r="E29" s="41" t="s">
        <v>2520</v>
      </c>
      <c r="F29" s="29" t="s">
        <v>2474</v>
      </c>
      <c r="G29" s="29" t="s">
        <v>25</v>
      </c>
      <c r="H29" s="36" t="s">
        <v>2374</v>
      </c>
      <c r="I29" s="45" t="s">
        <v>2375</v>
      </c>
      <c r="J29" s="29" t="s">
        <v>58</v>
      </c>
      <c r="K29" s="29" t="s">
        <v>2521</v>
      </c>
      <c r="L29" s="29" t="s">
        <v>2522</v>
      </c>
      <c r="M29" s="28" t="s">
        <v>2362</v>
      </c>
      <c r="N29" s="28" t="s">
        <v>2339</v>
      </c>
      <c r="O29" s="38" t="s">
        <v>2523</v>
      </c>
      <c r="P29" s="28" t="s">
        <v>2339</v>
      </c>
      <c r="Q29" s="28" t="s">
        <v>2339</v>
      </c>
      <c r="R29" s="28" t="s">
        <v>2339</v>
      </c>
      <c r="S29" s="28" t="s">
        <v>2339</v>
      </c>
    </row>
    <row r="30">
      <c r="A30" s="28">
        <v>31.0</v>
      </c>
      <c r="B30" s="53" t="s">
        <v>2342</v>
      </c>
      <c r="C30" s="54" t="s">
        <v>2524</v>
      </c>
      <c r="D30" s="55"/>
      <c r="E30" s="54" t="s">
        <v>2525</v>
      </c>
      <c r="F30" s="56" t="s">
        <v>2265</v>
      </c>
      <c r="G30" s="55"/>
      <c r="H30" s="54"/>
      <c r="I30" s="57"/>
      <c r="J30" s="54" t="s">
        <v>21</v>
      </c>
      <c r="K30" s="54" t="s">
        <v>1155</v>
      </c>
      <c r="L30" s="55"/>
      <c r="M30" s="53" t="s">
        <v>2409</v>
      </c>
      <c r="N30" s="55"/>
      <c r="O30" s="58" t="s">
        <v>2526</v>
      </c>
      <c r="P30" s="53" t="s">
        <v>2339</v>
      </c>
      <c r="Q30" s="55"/>
    </row>
    <row r="31">
      <c r="A31" s="27" t="s">
        <v>2527</v>
      </c>
      <c r="B31" s="28" t="s">
        <v>2342</v>
      </c>
      <c r="C31" s="29" t="s">
        <v>2528</v>
      </c>
      <c r="D31" s="30"/>
      <c r="E31" s="29" t="s">
        <v>2529</v>
      </c>
      <c r="F31" s="42" t="s">
        <v>2530</v>
      </c>
      <c r="G31" s="30"/>
      <c r="H31" s="39" t="s">
        <v>2408</v>
      </c>
      <c r="I31" s="40" t="s">
        <v>2336</v>
      </c>
      <c r="J31" s="42" t="s">
        <v>2463</v>
      </c>
      <c r="K31" s="29" t="s">
        <v>2531</v>
      </c>
      <c r="L31" s="29" t="s">
        <v>2532</v>
      </c>
      <c r="M31" s="28" t="s">
        <v>2362</v>
      </c>
      <c r="N31" s="28" t="s">
        <v>2339</v>
      </c>
      <c r="O31" s="38" t="s">
        <v>2533</v>
      </c>
      <c r="P31" s="28" t="s">
        <v>2339</v>
      </c>
      <c r="Q31" s="28" t="s">
        <v>2339</v>
      </c>
      <c r="R31" s="28" t="s">
        <v>2339</v>
      </c>
      <c r="S31" s="28" t="s">
        <v>2339</v>
      </c>
    </row>
    <row r="32">
      <c r="A32" s="27" t="s">
        <v>2534</v>
      </c>
      <c r="B32" s="28" t="s">
        <v>2342</v>
      </c>
      <c r="C32" s="29" t="s">
        <v>2535</v>
      </c>
      <c r="D32" s="30"/>
      <c r="E32" s="29" t="s">
        <v>2536</v>
      </c>
      <c r="F32" s="42" t="s">
        <v>2537</v>
      </c>
      <c r="G32" s="30"/>
      <c r="H32" s="39" t="s">
        <v>2408</v>
      </c>
      <c r="I32" s="40" t="s">
        <v>2336</v>
      </c>
      <c r="J32" s="29" t="s">
        <v>2538</v>
      </c>
      <c r="K32" s="41" t="s">
        <v>2539</v>
      </c>
      <c r="L32" s="29" t="s">
        <v>2540</v>
      </c>
      <c r="M32" s="28" t="s">
        <v>2362</v>
      </c>
      <c r="N32" s="28" t="s">
        <v>2339</v>
      </c>
      <c r="O32" s="38" t="s">
        <v>2541</v>
      </c>
      <c r="P32" s="28" t="s">
        <v>2339</v>
      </c>
      <c r="Q32" s="28" t="s">
        <v>2339</v>
      </c>
      <c r="R32" s="28" t="s">
        <v>2339</v>
      </c>
      <c r="S32" s="28" t="s">
        <v>2339</v>
      </c>
    </row>
    <row r="33">
      <c r="A33" s="27" t="s">
        <v>2542</v>
      </c>
      <c r="B33" s="28" t="s">
        <v>2342</v>
      </c>
      <c r="C33" s="29" t="s">
        <v>2543</v>
      </c>
      <c r="D33" s="30"/>
      <c r="E33" s="29" t="s">
        <v>2544</v>
      </c>
      <c r="F33" s="29" t="s">
        <v>2474</v>
      </c>
      <c r="G33" s="29" t="s">
        <v>25</v>
      </c>
      <c r="H33" s="36" t="s">
        <v>2374</v>
      </c>
      <c r="I33" s="45" t="s">
        <v>2375</v>
      </c>
      <c r="J33" s="29" t="s">
        <v>714</v>
      </c>
      <c r="K33" s="29" t="s">
        <v>2545</v>
      </c>
      <c r="L33" s="30"/>
      <c r="M33" s="28" t="s">
        <v>2362</v>
      </c>
      <c r="N33" s="28" t="s">
        <v>2369</v>
      </c>
      <c r="O33" s="38" t="s">
        <v>2546</v>
      </c>
      <c r="P33" s="28" t="s">
        <v>2339</v>
      </c>
      <c r="Q33" s="28" t="s">
        <v>2339</v>
      </c>
      <c r="R33" s="28" t="s">
        <v>2339</v>
      </c>
      <c r="S33" s="28" t="s">
        <v>2339</v>
      </c>
    </row>
    <row r="34">
      <c r="A34" s="27" t="s">
        <v>2547</v>
      </c>
      <c r="B34" s="28" t="s">
        <v>2342</v>
      </c>
      <c r="C34" s="29" t="s">
        <v>2548</v>
      </c>
      <c r="D34" s="30"/>
      <c r="E34" s="29" t="s">
        <v>2549</v>
      </c>
      <c r="F34" s="29" t="s">
        <v>2550</v>
      </c>
      <c r="G34" s="30"/>
      <c r="H34" s="51" t="s">
        <v>2375</v>
      </c>
      <c r="I34" s="47" t="s">
        <v>2481</v>
      </c>
      <c r="J34" s="29" t="s">
        <v>470</v>
      </c>
      <c r="K34" s="29" t="s">
        <v>2469</v>
      </c>
      <c r="L34" s="29" t="s">
        <v>58</v>
      </c>
      <c r="M34" s="28" t="s">
        <v>2339</v>
      </c>
      <c r="N34" s="28" t="s">
        <v>2339</v>
      </c>
      <c r="O34" s="38" t="s">
        <v>2551</v>
      </c>
      <c r="P34" s="28" t="s">
        <v>2339</v>
      </c>
      <c r="Q34" s="28" t="s">
        <v>2339</v>
      </c>
      <c r="R34" s="28" t="s">
        <v>2339</v>
      </c>
      <c r="S34" s="28" t="s">
        <v>2339</v>
      </c>
    </row>
    <row r="35">
      <c r="A35" s="27" t="s">
        <v>2552</v>
      </c>
      <c r="B35" s="28" t="s">
        <v>2342</v>
      </c>
      <c r="C35" s="59" t="s">
        <v>2553</v>
      </c>
      <c r="D35" s="30"/>
      <c r="E35" s="29" t="s">
        <v>2554</v>
      </c>
      <c r="F35" s="29" t="s">
        <v>2555</v>
      </c>
      <c r="G35" s="30"/>
      <c r="H35" s="51" t="s">
        <v>2375</v>
      </c>
      <c r="I35" s="47" t="s">
        <v>2481</v>
      </c>
      <c r="J35" s="29" t="s">
        <v>470</v>
      </c>
      <c r="K35" s="29" t="s">
        <v>2469</v>
      </c>
      <c r="L35" s="29" t="s">
        <v>2556</v>
      </c>
      <c r="M35" s="28" t="s">
        <v>2339</v>
      </c>
      <c r="N35" s="28" t="s">
        <v>2339</v>
      </c>
      <c r="O35" s="38" t="s">
        <v>2557</v>
      </c>
      <c r="P35" s="28" t="s">
        <v>2339</v>
      </c>
      <c r="Q35" s="30"/>
      <c r="R35" s="28" t="s">
        <v>2339</v>
      </c>
      <c r="S35" s="28" t="s">
        <v>2339</v>
      </c>
    </row>
    <row r="36">
      <c r="A36" s="27" t="s">
        <v>2558</v>
      </c>
      <c r="B36" s="28" t="s">
        <v>2342</v>
      </c>
      <c r="C36" s="29" t="s">
        <v>2559</v>
      </c>
      <c r="D36" s="30"/>
      <c r="E36" s="29" t="s">
        <v>2560</v>
      </c>
      <c r="F36" s="29" t="s">
        <v>2561</v>
      </c>
      <c r="G36" s="29" t="s">
        <v>2562</v>
      </c>
      <c r="H36" s="35" t="s">
        <v>2361</v>
      </c>
      <c r="I36" s="49" t="s">
        <v>2337</v>
      </c>
      <c r="J36" s="29" t="s">
        <v>2469</v>
      </c>
      <c r="K36" s="29" t="s">
        <v>1432</v>
      </c>
      <c r="L36" s="29" t="s">
        <v>21</v>
      </c>
      <c r="M36" s="28" t="s">
        <v>2362</v>
      </c>
      <c r="N36" s="30"/>
      <c r="O36" s="38" t="s">
        <v>2563</v>
      </c>
      <c r="P36" s="28" t="s">
        <v>2339</v>
      </c>
      <c r="Q36" s="28" t="s">
        <v>2339</v>
      </c>
      <c r="R36" s="28" t="s">
        <v>2339</v>
      </c>
      <c r="S36" s="28" t="s">
        <v>2339</v>
      </c>
    </row>
    <row r="37">
      <c r="A37" s="60" t="s">
        <v>2564</v>
      </c>
      <c r="B37" s="61" t="s">
        <v>2342</v>
      </c>
      <c r="C37" s="62" t="s">
        <v>2565</v>
      </c>
      <c r="D37" s="63"/>
      <c r="E37" s="62" t="s">
        <v>2407</v>
      </c>
      <c r="F37" s="62" t="s">
        <v>2382</v>
      </c>
      <c r="G37" s="62" t="s">
        <v>164</v>
      </c>
      <c r="H37" s="64" t="s">
        <v>2336</v>
      </c>
      <c r="I37" s="49" t="s">
        <v>2566</v>
      </c>
      <c r="J37" s="62" t="s">
        <v>470</v>
      </c>
      <c r="K37" s="62" t="s">
        <v>2469</v>
      </c>
      <c r="L37" s="62" t="s">
        <v>2567</v>
      </c>
      <c r="M37" s="61" t="s">
        <v>2339</v>
      </c>
      <c r="N37" s="63"/>
      <c r="O37" s="65" t="s">
        <v>2568</v>
      </c>
      <c r="P37" s="61" t="s">
        <v>2339</v>
      </c>
      <c r="Q37" s="61" t="s">
        <v>2339</v>
      </c>
      <c r="R37" s="28" t="s">
        <v>2339</v>
      </c>
      <c r="S37" s="28" t="s">
        <v>2339</v>
      </c>
    </row>
    <row r="38">
      <c r="A38" s="66" t="s">
        <v>2569</v>
      </c>
      <c r="B38" s="28" t="s">
        <v>2342</v>
      </c>
      <c r="C38" s="67" t="s">
        <v>2570</v>
      </c>
      <c r="D38" s="68"/>
      <c r="E38" s="67" t="s">
        <v>2571</v>
      </c>
      <c r="F38" s="69" t="s">
        <v>2572</v>
      </c>
      <c r="G38" s="67" t="s">
        <v>2573</v>
      </c>
      <c r="H38" s="51" t="s">
        <v>2375</v>
      </c>
      <c r="I38" s="47" t="s">
        <v>2481</v>
      </c>
      <c r="J38" s="67" t="s">
        <v>2574</v>
      </c>
      <c r="K38" s="67" t="s">
        <v>2575</v>
      </c>
      <c r="L38" s="67" t="s">
        <v>2576</v>
      </c>
      <c r="M38" s="28" t="s">
        <v>2339</v>
      </c>
      <c r="N38" s="28" t="s">
        <v>2339</v>
      </c>
      <c r="O38" s="70" t="s">
        <v>2577</v>
      </c>
      <c r="P38" s="30"/>
      <c r="Q38" s="30"/>
      <c r="R38" s="28" t="s">
        <v>2339</v>
      </c>
      <c r="S38" s="28" t="s">
        <v>2339</v>
      </c>
    </row>
    <row r="39">
      <c r="A39" s="27" t="s">
        <v>2578</v>
      </c>
      <c r="B39" s="28" t="s">
        <v>2342</v>
      </c>
      <c r="C39" s="67" t="s">
        <v>2579</v>
      </c>
      <c r="D39" s="68"/>
      <c r="E39" s="67" t="s">
        <v>2580</v>
      </c>
      <c r="F39" s="69" t="s">
        <v>2581</v>
      </c>
      <c r="G39" s="67" t="s">
        <v>25</v>
      </c>
      <c r="H39" s="51" t="s">
        <v>2375</v>
      </c>
      <c r="I39" s="47" t="s">
        <v>2481</v>
      </c>
      <c r="J39" s="67" t="s">
        <v>2582</v>
      </c>
      <c r="K39" s="68"/>
      <c r="L39" s="68"/>
      <c r="M39" s="28" t="s">
        <v>2339</v>
      </c>
      <c r="N39" s="28" t="s">
        <v>2339</v>
      </c>
      <c r="O39" s="70" t="s">
        <v>2583</v>
      </c>
      <c r="R39" s="28" t="s">
        <v>2339</v>
      </c>
      <c r="S39" s="28" t="s">
        <v>2339</v>
      </c>
    </row>
    <row r="40">
      <c r="A40" s="66" t="s">
        <v>2584</v>
      </c>
      <c r="B40" s="27" t="s">
        <v>2332</v>
      </c>
      <c r="C40" s="67" t="s">
        <v>2585</v>
      </c>
      <c r="D40" s="68"/>
      <c r="E40" s="67" t="s">
        <v>2586</v>
      </c>
      <c r="F40" s="67" t="s">
        <v>1505</v>
      </c>
      <c r="G40" s="29" t="s">
        <v>2335</v>
      </c>
      <c r="H40" s="71" t="s">
        <v>2587</v>
      </c>
      <c r="I40" s="47" t="s">
        <v>2481</v>
      </c>
      <c r="J40" s="67" t="s">
        <v>2355</v>
      </c>
      <c r="K40" s="67" t="s">
        <v>2588</v>
      </c>
      <c r="L40" s="67"/>
      <c r="M40" s="28" t="s">
        <v>2339</v>
      </c>
      <c r="N40" s="28"/>
      <c r="O40" s="70" t="s">
        <v>2589</v>
      </c>
      <c r="P40" s="68"/>
      <c r="Q40" s="68"/>
      <c r="R40" s="28" t="s">
        <v>2339</v>
      </c>
    </row>
    <row r="41">
      <c r="A41" s="27" t="s">
        <v>2590</v>
      </c>
      <c r="B41" s="28" t="s">
        <v>2342</v>
      </c>
      <c r="C41" s="41" t="s">
        <v>2591</v>
      </c>
      <c r="D41" s="30"/>
      <c r="E41" s="41" t="s">
        <v>2592</v>
      </c>
      <c r="F41" s="41" t="s">
        <v>1942</v>
      </c>
      <c r="G41" s="41" t="s">
        <v>164</v>
      </c>
      <c r="H41" s="47" t="s">
        <v>2587</v>
      </c>
      <c r="I41" s="47" t="s">
        <v>2481</v>
      </c>
      <c r="J41" s="41" t="s">
        <v>21</v>
      </c>
      <c r="K41" s="41" t="s">
        <v>2593</v>
      </c>
      <c r="L41" s="41" t="s">
        <v>1893</v>
      </c>
      <c r="M41" s="28" t="s">
        <v>2339</v>
      </c>
      <c r="N41" s="28" t="s">
        <v>2339</v>
      </c>
      <c r="O41" s="72" t="s">
        <v>2594</v>
      </c>
      <c r="P41" s="68"/>
      <c r="Q41" s="68"/>
      <c r="R41" s="28" t="s">
        <v>2339</v>
      </c>
      <c r="S41" s="28" t="s">
        <v>2339</v>
      </c>
    </row>
    <row r="42">
      <c r="A42" s="66" t="s">
        <v>2595</v>
      </c>
      <c r="B42" s="27" t="s">
        <v>2342</v>
      </c>
      <c r="C42" s="41" t="s">
        <v>2596</v>
      </c>
      <c r="D42" s="30"/>
      <c r="E42" s="41" t="s">
        <v>2597</v>
      </c>
      <c r="F42" s="41" t="s">
        <v>2598</v>
      </c>
      <c r="G42" s="41" t="s">
        <v>1822</v>
      </c>
      <c r="H42" s="47" t="s">
        <v>2587</v>
      </c>
      <c r="I42" s="47" t="s">
        <v>2481</v>
      </c>
      <c r="J42" s="41" t="s">
        <v>470</v>
      </c>
      <c r="K42" s="41" t="s">
        <v>21</v>
      </c>
      <c r="L42" s="41"/>
      <c r="M42" s="28" t="s">
        <v>2339</v>
      </c>
      <c r="N42" s="28"/>
      <c r="O42" s="72" t="s">
        <v>2599</v>
      </c>
      <c r="P42" s="30"/>
      <c r="Q42" s="30"/>
      <c r="R42" s="28" t="s">
        <v>2339</v>
      </c>
      <c r="S42" s="28" t="s">
        <v>2339</v>
      </c>
      <c r="T42" s="30"/>
      <c r="U42" s="30"/>
      <c r="V42" s="30"/>
      <c r="W42" s="30"/>
      <c r="X42" s="30"/>
      <c r="Y42" s="30"/>
      <c r="Z42" s="30"/>
      <c r="AA42" s="30"/>
    </row>
    <row r="43">
      <c r="A43" s="27" t="s">
        <v>2600</v>
      </c>
      <c r="B43" s="27" t="s">
        <v>2332</v>
      </c>
      <c r="C43" s="67" t="s">
        <v>2601</v>
      </c>
      <c r="D43" s="68"/>
      <c r="E43" s="67" t="s">
        <v>2602</v>
      </c>
      <c r="F43" s="67" t="s">
        <v>1456</v>
      </c>
      <c r="G43" s="67" t="s">
        <v>2335</v>
      </c>
      <c r="H43" s="73" t="s">
        <v>2336</v>
      </c>
      <c r="I43" s="49" t="s">
        <v>2337</v>
      </c>
      <c r="J43" s="67" t="s">
        <v>1645</v>
      </c>
      <c r="K43" s="67" t="s">
        <v>2603</v>
      </c>
      <c r="L43" s="67" t="s">
        <v>142</v>
      </c>
      <c r="M43" s="26" t="s">
        <v>2339</v>
      </c>
      <c r="O43" s="74" t="s">
        <v>2604</v>
      </c>
      <c r="P43" s="30"/>
      <c r="Q43" s="30"/>
      <c r="R43" s="28" t="s">
        <v>2339</v>
      </c>
      <c r="S43" s="28" t="s">
        <v>2339</v>
      </c>
      <c r="T43" s="30"/>
      <c r="U43" s="30"/>
      <c r="V43" s="30"/>
      <c r="W43" s="30"/>
      <c r="X43" s="30"/>
      <c r="Y43" s="30"/>
      <c r="Z43" s="30"/>
      <c r="AA43" s="30"/>
    </row>
    <row r="44">
      <c r="A44" s="66" t="s">
        <v>2605</v>
      </c>
      <c r="B44" s="27" t="s">
        <v>2342</v>
      </c>
      <c r="C44" s="41" t="s">
        <v>2606</v>
      </c>
      <c r="D44" s="41" t="s">
        <v>2388</v>
      </c>
      <c r="E44" s="41" t="s">
        <v>2607</v>
      </c>
      <c r="F44" s="41" t="s">
        <v>2509</v>
      </c>
      <c r="G44" s="41" t="s">
        <v>1822</v>
      </c>
      <c r="H44" s="40" t="s">
        <v>2336</v>
      </c>
      <c r="I44" s="49" t="s">
        <v>2337</v>
      </c>
      <c r="J44" s="41" t="s">
        <v>1645</v>
      </c>
      <c r="K44" s="41" t="s">
        <v>2608</v>
      </c>
      <c r="L44" s="41" t="s">
        <v>544</v>
      </c>
      <c r="M44" s="26" t="s">
        <v>2339</v>
      </c>
      <c r="N44" s="28"/>
      <c r="O44" s="72" t="s">
        <v>2609</v>
      </c>
      <c r="P44" s="30"/>
      <c r="Q44" s="30"/>
      <c r="R44" s="28" t="s">
        <v>2339</v>
      </c>
      <c r="S44" s="28" t="s">
        <v>2339</v>
      </c>
      <c r="T44" s="30"/>
      <c r="U44" s="30"/>
      <c r="V44" s="30"/>
      <c r="W44" s="30"/>
      <c r="X44" s="30"/>
      <c r="Y44" s="30"/>
      <c r="Z44" s="30"/>
      <c r="AA44" s="30"/>
    </row>
    <row r="45">
      <c r="A45" s="27" t="s">
        <v>2610</v>
      </c>
      <c r="B45" s="27" t="s">
        <v>2342</v>
      </c>
      <c r="C45" s="67" t="s">
        <v>2611</v>
      </c>
      <c r="D45" s="68"/>
      <c r="E45" s="67" t="s">
        <v>2612</v>
      </c>
      <c r="F45" s="67" t="s">
        <v>1693</v>
      </c>
      <c r="G45" s="67" t="s">
        <v>2613</v>
      </c>
      <c r="H45" s="73" t="s">
        <v>2336</v>
      </c>
      <c r="I45" s="49" t="s">
        <v>2337</v>
      </c>
      <c r="J45" s="67" t="s">
        <v>1645</v>
      </c>
      <c r="K45" s="67" t="s">
        <v>2614</v>
      </c>
      <c r="L45" s="67" t="s">
        <v>2423</v>
      </c>
      <c r="M45" s="26" t="s">
        <v>2339</v>
      </c>
      <c r="O45" s="74" t="s">
        <v>2615</v>
      </c>
      <c r="R45" s="28" t="s">
        <v>2339</v>
      </c>
      <c r="S45" s="28" t="s">
        <v>2339</v>
      </c>
    </row>
    <row r="46">
      <c r="A46" s="66" t="s">
        <v>2616</v>
      </c>
      <c r="B46" s="27" t="s">
        <v>2342</v>
      </c>
      <c r="C46" s="67" t="s">
        <v>2617</v>
      </c>
      <c r="D46" s="68"/>
      <c r="E46" s="67" t="s">
        <v>2618</v>
      </c>
      <c r="F46" s="67" t="s">
        <v>2619</v>
      </c>
      <c r="G46" s="67" t="s">
        <v>164</v>
      </c>
      <c r="H46" s="73" t="s">
        <v>2336</v>
      </c>
      <c r="I46" s="49" t="s">
        <v>2337</v>
      </c>
      <c r="J46" s="67" t="s">
        <v>1645</v>
      </c>
      <c r="K46" s="67" t="s">
        <v>544</v>
      </c>
      <c r="L46" s="67" t="s">
        <v>714</v>
      </c>
      <c r="M46" s="26" t="s">
        <v>2339</v>
      </c>
      <c r="O46" s="74" t="s">
        <v>2620</v>
      </c>
      <c r="R46" s="28" t="s">
        <v>2339</v>
      </c>
      <c r="S46" s="28" t="s">
        <v>2339</v>
      </c>
    </row>
    <row r="47">
      <c r="A47" s="26" t="s">
        <v>2621</v>
      </c>
      <c r="B47" s="27" t="s">
        <v>2342</v>
      </c>
      <c r="C47" s="67" t="s">
        <v>2622</v>
      </c>
      <c r="D47" s="68"/>
      <c r="E47" s="67" t="s">
        <v>2623</v>
      </c>
      <c r="F47" s="67" t="s">
        <v>2624</v>
      </c>
      <c r="G47" s="67" t="s">
        <v>2422</v>
      </c>
      <c r="H47" s="73" t="s">
        <v>2336</v>
      </c>
      <c r="I47" s="49" t="s">
        <v>2337</v>
      </c>
      <c r="J47" s="67" t="s">
        <v>343</v>
      </c>
      <c r="K47" s="67" t="s">
        <v>2625</v>
      </c>
      <c r="L47" s="67" t="s">
        <v>2626</v>
      </c>
      <c r="M47" s="26" t="s">
        <v>2339</v>
      </c>
      <c r="O47" s="74" t="s">
        <v>2627</v>
      </c>
      <c r="R47" s="28" t="s">
        <v>2339</v>
      </c>
      <c r="S47" s="28" t="s">
        <v>2339</v>
      </c>
    </row>
    <row r="48">
      <c r="A48" s="26" t="s">
        <v>2628</v>
      </c>
      <c r="B48" s="27" t="s">
        <v>2342</v>
      </c>
      <c r="C48" s="67" t="s">
        <v>2629</v>
      </c>
      <c r="D48" s="68"/>
      <c r="E48" s="67" t="s">
        <v>2630</v>
      </c>
      <c r="F48" s="67" t="s">
        <v>2631</v>
      </c>
      <c r="G48" s="67" t="s">
        <v>2422</v>
      </c>
      <c r="H48" s="73" t="s">
        <v>2336</v>
      </c>
      <c r="I48" s="49" t="s">
        <v>2337</v>
      </c>
      <c r="J48" s="67" t="s">
        <v>343</v>
      </c>
      <c r="K48" s="67" t="s">
        <v>463</v>
      </c>
      <c r="L48" s="67" t="s">
        <v>1783</v>
      </c>
      <c r="M48" s="26" t="s">
        <v>2339</v>
      </c>
      <c r="O48" s="74" t="s">
        <v>2632</v>
      </c>
      <c r="R48" s="28" t="s">
        <v>2339</v>
      </c>
      <c r="S48" s="28" t="s">
        <v>2339</v>
      </c>
    </row>
    <row r="49">
      <c r="A49" s="26" t="s">
        <v>2633</v>
      </c>
      <c r="B49" s="27" t="s">
        <v>2342</v>
      </c>
      <c r="C49" s="67" t="s">
        <v>2634</v>
      </c>
      <c r="D49" s="68"/>
      <c r="E49" s="67" t="s">
        <v>2635</v>
      </c>
      <c r="F49" s="67" t="s">
        <v>24</v>
      </c>
      <c r="G49" s="67" t="s">
        <v>2335</v>
      </c>
      <c r="H49" s="73" t="s">
        <v>2336</v>
      </c>
      <c r="I49" s="49" t="s">
        <v>2337</v>
      </c>
      <c r="J49" s="67" t="s">
        <v>2636</v>
      </c>
      <c r="K49" s="67" t="s">
        <v>1124</v>
      </c>
      <c r="L49" s="67" t="s">
        <v>343</v>
      </c>
      <c r="M49" s="26" t="s">
        <v>2339</v>
      </c>
      <c r="O49" s="74" t="s">
        <v>2637</v>
      </c>
      <c r="R49" s="28" t="s">
        <v>2339</v>
      </c>
      <c r="S49" s="28" t="s">
        <v>2339</v>
      </c>
    </row>
    <row r="50">
      <c r="A50" s="26" t="s">
        <v>2638</v>
      </c>
      <c r="B50" s="27" t="s">
        <v>2342</v>
      </c>
      <c r="C50" s="67" t="s">
        <v>2639</v>
      </c>
      <c r="D50" s="68"/>
      <c r="E50" s="67" t="s">
        <v>2640</v>
      </c>
      <c r="F50" s="69" t="s">
        <v>2641</v>
      </c>
      <c r="G50" s="67" t="s">
        <v>2422</v>
      </c>
      <c r="H50" s="75" t="s">
        <v>2408</v>
      </c>
      <c r="I50" s="40" t="s">
        <v>2336</v>
      </c>
      <c r="J50" s="68"/>
      <c r="K50" s="68"/>
      <c r="L50" s="68"/>
      <c r="O50" s="74" t="s">
        <v>2642</v>
      </c>
      <c r="R50" s="28" t="s">
        <v>2339</v>
      </c>
      <c r="S50" s="28" t="s">
        <v>2339</v>
      </c>
    </row>
    <row r="51">
      <c r="D51" s="68"/>
      <c r="E51" s="68"/>
      <c r="F51" s="68"/>
      <c r="G51" s="68"/>
      <c r="H51" s="68"/>
      <c r="I51" s="68"/>
      <c r="J51" s="68"/>
      <c r="K51" s="68"/>
      <c r="L51" s="68"/>
    </row>
    <row r="52">
      <c r="C52" s="68"/>
      <c r="D52" s="68"/>
      <c r="E52" s="68"/>
      <c r="F52" s="68"/>
      <c r="G52" s="68"/>
      <c r="H52" s="68"/>
      <c r="I52" s="68"/>
      <c r="J52" s="68"/>
      <c r="K52" s="68"/>
      <c r="L52" s="68"/>
    </row>
    <row r="53">
      <c r="C53" s="68"/>
      <c r="D53" s="68"/>
      <c r="E53" s="68"/>
      <c r="F53" s="68"/>
      <c r="G53" s="68"/>
      <c r="H53" s="68"/>
      <c r="I53" s="68"/>
      <c r="J53" s="68"/>
      <c r="K53" s="68"/>
      <c r="L53" s="68"/>
    </row>
    <row r="54">
      <c r="C54" s="68"/>
      <c r="D54" s="68"/>
      <c r="E54" s="68"/>
      <c r="F54" s="68"/>
      <c r="G54" s="68"/>
      <c r="H54" s="68"/>
      <c r="I54" s="68"/>
      <c r="J54" s="68"/>
      <c r="K54" s="68"/>
      <c r="L54" s="68"/>
    </row>
    <row r="55">
      <c r="C55" s="68"/>
      <c r="D55" s="68"/>
      <c r="E55" s="68"/>
      <c r="F55" s="68"/>
      <c r="G55" s="68"/>
      <c r="H55" s="68"/>
      <c r="I55" s="68"/>
      <c r="J55" s="68"/>
      <c r="K55" s="68"/>
      <c r="L55" s="68"/>
    </row>
    <row r="56">
      <c r="C56" s="68"/>
      <c r="D56" s="68"/>
      <c r="E56" s="68"/>
      <c r="F56" s="68"/>
      <c r="G56" s="68"/>
      <c r="H56" s="68"/>
      <c r="I56" s="68"/>
      <c r="J56" s="68"/>
      <c r="K56" s="68"/>
      <c r="L56" s="68"/>
    </row>
    <row r="57">
      <c r="C57" s="68"/>
      <c r="D57" s="68"/>
      <c r="E57" s="68"/>
      <c r="F57" s="68"/>
      <c r="G57" s="68"/>
      <c r="H57" s="68"/>
      <c r="I57" s="68"/>
      <c r="J57" s="68"/>
      <c r="K57" s="68"/>
      <c r="L57" s="68"/>
    </row>
  </sheetData>
  <dataValidations>
    <dataValidation type="list" allowBlank="1" showErrorMessage="1" sqref="B2:B50">
      <formula1>"Dr.,Prof."</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2" max="2" width="7.75"/>
    <col hidden="1" min="3" max="5" width="12.63"/>
    <col customWidth="1" min="6" max="6" width="18.88"/>
    <col customWidth="1" hidden="1" min="7" max="7" width="35.38"/>
    <col customWidth="1" min="8" max="96" width="3.5"/>
    <col customWidth="1" min="97" max="97" width="2.88"/>
    <col customWidth="1" min="98" max="210" width="3.5"/>
    <col customWidth="1" min="211" max="211" width="3.75"/>
    <col customWidth="1" min="212" max="218" width="3.5"/>
    <col customWidth="1" min="219" max="219" width="3.88"/>
    <col customWidth="1" min="220" max="272" width="3.5"/>
    <col customWidth="1" min="273" max="273" width="3.75"/>
    <col customWidth="1" min="274" max="299" width="3.5"/>
    <col customWidth="1" min="300" max="300" width="3.75"/>
    <col customWidth="1" min="301" max="309" width="3.5"/>
    <col customWidth="1" min="310" max="310" width="4.13"/>
  </cols>
  <sheetData>
    <row r="1">
      <c r="A1" s="20" t="s">
        <v>2316</v>
      </c>
      <c r="B1" s="20"/>
      <c r="C1" s="20" t="s">
        <v>2317</v>
      </c>
      <c r="D1" s="20" t="s">
        <v>2318</v>
      </c>
      <c r="E1" s="20" t="s">
        <v>2319</v>
      </c>
      <c r="F1" s="76" t="s">
        <v>2643</v>
      </c>
      <c r="G1" s="20" t="s">
        <v>11</v>
      </c>
      <c r="H1" s="26">
        <v>1.0</v>
      </c>
      <c r="I1" s="26">
        <v>2.0</v>
      </c>
      <c r="J1" s="26">
        <v>3.0</v>
      </c>
      <c r="K1" s="26">
        <v>4.0</v>
      </c>
      <c r="L1" s="26">
        <v>5.0</v>
      </c>
      <c r="M1" s="77">
        <v>6.0</v>
      </c>
      <c r="N1" s="77">
        <v>7.0</v>
      </c>
      <c r="O1" s="77">
        <v>8.0</v>
      </c>
      <c r="P1" s="26">
        <v>9.0</v>
      </c>
      <c r="Q1" s="26">
        <v>10.0</v>
      </c>
      <c r="R1" s="26">
        <v>11.0</v>
      </c>
      <c r="S1" s="26">
        <v>12.0</v>
      </c>
      <c r="T1" s="26">
        <v>13.0</v>
      </c>
      <c r="U1" s="26">
        <v>14.0</v>
      </c>
      <c r="V1" s="26">
        <v>15.0</v>
      </c>
      <c r="W1" s="26">
        <v>16.0</v>
      </c>
      <c r="X1" s="26">
        <v>17.0</v>
      </c>
      <c r="Y1" s="26">
        <v>18.0</v>
      </c>
      <c r="Z1" s="26">
        <v>19.0</v>
      </c>
      <c r="AA1" s="26">
        <v>20.0</v>
      </c>
      <c r="AB1" s="26">
        <v>21.0</v>
      </c>
      <c r="AC1" s="26">
        <v>22.0</v>
      </c>
      <c r="AD1" s="26">
        <v>23.0</v>
      </c>
      <c r="AE1" s="26">
        <v>24.0</v>
      </c>
      <c r="AF1" s="26">
        <v>25.0</v>
      </c>
      <c r="AG1" s="26">
        <v>26.0</v>
      </c>
      <c r="AH1" s="26">
        <v>27.0</v>
      </c>
      <c r="AI1" s="26">
        <v>28.0</v>
      </c>
      <c r="AJ1" s="77">
        <v>29.0</v>
      </c>
      <c r="AK1" s="26">
        <v>30.0</v>
      </c>
      <c r="AL1" s="77">
        <v>31.0</v>
      </c>
      <c r="AM1" s="26">
        <v>32.0</v>
      </c>
      <c r="AN1" s="26">
        <v>33.0</v>
      </c>
      <c r="AO1" s="26">
        <v>34.0</v>
      </c>
      <c r="AP1" s="26">
        <v>35.0</v>
      </c>
      <c r="AQ1" s="26">
        <v>36.0</v>
      </c>
      <c r="AR1" s="26">
        <v>37.0</v>
      </c>
      <c r="AS1" s="26">
        <v>38.0</v>
      </c>
      <c r="AT1" s="26">
        <v>39.0</v>
      </c>
      <c r="AU1" s="26">
        <v>40.0</v>
      </c>
      <c r="AV1" s="26">
        <v>41.0</v>
      </c>
      <c r="AW1" s="77">
        <v>42.0</v>
      </c>
      <c r="AX1" s="77">
        <v>43.0</v>
      </c>
      <c r="AY1" s="26">
        <v>44.0</v>
      </c>
      <c r="AZ1" s="26">
        <v>45.0</v>
      </c>
      <c r="BA1" s="26">
        <v>46.0</v>
      </c>
      <c r="BB1" s="26">
        <v>47.0</v>
      </c>
      <c r="BC1" s="26">
        <v>48.0</v>
      </c>
      <c r="BD1" s="26">
        <v>49.0</v>
      </c>
      <c r="BE1" s="26">
        <v>50.0</v>
      </c>
      <c r="BF1" s="26">
        <v>51.0</v>
      </c>
      <c r="BG1" s="26">
        <v>52.0</v>
      </c>
      <c r="BH1" s="26">
        <v>53.0</v>
      </c>
      <c r="BI1" s="26">
        <v>54.0</v>
      </c>
      <c r="BJ1" s="77">
        <v>55.0</v>
      </c>
      <c r="BK1" s="26">
        <v>56.0</v>
      </c>
      <c r="BL1" s="26">
        <v>57.0</v>
      </c>
      <c r="BM1" s="26">
        <v>58.0</v>
      </c>
      <c r="BN1" s="77">
        <v>59.0</v>
      </c>
      <c r="BO1" s="77">
        <v>60.0</v>
      </c>
      <c r="BP1" s="26">
        <v>61.0</v>
      </c>
      <c r="BQ1" s="26">
        <v>62.0</v>
      </c>
      <c r="BR1" s="26">
        <v>63.0</v>
      </c>
      <c r="BS1" s="26">
        <v>64.0</v>
      </c>
      <c r="BT1" s="26">
        <v>65.0</v>
      </c>
      <c r="BU1" s="26">
        <v>66.0</v>
      </c>
      <c r="BV1" s="26">
        <v>67.0</v>
      </c>
      <c r="BW1" s="26">
        <v>68.0</v>
      </c>
      <c r="BX1" s="26">
        <v>69.0</v>
      </c>
      <c r="BY1" s="26">
        <v>70.0</v>
      </c>
      <c r="BZ1" s="77">
        <v>71.0</v>
      </c>
      <c r="CA1" s="26">
        <v>72.0</v>
      </c>
      <c r="CB1" s="26">
        <v>73.0</v>
      </c>
      <c r="CC1" s="26">
        <v>74.0</v>
      </c>
      <c r="CD1" s="26">
        <v>75.0</v>
      </c>
      <c r="CE1" s="77">
        <v>76.0</v>
      </c>
      <c r="CF1" s="26">
        <v>77.0</v>
      </c>
      <c r="CG1" s="26">
        <v>78.0</v>
      </c>
      <c r="CH1" s="26">
        <v>79.0</v>
      </c>
      <c r="CI1" s="26">
        <v>80.0</v>
      </c>
      <c r="CJ1" s="26">
        <v>81.0</v>
      </c>
      <c r="CK1" s="26">
        <v>82.0</v>
      </c>
      <c r="CL1" s="26">
        <v>83.0</v>
      </c>
      <c r="CM1" s="26">
        <v>84.0</v>
      </c>
      <c r="CN1" s="26">
        <v>85.0</v>
      </c>
      <c r="CO1" s="26">
        <v>86.0</v>
      </c>
      <c r="CP1" s="26">
        <v>87.0</v>
      </c>
      <c r="CQ1" s="26">
        <v>88.0</v>
      </c>
      <c r="CR1" s="26">
        <v>89.0</v>
      </c>
      <c r="CS1" s="26">
        <v>90.0</v>
      </c>
      <c r="CT1" s="26">
        <v>91.0</v>
      </c>
      <c r="CU1" s="26">
        <v>92.0</v>
      </c>
      <c r="CV1" s="26">
        <v>93.0</v>
      </c>
      <c r="CW1" s="26">
        <v>94.0</v>
      </c>
      <c r="CX1" s="26">
        <v>95.0</v>
      </c>
      <c r="CY1" s="26">
        <v>96.0</v>
      </c>
      <c r="CZ1" s="26">
        <v>97.0</v>
      </c>
      <c r="DA1" s="26">
        <v>98.0</v>
      </c>
      <c r="DB1" s="26">
        <v>99.0</v>
      </c>
      <c r="DC1" s="26">
        <v>100.0</v>
      </c>
      <c r="DD1" s="26">
        <v>101.0</v>
      </c>
      <c r="DE1" s="77">
        <v>102.0</v>
      </c>
      <c r="DF1" s="77">
        <v>103.0</v>
      </c>
      <c r="DG1" s="77">
        <v>104.0</v>
      </c>
      <c r="DH1" s="77">
        <v>105.0</v>
      </c>
      <c r="DI1" s="77">
        <v>106.0</v>
      </c>
      <c r="DJ1" s="77">
        <v>107.0</v>
      </c>
      <c r="DK1" s="26">
        <v>108.0</v>
      </c>
      <c r="DL1" s="26">
        <v>109.0</v>
      </c>
      <c r="DM1" s="26">
        <v>110.0</v>
      </c>
      <c r="DN1" s="77">
        <v>111.0</v>
      </c>
      <c r="DO1" s="26">
        <v>112.0</v>
      </c>
      <c r="DP1" s="26">
        <v>113.0</v>
      </c>
      <c r="DQ1" s="26">
        <v>114.0</v>
      </c>
      <c r="DR1" s="77">
        <v>115.0</v>
      </c>
      <c r="DS1" s="26">
        <v>116.0</v>
      </c>
      <c r="DT1" s="26">
        <v>117.0</v>
      </c>
      <c r="DU1" s="77">
        <v>118.0</v>
      </c>
      <c r="DV1" s="77">
        <v>119.0</v>
      </c>
      <c r="DW1" s="26">
        <v>120.0</v>
      </c>
      <c r="DX1" s="26">
        <v>121.0</v>
      </c>
      <c r="DY1" s="26">
        <v>122.0</v>
      </c>
      <c r="DZ1" s="77">
        <v>123.0</v>
      </c>
      <c r="EA1" s="26">
        <v>124.0</v>
      </c>
      <c r="EB1" s="77">
        <v>125.0</v>
      </c>
      <c r="EC1" s="26">
        <v>126.0</v>
      </c>
      <c r="ED1" s="77">
        <v>127.0</v>
      </c>
      <c r="EE1" s="26">
        <v>128.0</v>
      </c>
      <c r="EF1" s="26">
        <v>129.0</v>
      </c>
      <c r="EG1" s="26">
        <v>130.0</v>
      </c>
      <c r="EH1" s="26">
        <v>131.0</v>
      </c>
      <c r="EI1" s="26">
        <v>132.0</v>
      </c>
      <c r="EJ1" s="26">
        <v>133.0</v>
      </c>
      <c r="EK1" s="26">
        <v>134.0</v>
      </c>
      <c r="EL1" s="26">
        <v>135.0</v>
      </c>
      <c r="EM1" s="26">
        <v>136.0</v>
      </c>
      <c r="EN1" s="26">
        <v>137.0</v>
      </c>
      <c r="EO1" s="26">
        <v>138.0</v>
      </c>
      <c r="EP1" s="26">
        <v>139.0</v>
      </c>
      <c r="EQ1" s="26">
        <v>140.0</v>
      </c>
      <c r="ER1" s="26">
        <v>141.0</v>
      </c>
      <c r="ES1" s="26">
        <v>142.0</v>
      </c>
      <c r="ET1" s="26">
        <v>143.0</v>
      </c>
      <c r="EU1" s="26">
        <v>144.0</v>
      </c>
      <c r="EV1" s="26">
        <v>145.0</v>
      </c>
      <c r="EW1" s="26">
        <v>146.0</v>
      </c>
      <c r="EX1" s="26">
        <v>147.0</v>
      </c>
      <c r="EY1" s="26">
        <v>148.0</v>
      </c>
      <c r="EZ1" s="26">
        <v>149.0</v>
      </c>
      <c r="FA1" s="26">
        <v>150.0</v>
      </c>
      <c r="FB1" s="26">
        <v>151.0</v>
      </c>
      <c r="FC1" s="26">
        <v>152.0</v>
      </c>
      <c r="FD1" s="26">
        <v>153.0</v>
      </c>
      <c r="FE1" s="26">
        <v>154.0</v>
      </c>
      <c r="FF1" s="26">
        <v>155.0</v>
      </c>
      <c r="FG1" s="26">
        <v>156.0</v>
      </c>
      <c r="FH1" s="26">
        <v>157.0</v>
      </c>
      <c r="FI1" s="26">
        <v>158.0</v>
      </c>
      <c r="FJ1" s="26">
        <v>159.0</v>
      </c>
      <c r="FK1" s="26">
        <v>160.0</v>
      </c>
      <c r="FL1" s="26">
        <v>161.0</v>
      </c>
      <c r="FM1" s="26">
        <v>162.0</v>
      </c>
      <c r="FN1" s="26">
        <v>163.0</v>
      </c>
      <c r="FO1" s="26">
        <v>164.0</v>
      </c>
      <c r="FP1" s="26">
        <v>165.0</v>
      </c>
      <c r="FQ1" s="78">
        <v>166.0</v>
      </c>
      <c r="FR1" s="26">
        <v>167.0</v>
      </c>
      <c r="FS1" s="78">
        <v>168.0</v>
      </c>
      <c r="FT1" s="26">
        <v>169.0</v>
      </c>
      <c r="FU1" s="26">
        <v>170.0</v>
      </c>
      <c r="FV1" s="26">
        <v>171.0</v>
      </c>
      <c r="FW1" s="26">
        <v>172.0</v>
      </c>
      <c r="FX1" s="26">
        <v>173.0</v>
      </c>
      <c r="FY1" s="26">
        <v>174.0</v>
      </c>
      <c r="FZ1" s="26">
        <v>175.0</v>
      </c>
      <c r="GA1" s="26">
        <v>176.0</v>
      </c>
      <c r="GB1" s="78">
        <v>177.0</v>
      </c>
      <c r="GC1" s="26">
        <v>178.0</v>
      </c>
      <c r="GD1" s="26">
        <v>179.0</v>
      </c>
      <c r="GE1" s="26">
        <v>180.0</v>
      </c>
      <c r="GF1" s="26">
        <v>181.0</v>
      </c>
      <c r="GG1" s="78">
        <v>182.0</v>
      </c>
      <c r="GH1" s="26">
        <v>183.0</v>
      </c>
      <c r="GI1" s="26">
        <v>184.0</v>
      </c>
      <c r="GJ1" s="26">
        <v>185.0</v>
      </c>
      <c r="GK1" s="26">
        <v>186.0</v>
      </c>
      <c r="GL1" s="26">
        <v>187.0</v>
      </c>
      <c r="GM1" s="26">
        <v>188.0</v>
      </c>
      <c r="GN1" s="26">
        <v>189.0</v>
      </c>
      <c r="GO1" s="77">
        <v>190.0</v>
      </c>
      <c r="GP1" s="26">
        <v>191.0</v>
      </c>
      <c r="GQ1" s="26">
        <v>192.0</v>
      </c>
      <c r="GR1" s="26">
        <v>193.0</v>
      </c>
      <c r="GS1" s="26">
        <v>194.0</v>
      </c>
      <c r="GT1" s="26">
        <v>195.0</v>
      </c>
      <c r="GU1" s="26">
        <v>196.0</v>
      </c>
      <c r="GV1" s="78">
        <v>197.0</v>
      </c>
      <c r="GW1" s="26">
        <v>198.0</v>
      </c>
      <c r="GX1" s="26">
        <v>199.0</v>
      </c>
      <c r="GY1" s="26">
        <v>200.0</v>
      </c>
      <c r="GZ1" s="79">
        <v>201.0</v>
      </c>
      <c r="HA1" s="79">
        <v>202.0</v>
      </c>
      <c r="HB1" s="79">
        <v>203.0</v>
      </c>
      <c r="HC1" s="79">
        <v>204.0</v>
      </c>
      <c r="HD1" s="79">
        <v>205.0</v>
      </c>
      <c r="HE1" s="79">
        <v>206.0</v>
      </c>
      <c r="HF1" s="79">
        <v>207.0</v>
      </c>
      <c r="HG1" s="79">
        <v>208.0</v>
      </c>
      <c r="HH1" s="79">
        <v>209.0</v>
      </c>
      <c r="HI1" s="79">
        <v>210.0</v>
      </c>
      <c r="HJ1" s="79">
        <v>211.0</v>
      </c>
      <c r="HK1" s="79">
        <v>212.0</v>
      </c>
      <c r="HL1" s="79">
        <v>213.0</v>
      </c>
      <c r="HM1" s="79">
        <v>214.0</v>
      </c>
      <c r="HN1" s="79">
        <v>215.0</v>
      </c>
      <c r="HO1" s="79">
        <v>216.0</v>
      </c>
      <c r="HP1" s="79">
        <v>217.0</v>
      </c>
      <c r="HQ1" s="79">
        <v>218.0</v>
      </c>
      <c r="HR1" s="79">
        <v>219.0</v>
      </c>
      <c r="HS1" s="79">
        <v>220.0</v>
      </c>
      <c r="HT1" s="79">
        <v>221.0</v>
      </c>
      <c r="HU1" s="79">
        <v>222.0</v>
      </c>
      <c r="HV1" s="79">
        <v>223.0</v>
      </c>
      <c r="HW1" s="79">
        <v>224.0</v>
      </c>
      <c r="HX1" s="79">
        <v>225.0</v>
      </c>
      <c r="HY1" s="79">
        <v>226.0</v>
      </c>
      <c r="HZ1" s="79">
        <v>227.0</v>
      </c>
      <c r="IA1" s="79">
        <v>228.0</v>
      </c>
      <c r="IB1" s="79">
        <v>229.0</v>
      </c>
      <c r="IC1" s="79">
        <v>230.0</v>
      </c>
      <c r="ID1" s="79">
        <v>231.0</v>
      </c>
      <c r="IE1" s="79">
        <v>232.0</v>
      </c>
      <c r="IF1" s="79">
        <v>233.0</v>
      </c>
      <c r="IG1" s="79">
        <v>234.0</v>
      </c>
      <c r="IH1" s="79">
        <v>235.0</v>
      </c>
      <c r="II1" s="79">
        <v>236.0</v>
      </c>
      <c r="IJ1" s="79">
        <v>237.0</v>
      </c>
      <c r="IK1" s="79">
        <v>238.0</v>
      </c>
      <c r="IL1" s="79">
        <v>239.0</v>
      </c>
      <c r="IM1" s="79">
        <v>240.0</v>
      </c>
      <c r="IN1" s="79">
        <v>241.0</v>
      </c>
      <c r="IO1" s="79">
        <v>242.0</v>
      </c>
      <c r="IP1" s="79">
        <v>243.0</v>
      </c>
      <c r="IQ1" s="79">
        <v>244.0</v>
      </c>
      <c r="IR1" s="79">
        <v>245.0</v>
      </c>
      <c r="IS1" s="79">
        <v>246.0</v>
      </c>
      <c r="IT1" s="79">
        <v>247.0</v>
      </c>
      <c r="IU1" s="79">
        <v>248.0</v>
      </c>
      <c r="IV1" s="79">
        <v>249.0</v>
      </c>
      <c r="IW1" s="79">
        <v>250.0</v>
      </c>
      <c r="IX1" s="80">
        <v>251.0</v>
      </c>
      <c r="IY1" s="80">
        <v>252.0</v>
      </c>
      <c r="IZ1" s="80">
        <v>253.0</v>
      </c>
      <c r="JA1" s="80">
        <v>254.0</v>
      </c>
      <c r="JB1" s="80">
        <v>255.0</v>
      </c>
      <c r="JC1" s="80">
        <v>256.0</v>
      </c>
      <c r="JD1" s="80">
        <v>257.0</v>
      </c>
      <c r="JE1" s="80">
        <v>258.0</v>
      </c>
      <c r="JF1" s="80">
        <v>259.0</v>
      </c>
      <c r="JG1" s="80">
        <v>260.0</v>
      </c>
      <c r="JH1" s="80">
        <v>261.0</v>
      </c>
      <c r="JI1" s="80">
        <v>262.0</v>
      </c>
      <c r="JJ1" s="80">
        <v>263.0</v>
      </c>
      <c r="JK1" s="80">
        <v>264.0</v>
      </c>
      <c r="JL1" s="80">
        <v>265.0</v>
      </c>
      <c r="JM1" s="80">
        <v>266.0</v>
      </c>
      <c r="JN1" s="80">
        <v>267.0</v>
      </c>
      <c r="JO1" s="80">
        <v>268.0</v>
      </c>
      <c r="JP1" s="80">
        <v>269.0</v>
      </c>
      <c r="JQ1" s="80">
        <v>270.0</v>
      </c>
      <c r="JR1" s="80">
        <v>271.0</v>
      </c>
      <c r="JS1" s="80">
        <v>272.0</v>
      </c>
      <c r="JT1" s="80">
        <v>273.0</v>
      </c>
      <c r="JU1" s="80">
        <v>274.0</v>
      </c>
      <c r="JV1" s="80">
        <v>275.0</v>
      </c>
      <c r="JW1" s="80">
        <v>276.0</v>
      </c>
      <c r="JX1" s="80">
        <v>277.0</v>
      </c>
      <c r="JY1" s="80">
        <v>278.0</v>
      </c>
      <c r="JZ1" s="80">
        <v>279.0</v>
      </c>
      <c r="KA1" s="80">
        <v>280.0</v>
      </c>
      <c r="KB1" s="80">
        <v>281.0</v>
      </c>
      <c r="KC1" s="80">
        <v>282.0</v>
      </c>
      <c r="KD1" s="80">
        <v>283.0</v>
      </c>
      <c r="KE1" s="80">
        <v>284.0</v>
      </c>
      <c r="KF1" s="80">
        <v>285.0</v>
      </c>
      <c r="KG1" s="80">
        <v>286.0</v>
      </c>
      <c r="KH1" s="80">
        <v>287.0</v>
      </c>
      <c r="KI1" s="80">
        <v>288.0</v>
      </c>
      <c r="KJ1" s="80">
        <v>289.0</v>
      </c>
      <c r="KK1" s="80">
        <v>290.0</v>
      </c>
      <c r="KL1" s="80">
        <v>291.0</v>
      </c>
      <c r="KM1" s="80">
        <v>292.0</v>
      </c>
      <c r="KN1" s="80">
        <v>293.0</v>
      </c>
      <c r="KO1" s="80">
        <v>294.0</v>
      </c>
      <c r="KP1" s="80">
        <v>295.0</v>
      </c>
      <c r="KQ1" s="80">
        <v>296.0</v>
      </c>
      <c r="KR1" s="81">
        <v>297.0</v>
      </c>
      <c r="KS1" s="80">
        <v>298.0</v>
      </c>
      <c r="KT1" s="80">
        <v>299.0</v>
      </c>
      <c r="KU1" s="80">
        <v>300.0</v>
      </c>
      <c r="KV1" s="80">
        <v>301.0</v>
      </c>
      <c r="KW1" s="80">
        <v>302.0</v>
      </c>
      <c r="KX1" s="74"/>
    </row>
    <row r="2">
      <c r="A2" s="82">
        <v>1.0</v>
      </c>
      <c r="B2" s="28">
        <f t="shared" ref="B2:B38" si="1">COUNTIF(C2:ZZ2,1)</f>
        <v>15</v>
      </c>
      <c r="C2" s="28" t="s">
        <v>2332</v>
      </c>
      <c r="D2" s="29" t="s">
        <v>2333</v>
      </c>
      <c r="E2" s="30"/>
      <c r="F2" s="29" t="s">
        <v>2334</v>
      </c>
      <c r="G2" s="29" t="s">
        <v>24</v>
      </c>
      <c r="H2" s="18"/>
      <c r="I2" s="18"/>
      <c r="J2" s="18"/>
      <c r="K2" s="18"/>
      <c r="L2" s="18"/>
      <c r="M2" s="83"/>
      <c r="N2" s="83"/>
      <c r="O2" s="83"/>
      <c r="P2" s="18"/>
      <c r="Q2" s="18"/>
      <c r="R2" s="18"/>
      <c r="S2" s="18"/>
      <c r="T2" s="18"/>
      <c r="U2" s="18"/>
      <c r="V2" s="18"/>
      <c r="W2" s="18"/>
      <c r="X2" s="18"/>
      <c r="Y2" s="18"/>
      <c r="Z2" s="18"/>
      <c r="AA2" s="18"/>
      <c r="AB2" s="18"/>
      <c r="AC2" s="18"/>
      <c r="AD2" s="18"/>
      <c r="AE2" s="18"/>
      <c r="AF2" s="18"/>
      <c r="AG2" s="18"/>
      <c r="AH2" s="18"/>
      <c r="AI2" s="18"/>
      <c r="AJ2" s="83"/>
      <c r="AK2" s="18"/>
      <c r="AL2" s="83"/>
      <c r="AM2" s="18"/>
      <c r="AN2" s="26">
        <v>1.0</v>
      </c>
      <c r="AO2" s="26"/>
      <c r="AP2" s="18"/>
      <c r="AQ2" s="18"/>
      <c r="AR2" s="18"/>
      <c r="AS2" s="18"/>
      <c r="AT2" s="18"/>
      <c r="AU2" s="18"/>
      <c r="AV2" s="18"/>
      <c r="AW2" s="83"/>
      <c r="AX2" s="83"/>
      <c r="AY2" s="18"/>
      <c r="AZ2" s="18"/>
      <c r="BA2" s="18"/>
      <c r="BB2" s="18"/>
      <c r="BC2" s="18"/>
      <c r="BD2" s="18"/>
      <c r="BE2" s="18"/>
      <c r="BF2" s="18"/>
      <c r="BG2" s="26"/>
      <c r="BH2" s="18"/>
      <c r="BJ2" s="83"/>
      <c r="BK2" s="18"/>
      <c r="BL2" s="18"/>
      <c r="BM2" s="26"/>
      <c r="BN2" s="83"/>
      <c r="BO2" s="77"/>
      <c r="BP2" s="18"/>
      <c r="BQ2" s="18"/>
      <c r="BR2" s="18"/>
      <c r="BS2" s="18"/>
      <c r="BT2" s="18"/>
      <c r="BU2" s="18"/>
      <c r="BV2" s="18"/>
      <c r="BW2" s="18"/>
      <c r="BX2" s="18"/>
      <c r="BY2" s="18"/>
      <c r="BZ2" s="77"/>
      <c r="CB2" s="18"/>
      <c r="CC2" s="26">
        <v>1.0</v>
      </c>
      <c r="CD2" s="18"/>
      <c r="CE2" s="77"/>
      <c r="CF2" s="26">
        <v>1.0</v>
      </c>
      <c r="CG2" s="18"/>
      <c r="CH2" s="18"/>
      <c r="CI2" s="18"/>
      <c r="CJ2" s="18"/>
      <c r="CK2" s="18"/>
      <c r="CL2" s="18"/>
      <c r="CM2" s="18"/>
      <c r="CN2" s="18"/>
      <c r="CO2" s="18"/>
      <c r="CP2" s="18"/>
      <c r="CQ2" s="18"/>
      <c r="CR2" s="18"/>
      <c r="CS2" s="18"/>
      <c r="CU2" s="18"/>
      <c r="CV2" s="26"/>
      <c r="CY2" s="26">
        <v>1.0</v>
      </c>
      <c r="CZ2" s="18"/>
      <c r="DA2" s="18"/>
      <c r="DB2" s="18"/>
      <c r="DC2" s="18"/>
      <c r="DD2" s="18"/>
      <c r="DE2" s="83"/>
      <c r="DF2" s="83"/>
      <c r="DG2" s="83"/>
      <c r="DH2" s="83"/>
      <c r="DI2" s="83"/>
      <c r="DJ2" s="83"/>
      <c r="DK2" s="18"/>
      <c r="DL2" s="18"/>
      <c r="DM2" s="18"/>
      <c r="DN2" s="83"/>
      <c r="DO2" s="18"/>
      <c r="DP2" s="18"/>
      <c r="DQ2" s="18"/>
      <c r="DR2" s="83"/>
      <c r="DS2" s="18"/>
      <c r="DT2" s="18"/>
      <c r="DU2" s="83"/>
      <c r="DV2" s="83"/>
      <c r="DW2" s="18"/>
      <c r="DX2" s="18"/>
      <c r="DY2" s="26">
        <v>1.0</v>
      </c>
      <c r="DZ2" s="83"/>
      <c r="EA2" s="18"/>
      <c r="EB2" s="83"/>
      <c r="EC2" s="18"/>
      <c r="ED2" s="83"/>
      <c r="EE2" s="18"/>
      <c r="EF2" s="18"/>
      <c r="EG2" s="18"/>
      <c r="EH2" s="18"/>
      <c r="EI2" s="18"/>
      <c r="EJ2" s="18"/>
      <c r="EK2" s="18"/>
      <c r="EL2" s="18"/>
      <c r="EM2" s="26">
        <v>1.0</v>
      </c>
      <c r="EN2" s="18"/>
      <c r="EO2" s="18"/>
      <c r="EP2" s="18"/>
      <c r="EQ2" s="26">
        <v>1.0</v>
      </c>
      <c r="ER2" s="18"/>
      <c r="ES2" s="18"/>
      <c r="ET2" s="18"/>
      <c r="EU2" s="18"/>
      <c r="EV2" s="18"/>
      <c r="EW2" s="18"/>
      <c r="EX2" s="18"/>
      <c r="EY2" s="18"/>
      <c r="EZ2" s="18"/>
      <c r="FA2" s="18"/>
      <c r="FB2" s="18"/>
      <c r="FC2" s="26"/>
      <c r="FD2" s="18"/>
      <c r="FE2" s="18"/>
      <c r="FF2" s="18"/>
      <c r="FG2" s="18"/>
      <c r="FH2" s="18"/>
      <c r="FI2" s="18"/>
      <c r="FJ2" s="18"/>
      <c r="FK2" s="18"/>
      <c r="FL2" s="18"/>
      <c r="FM2" s="26">
        <v>1.0</v>
      </c>
      <c r="FN2" s="18"/>
      <c r="FO2" s="18"/>
      <c r="FP2" s="18"/>
      <c r="FQ2" s="84"/>
      <c r="FR2" s="18"/>
      <c r="FS2" s="84"/>
      <c r="FT2" s="18"/>
      <c r="FU2" s="18"/>
      <c r="FV2" s="26">
        <v>1.0</v>
      </c>
      <c r="FW2" s="18"/>
      <c r="FX2" s="18"/>
      <c r="FY2" s="18"/>
      <c r="FZ2" s="18"/>
      <c r="GA2" s="18"/>
      <c r="GB2" s="84"/>
      <c r="GC2" s="18"/>
      <c r="GD2" s="18"/>
      <c r="GE2" s="18"/>
      <c r="GF2" s="18"/>
      <c r="GG2" s="84"/>
      <c r="GH2" s="18"/>
      <c r="GI2" s="18"/>
      <c r="GJ2" s="18"/>
      <c r="GK2" s="18"/>
      <c r="GL2" s="18"/>
      <c r="GM2" s="18"/>
      <c r="GN2" s="18"/>
      <c r="GO2" s="83"/>
      <c r="GP2" s="18"/>
      <c r="GQ2" s="18"/>
      <c r="GR2" s="18"/>
      <c r="GS2" s="18"/>
      <c r="GT2" s="18"/>
      <c r="GU2" s="18"/>
      <c r="GV2" s="84"/>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83"/>
      <c r="IM2" s="18"/>
      <c r="IN2" s="83"/>
      <c r="IO2" s="18"/>
      <c r="IP2" s="18"/>
      <c r="IQ2" s="18"/>
      <c r="IR2" s="18"/>
      <c r="IS2" s="18"/>
      <c r="IT2" s="18"/>
      <c r="IU2" s="18"/>
      <c r="IV2" s="26"/>
      <c r="IW2" s="18"/>
      <c r="IX2" s="18"/>
      <c r="IY2" s="18"/>
      <c r="IZ2" s="18"/>
      <c r="JA2" s="26"/>
      <c r="JB2" s="18"/>
      <c r="JC2" s="18"/>
      <c r="JD2" s="26">
        <v>1.0</v>
      </c>
      <c r="JE2" s="18"/>
      <c r="JF2" s="18"/>
      <c r="JG2" s="26">
        <v>1.0</v>
      </c>
      <c r="JH2" s="18"/>
      <c r="JI2" s="18"/>
      <c r="JJ2" s="18"/>
      <c r="JK2" s="18"/>
      <c r="JL2" s="18"/>
      <c r="JM2" s="18"/>
      <c r="JN2" s="18"/>
      <c r="JO2" s="18"/>
      <c r="JP2" s="18"/>
      <c r="JQ2" s="18"/>
      <c r="JR2" s="18"/>
      <c r="JS2" s="18"/>
      <c r="JT2" s="18"/>
      <c r="JU2" s="18"/>
      <c r="JV2" s="18"/>
      <c r="JW2" s="26">
        <v>1.0</v>
      </c>
      <c r="JX2" s="18"/>
      <c r="JY2" s="26">
        <v>1.0</v>
      </c>
      <c r="JZ2" s="18"/>
      <c r="KA2" s="18"/>
      <c r="KB2" s="18"/>
      <c r="KC2" s="18"/>
      <c r="KD2" s="18"/>
      <c r="KE2" s="18"/>
      <c r="KF2" s="26"/>
      <c r="KG2" s="18"/>
      <c r="KH2" s="26">
        <v>1.0</v>
      </c>
      <c r="KI2" s="18"/>
      <c r="KJ2" s="26">
        <v>1.0</v>
      </c>
      <c r="KK2" s="18"/>
      <c r="KL2" s="18"/>
      <c r="KM2" s="18"/>
      <c r="KN2" s="18"/>
      <c r="KO2" s="18"/>
      <c r="KP2" s="18"/>
      <c r="KQ2" s="18"/>
      <c r="KR2" s="83"/>
      <c r="KS2" s="18"/>
      <c r="KT2" s="18"/>
      <c r="KU2" s="18"/>
      <c r="KV2" s="18"/>
      <c r="KW2" s="18"/>
    </row>
    <row r="3">
      <c r="A3" s="27">
        <v>2.0</v>
      </c>
      <c r="B3" s="85">
        <f t="shared" si="1"/>
        <v>14</v>
      </c>
      <c r="C3" s="28" t="s">
        <v>2342</v>
      </c>
      <c r="D3" s="29" t="s">
        <v>2343</v>
      </c>
      <c r="E3" s="30"/>
      <c r="F3" s="29" t="s">
        <v>2344</v>
      </c>
      <c r="G3" s="29" t="s">
        <v>2345</v>
      </c>
      <c r="H3" s="18"/>
      <c r="I3" s="18"/>
      <c r="J3" s="18"/>
      <c r="K3" s="26"/>
      <c r="L3" s="18"/>
      <c r="M3" s="83"/>
      <c r="N3" s="83"/>
      <c r="O3" s="83"/>
      <c r="P3" s="18"/>
      <c r="Q3" s="18"/>
      <c r="R3" s="18"/>
      <c r="S3" s="18"/>
      <c r="T3" s="18"/>
      <c r="U3" s="18"/>
      <c r="V3" s="18"/>
      <c r="W3" s="18"/>
      <c r="X3" s="26"/>
      <c r="Y3" s="26">
        <v>1.0</v>
      </c>
      <c r="Z3" s="18"/>
      <c r="AA3" s="18"/>
      <c r="AB3" s="26"/>
      <c r="AC3" s="18"/>
      <c r="AD3" s="18"/>
      <c r="AE3" s="26"/>
      <c r="AF3" s="18"/>
      <c r="AG3" s="26"/>
      <c r="AH3" s="18"/>
      <c r="AI3" s="18"/>
      <c r="AJ3" s="83"/>
      <c r="AK3" s="18"/>
      <c r="AL3" s="77"/>
      <c r="AM3" s="18"/>
      <c r="AN3" s="18"/>
      <c r="AO3" s="18"/>
      <c r="AP3" s="18"/>
      <c r="AQ3" s="18"/>
      <c r="AR3" s="18"/>
      <c r="AS3" s="18"/>
      <c r="AT3" s="26"/>
      <c r="AU3" s="18"/>
      <c r="AV3" s="18"/>
      <c r="AW3" s="83"/>
      <c r="AX3" s="83"/>
      <c r="AY3" s="18"/>
      <c r="AZ3" s="18"/>
      <c r="BA3" s="18"/>
      <c r="BB3" s="18"/>
      <c r="BC3" s="18"/>
      <c r="BD3" s="18"/>
      <c r="BE3" s="18"/>
      <c r="BG3" s="18"/>
      <c r="BH3" s="26">
        <v>1.0</v>
      </c>
      <c r="BI3" s="18"/>
      <c r="BJ3" s="83"/>
      <c r="BK3" s="18"/>
      <c r="BL3" s="18"/>
      <c r="BM3" s="18"/>
      <c r="BN3" s="83"/>
      <c r="BO3" s="83"/>
      <c r="BP3" s="18"/>
      <c r="BQ3" s="18"/>
      <c r="BR3" s="18"/>
      <c r="BS3" s="18"/>
      <c r="BT3" s="18"/>
      <c r="BU3" s="26">
        <v>1.0</v>
      </c>
      <c r="BV3" s="18"/>
      <c r="BW3" s="26">
        <v>1.0</v>
      </c>
      <c r="BX3" s="18"/>
      <c r="BY3" s="18"/>
      <c r="BZ3" s="83"/>
      <c r="CA3" s="18"/>
      <c r="CB3" s="26">
        <v>1.0</v>
      </c>
      <c r="CC3" s="18"/>
      <c r="CD3" s="18"/>
      <c r="CE3" s="83"/>
      <c r="CF3" s="18"/>
      <c r="CG3" s="18"/>
      <c r="CH3" s="18"/>
      <c r="CI3" s="18"/>
      <c r="CJ3" s="18"/>
      <c r="CK3" s="18"/>
      <c r="CL3" s="18"/>
      <c r="CM3" s="18"/>
      <c r="CN3" s="18"/>
      <c r="CO3" s="18"/>
      <c r="CP3" s="18"/>
      <c r="CQ3" s="18"/>
      <c r="CR3" s="26"/>
      <c r="CS3" s="26"/>
      <c r="CU3" s="18"/>
      <c r="CV3" s="18"/>
      <c r="CY3" s="18"/>
      <c r="CZ3" s="18"/>
      <c r="DA3" s="18"/>
      <c r="DB3" s="18"/>
      <c r="DC3" s="18"/>
      <c r="DD3" s="26"/>
      <c r="DE3" s="83"/>
      <c r="DF3" s="83"/>
      <c r="DG3" s="83"/>
      <c r="DH3" s="83"/>
      <c r="DI3" s="83"/>
      <c r="DJ3" s="83"/>
      <c r="DK3" s="18"/>
      <c r="DL3" s="18"/>
      <c r="DM3" s="18"/>
      <c r="DN3" s="77"/>
      <c r="DO3" s="18"/>
      <c r="DP3" s="18"/>
      <c r="DQ3" s="26"/>
      <c r="DR3" s="77"/>
      <c r="DS3" s="26">
        <v>1.0</v>
      </c>
      <c r="DT3" s="26">
        <v>1.0</v>
      </c>
      <c r="DU3" s="83"/>
      <c r="DV3" s="83"/>
      <c r="DW3" s="18"/>
      <c r="DX3" s="18"/>
      <c r="DY3" s="18"/>
      <c r="DZ3" s="83"/>
      <c r="EA3" s="18"/>
      <c r="EB3" s="83"/>
      <c r="EC3" s="18"/>
      <c r="ED3" s="83"/>
      <c r="EE3" s="18"/>
      <c r="EF3" s="18"/>
      <c r="EG3" s="18"/>
      <c r="EH3" s="18"/>
      <c r="EI3" s="18"/>
      <c r="EJ3" s="18"/>
      <c r="EK3" s="18"/>
      <c r="EL3" s="18"/>
      <c r="EM3" s="18"/>
      <c r="EN3" s="18"/>
      <c r="EO3" s="18"/>
      <c r="EP3" s="18"/>
      <c r="EQ3" s="18"/>
      <c r="ER3" s="18"/>
      <c r="ES3" s="18"/>
      <c r="ET3" s="18"/>
      <c r="EU3" s="18"/>
      <c r="EV3" s="26">
        <v>1.0</v>
      </c>
      <c r="EW3" s="18"/>
      <c r="EX3" s="18"/>
      <c r="EY3" s="18"/>
      <c r="EZ3" s="18"/>
      <c r="FA3" s="18"/>
      <c r="FB3" s="26"/>
      <c r="FC3" s="18"/>
      <c r="FD3" s="18"/>
      <c r="FE3" s="18"/>
      <c r="FF3" s="18"/>
      <c r="FG3" s="18"/>
      <c r="FH3" s="18"/>
      <c r="FI3" s="18"/>
      <c r="FJ3" s="18"/>
      <c r="FK3" s="18"/>
      <c r="FL3" s="18"/>
      <c r="FM3" s="18"/>
      <c r="FN3" s="18"/>
      <c r="FO3" s="18"/>
      <c r="FP3" s="18"/>
      <c r="FQ3" s="84"/>
      <c r="FR3" s="18"/>
      <c r="FS3" s="84"/>
      <c r="FT3" s="18"/>
      <c r="FU3" s="18"/>
      <c r="FV3" s="18"/>
      <c r="FW3" s="18"/>
      <c r="FX3" s="18"/>
      <c r="FY3" s="18"/>
      <c r="FZ3" s="18"/>
      <c r="GA3" s="18"/>
      <c r="GB3" s="84"/>
      <c r="GC3" s="18"/>
      <c r="GD3" s="18"/>
      <c r="GE3" s="18"/>
      <c r="GF3" s="18"/>
      <c r="GG3" s="84"/>
      <c r="GH3" s="18"/>
      <c r="GI3" s="18"/>
      <c r="GJ3" s="18"/>
      <c r="GK3" s="18"/>
      <c r="GL3" s="18"/>
      <c r="GM3" s="18"/>
      <c r="GN3" s="18"/>
      <c r="GO3" s="83"/>
      <c r="GP3" s="18"/>
      <c r="GQ3" s="18"/>
      <c r="GR3" s="18"/>
      <c r="GS3" s="18"/>
      <c r="GT3" s="18"/>
      <c r="GU3" s="18"/>
      <c r="GV3" s="84"/>
      <c r="GW3" s="18"/>
      <c r="GX3" s="18"/>
      <c r="GY3" s="18"/>
      <c r="GZ3" s="18"/>
      <c r="HA3" s="18"/>
      <c r="HB3" s="18"/>
      <c r="HC3" s="18"/>
      <c r="HD3" s="18"/>
      <c r="HE3" s="18"/>
      <c r="HF3" s="18"/>
      <c r="HG3" s="18"/>
      <c r="HH3" s="18"/>
      <c r="HI3" s="18"/>
      <c r="HJ3" s="18"/>
      <c r="HK3" s="26"/>
      <c r="HL3" s="26">
        <v>1.0</v>
      </c>
      <c r="HM3" s="18"/>
      <c r="HN3" s="18"/>
      <c r="HO3" s="18"/>
      <c r="HP3" s="18"/>
      <c r="HQ3" s="18"/>
      <c r="HR3" s="18"/>
      <c r="HS3" s="18"/>
      <c r="HT3" s="18"/>
      <c r="HU3" s="18"/>
      <c r="HV3" s="18"/>
      <c r="HW3" s="18"/>
      <c r="HX3" s="18"/>
      <c r="HY3" s="18"/>
      <c r="HZ3" s="18"/>
      <c r="IA3" s="26"/>
      <c r="IB3" s="18"/>
      <c r="IC3" s="18"/>
      <c r="ID3" s="18"/>
      <c r="IE3" s="18"/>
      <c r="IF3" s="18"/>
      <c r="IG3" s="18"/>
      <c r="IH3" s="18"/>
      <c r="II3" s="18"/>
      <c r="IJ3" s="18"/>
      <c r="IK3" s="18"/>
      <c r="IL3" s="83"/>
      <c r="IM3" s="18"/>
      <c r="IN3" s="83"/>
      <c r="IO3" s="18"/>
      <c r="IP3" s="18"/>
      <c r="IQ3" s="18"/>
      <c r="IR3" s="18"/>
      <c r="IS3" s="18"/>
      <c r="IT3" s="18"/>
      <c r="IU3" s="18"/>
      <c r="IV3" s="18"/>
      <c r="IW3" s="18"/>
      <c r="IX3" s="18"/>
      <c r="IY3" s="18"/>
      <c r="IZ3" s="18"/>
      <c r="JA3" s="18"/>
      <c r="JB3" s="18"/>
      <c r="JC3" s="26">
        <v>1.0</v>
      </c>
      <c r="JD3" s="18"/>
      <c r="JE3" s="18"/>
      <c r="JF3" s="26">
        <v>1.0</v>
      </c>
      <c r="JG3" s="18"/>
      <c r="JH3" s="18"/>
      <c r="JI3" s="18"/>
      <c r="JJ3" s="18"/>
      <c r="JK3" s="18"/>
      <c r="JL3" s="18"/>
      <c r="JM3" s="26">
        <v>1.0</v>
      </c>
      <c r="JN3" s="18"/>
      <c r="JO3" s="18"/>
      <c r="JP3" s="18"/>
      <c r="JQ3" s="18"/>
      <c r="JR3" s="18"/>
      <c r="JS3" s="18"/>
      <c r="JT3" s="18"/>
      <c r="JU3" s="18"/>
      <c r="JV3" s="18"/>
      <c r="JW3" s="18"/>
      <c r="JX3" s="18"/>
      <c r="JY3" s="18"/>
      <c r="JZ3" s="18"/>
      <c r="KA3" s="18"/>
      <c r="KB3" s="18"/>
      <c r="KC3" s="18"/>
      <c r="KD3" s="18"/>
      <c r="KE3" s="26">
        <v>1.0</v>
      </c>
      <c r="KF3" s="18"/>
      <c r="KG3" s="18"/>
      <c r="KH3" s="18"/>
      <c r="KI3" s="18"/>
      <c r="KJ3" s="18"/>
      <c r="KK3" s="18"/>
      <c r="KL3" s="18"/>
      <c r="KM3" s="18"/>
      <c r="KN3" s="18"/>
      <c r="KO3" s="18"/>
      <c r="KP3" s="18"/>
      <c r="KQ3" s="18"/>
      <c r="KR3" s="83"/>
      <c r="KS3" s="18"/>
      <c r="KT3" s="18"/>
      <c r="KU3" s="26">
        <v>1.0</v>
      </c>
      <c r="KV3" s="18"/>
      <c r="KW3" s="18"/>
    </row>
    <row r="4">
      <c r="A4" s="28">
        <v>4.0</v>
      </c>
      <c r="B4" s="28">
        <f t="shared" si="1"/>
        <v>14</v>
      </c>
      <c r="C4" s="28" t="s">
        <v>2342</v>
      </c>
      <c r="D4" s="29" t="s">
        <v>2352</v>
      </c>
      <c r="E4" s="30"/>
      <c r="F4" s="41" t="s">
        <v>2644</v>
      </c>
      <c r="G4" s="29" t="s">
        <v>2354</v>
      </c>
      <c r="H4" s="18"/>
      <c r="I4" s="18"/>
      <c r="J4" s="18"/>
      <c r="K4" s="18"/>
      <c r="L4" s="18"/>
      <c r="M4" s="83"/>
      <c r="N4" s="83"/>
      <c r="O4" s="83"/>
      <c r="P4" s="18"/>
      <c r="Q4" s="26"/>
      <c r="R4" s="26"/>
      <c r="S4" s="26"/>
      <c r="T4" s="26">
        <v>1.0</v>
      </c>
      <c r="U4" s="18"/>
      <c r="V4" s="18"/>
      <c r="W4" s="18"/>
      <c r="X4" s="18"/>
      <c r="Y4" s="18"/>
      <c r="Z4" s="18"/>
      <c r="AA4" s="26">
        <v>1.0</v>
      </c>
      <c r="AB4" s="18"/>
      <c r="AC4" s="18"/>
      <c r="AD4" s="26">
        <v>1.0</v>
      </c>
      <c r="AE4" s="18"/>
      <c r="AF4" s="18"/>
      <c r="AG4" s="18"/>
      <c r="AH4" s="18"/>
      <c r="AI4" s="18"/>
      <c r="AJ4" s="83"/>
      <c r="AK4" s="18"/>
      <c r="AL4" s="83"/>
      <c r="AM4" s="18"/>
      <c r="AN4" s="18"/>
      <c r="AO4" s="18"/>
      <c r="AP4" s="18"/>
      <c r="AQ4" s="18"/>
      <c r="AR4" s="26">
        <v>1.0</v>
      </c>
      <c r="AS4" s="18"/>
      <c r="AT4" s="18"/>
      <c r="AU4" s="18"/>
      <c r="AV4" s="18"/>
      <c r="AW4" s="77"/>
      <c r="AX4" s="77"/>
      <c r="AY4" s="26">
        <v>1.0</v>
      </c>
      <c r="AZ4" s="26"/>
      <c r="BA4" s="18"/>
      <c r="BB4" s="26">
        <v>1.0</v>
      </c>
      <c r="BC4" s="26"/>
      <c r="BD4" s="18"/>
      <c r="BE4" s="18"/>
      <c r="BF4" s="18"/>
      <c r="BG4" s="18"/>
      <c r="BH4" s="18"/>
      <c r="BI4" s="18"/>
      <c r="BJ4" s="83"/>
      <c r="BK4" s="18"/>
      <c r="BL4" s="26">
        <v>1.0</v>
      </c>
      <c r="BM4" s="18"/>
      <c r="BN4" s="83"/>
      <c r="BO4" s="83"/>
      <c r="BP4" s="18"/>
      <c r="BQ4" s="18"/>
      <c r="BR4" s="18"/>
      <c r="BS4" s="18"/>
      <c r="BT4" s="18"/>
      <c r="BU4" s="18"/>
      <c r="BV4" s="18"/>
      <c r="BW4" s="18"/>
      <c r="BX4" s="18"/>
      <c r="BY4" s="18"/>
      <c r="BZ4" s="83"/>
      <c r="CA4" s="18"/>
      <c r="CB4" s="18"/>
      <c r="CC4" s="18"/>
      <c r="CD4" s="18"/>
      <c r="CE4" s="83"/>
      <c r="CF4" s="18"/>
      <c r="CG4" s="18"/>
      <c r="CH4" s="18"/>
      <c r="CI4" s="18"/>
      <c r="CJ4" s="18"/>
      <c r="CK4" s="18"/>
      <c r="CL4" s="18"/>
      <c r="CM4" s="18"/>
      <c r="CN4" s="18"/>
      <c r="CO4" s="18"/>
      <c r="CP4" s="18"/>
      <c r="CQ4" s="18"/>
      <c r="CR4" s="18"/>
      <c r="CS4" s="18"/>
      <c r="CU4" s="18"/>
      <c r="CV4" s="18"/>
      <c r="CW4" s="26">
        <v>1.0</v>
      </c>
      <c r="CX4" s="18"/>
      <c r="CY4" s="18"/>
      <c r="CZ4" s="18"/>
      <c r="DA4" s="18"/>
      <c r="DB4" s="18"/>
      <c r="DC4" s="18"/>
      <c r="DD4" s="18"/>
      <c r="DE4" s="83"/>
      <c r="DF4" s="83"/>
      <c r="DG4" s="83"/>
      <c r="DH4" s="83"/>
      <c r="DI4" s="83"/>
      <c r="DJ4" s="83"/>
      <c r="DK4" s="18"/>
      <c r="DL4" s="18"/>
      <c r="DM4" s="18"/>
      <c r="DN4" s="83"/>
      <c r="DO4" s="18"/>
      <c r="DP4" s="18"/>
      <c r="DQ4" s="18"/>
      <c r="DR4" s="83"/>
      <c r="DS4" s="18"/>
      <c r="DT4" s="18"/>
      <c r="DU4" s="83"/>
      <c r="DV4" s="83"/>
      <c r="DW4" s="18"/>
      <c r="DX4" s="18"/>
      <c r="DY4" s="18"/>
      <c r="DZ4" s="83"/>
      <c r="EA4" s="18"/>
      <c r="EB4" s="83"/>
      <c r="EC4" s="18"/>
      <c r="ED4" s="83"/>
      <c r="EE4" s="18"/>
      <c r="EF4" s="18"/>
      <c r="EG4" s="18"/>
      <c r="EH4" s="18"/>
      <c r="EI4" s="18"/>
      <c r="EJ4" s="18"/>
      <c r="EK4" s="18"/>
      <c r="EL4" s="18"/>
      <c r="EM4" s="18"/>
      <c r="EN4" s="18"/>
      <c r="EO4" s="18"/>
      <c r="EP4" s="18"/>
      <c r="EQ4" s="18"/>
      <c r="ER4" s="18"/>
      <c r="ES4" s="18"/>
      <c r="ET4" s="18"/>
      <c r="EU4" s="18"/>
      <c r="EV4" s="18"/>
      <c r="EW4" s="18"/>
      <c r="EX4" s="18"/>
      <c r="EY4" s="18"/>
      <c r="EZ4" s="18"/>
      <c r="FA4" s="18"/>
      <c r="FB4" s="26"/>
      <c r="FC4" s="18"/>
      <c r="FD4" s="18"/>
      <c r="FE4" s="18"/>
      <c r="FF4" s="18"/>
      <c r="FG4" s="18"/>
      <c r="FH4" s="18"/>
      <c r="FI4" s="18"/>
      <c r="FJ4" s="18"/>
      <c r="FK4" s="18"/>
      <c r="FL4" s="18"/>
      <c r="FM4" s="18"/>
      <c r="FN4" s="18"/>
      <c r="FO4" s="18"/>
      <c r="FP4" s="18"/>
      <c r="FQ4" s="78">
        <v>1.0</v>
      </c>
      <c r="FR4" s="18"/>
      <c r="FS4" s="84"/>
      <c r="FT4" s="26">
        <v>1.0</v>
      </c>
      <c r="FU4" s="18"/>
      <c r="FV4" s="18"/>
      <c r="FW4" s="18"/>
      <c r="FX4" s="18"/>
      <c r="FY4" s="18"/>
      <c r="FZ4" s="26">
        <v>1.0</v>
      </c>
      <c r="GA4" s="18"/>
      <c r="GB4" s="84"/>
      <c r="GC4" s="18"/>
      <c r="GD4" s="18"/>
      <c r="GE4" s="18"/>
      <c r="GF4" s="18"/>
      <c r="GG4" s="84"/>
      <c r="GH4" s="18"/>
      <c r="GI4" s="18"/>
      <c r="GJ4" s="18"/>
      <c r="GK4" s="18"/>
      <c r="GL4" s="18"/>
      <c r="GM4" s="18"/>
      <c r="GN4" s="18"/>
      <c r="GO4" s="83"/>
      <c r="GP4" s="18"/>
      <c r="GQ4" s="18"/>
      <c r="GR4" s="18"/>
      <c r="GS4" s="18"/>
      <c r="GT4" s="18"/>
      <c r="GU4" s="18"/>
      <c r="GV4" s="84"/>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26">
        <v>1.0</v>
      </c>
      <c r="HY4" s="18"/>
      <c r="HZ4" s="18"/>
      <c r="IA4" s="18"/>
      <c r="IB4" s="26">
        <v>1.0</v>
      </c>
      <c r="IC4" s="18"/>
      <c r="ID4" s="18"/>
      <c r="IE4" s="18"/>
      <c r="IF4" s="18"/>
      <c r="IG4" s="18"/>
      <c r="IH4" s="18"/>
      <c r="II4" s="18"/>
      <c r="IJ4" s="18"/>
      <c r="IK4" s="18"/>
      <c r="IL4" s="83"/>
      <c r="IM4" s="18"/>
      <c r="IN4" s="83"/>
      <c r="IO4" s="18"/>
      <c r="IP4" s="18"/>
      <c r="IQ4" s="26"/>
      <c r="IR4" s="18"/>
      <c r="IS4" s="18"/>
      <c r="IT4" s="18"/>
      <c r="IU4" s="18"/>
      <c r="IV4" s="18"/>
      <c r="IW4" s="18"/>
      <c r="IX4" s="18"/>
      <c r="IY4" s="18"/>
      <c r="IZ4" s="18"/>
      <c r="JA4" s="18"/>
      <c r="JB4" s="18"/>
      <c r="JC4" s="18"/>
      <c r="JD4" s="18"/>
      <c r="JE4" s="18"/>
      <c r="JF4" s="18"/>
      <c r="JG4" s="18"/>
      <c r="JH4" s="18"/>
      <c r="JI4" s="18"/>
      <c r="JJ4" s="18"/>
      <c r="JK4" s="18"/>
      <c r="JL4" s="18"/>
      <c r="JM4" s="18"/>
      <c r="JN4" s="18"/>
      <c r="JO4" s="18"/>
      <c r="JP4" s="18"/>
      <c r="JQ4" s="18"/>
      <c r="JR4" s="18"/>
      <c r="JS4" s="18"/>
      <c r="JT4" s="18"/>
      <c r="JU4" s="18"/>
      <c r="JV4" s="18"/>
      <c r="JW4" s="18"/>
      <c r="JX4" s="18"/>
      <c r="JY4" s="18"/>
      <c r="JZ4" s="18"/>
      <c r="KA4" s="18"/>
      <c r="KB4" s="18"/>
      <c r="KC4" s="18"/>
      <c r="KD4" s="18"/>
      <c r="KE4" s="18"/>
      <c r="KF4" s="18"/>
      <c r="KG4" s="18"/>
      <c r="KH4" s="18"/>
      <c r="KI4" s="18"/>
      <c r="KJ4" s="18"/>
      <c r="KK4" s="18"/>
      <c r="KL4" s="18"/>
      <c r="KM4" s="18"/>
      <c r="KN4" s="18"/>
      <c r="KO4" s="18"/>
      <c r="KP4" s="18"/>
      <c r="KQ4" s="18"/>
      <c r="KR4" s="83"/>
      <c r="KS4" s="18"/>
      <c r="KT4" s="18"/>
      <c r="KU4" s="26">
        <v>1.0</v>
      </c>
      <c r="KV4" s="18"/>
      <c r="KW4" s="18"/>
    </row>
    <row r="5">
      <c r="A5" s="28">
        <v>6.0</v>
      </c>
      <c r="B5" s="28">
        <f t="shared" si="1"/>
        <v>11</v>
      </c>
      <c r="C5" s="28" t="s">
        <v>2342</v>
      </c>
      <c r="D5" s="29" t="s">
        <v>2358</v>
      </c>
      <c r="E5" s="30"/>
      <c r="F5" s="29" t="s">
        <v>2359</v>
      </c>
      <c r="G5" s="29" t="s">
        <v>2360</v>
      </c>
      <c r="H5" s="18"/>
      <c r="I5" s="18"/>
      <c r="J5" s="18"/>
      <c r="K5" s="18"/>
      <c r="L5" s="18"/>
      <c r="M5" s="83"/>
      <c r="N5" s="83"/>
      <c r="O5" s="83"/>
      <c r="P5" s="18"/>
      <c r="Q5" s="18"/>
      <c r="R5" s="18"/>
      <c r="S5" s="18"/>
      <c r="T5" s="18"/>
      <c r="U5" s="26">
        <v>1.0</v>
      </c>
      <c r="V5" s="18"/>
      <c r="W5" s="18"/>
      <c r="X5" s="18"/>
      <c r="Y5" s="18"/>
      <c r="Z5" s="18"/>
      <c r="AA5" s="18"/>
      <c r="AB5" s="18"/>
      <c r="AC5" s="26"/>
      <c r="AD5" s="18"/>
      <c r="AE5" s="18"/>
      <c r="AF5" s="18"/>
      <c r="AG5" s="18"/>
      <c r="AH5" s="18"/>
      <c r="AI5" s="18"/>
      <c r="AJ5" s="83"/>
      <c r="AK5" s="18"/>
      <c r="AL5" s="83"/>
      <c r="AM5" s="18"/>
      <c r="AN5" s="18"/>
      <c r="AO5" s="18"/>
      <c r="AP5" s="18"/>
      <c r="AQ5" s="18"/>
      <c r="AR5" s="18"/>
      <c r="AS5" s="18"/>
      <c r="AT5" s="18"/>
      <c r="AU5" s="18"/>
      <c r="AV5" s="18"/>
      <c r="AW5" s="83"/>
      <c r="AX5" s="83"/>
      <c r="AY5" s="18"/>
      <c r="AZ5" s="26">
        <v>1.0</v>
      </c>
      <c r="BA5" s="18"/>
      <c r="BB5" s="18"/>
      <c r="BC5" s="18"/>
      <c r="BD5" s="18"/>
      <c r="BE5" s="18"/>
      <c r="BF5" s="18"/>
      <c r="BG5" s="18"/>
      <c r="BH5" s="18"/>
      <c r="BI5" s="18"/>
      <c r="BJ5" s="83"/>
      <c r="BK5" s="18"/>
      <c r="BL5" s="18"/>
      <c r="BM5" s="18"/>
      <c r="BN5" s="83"/>
      <c r="BO5" s="83"/>
      <c r="BP5" s="18"/>
      <c r="BQ5" s="18"/>
      <c r="BR5" s="18"/>
      <c r="BS5" s="18"/>
      <c r="BT5" s="18"/>
      <c r="BU5" s="18"/>
      <c r="BV5" s="18"/>
      <c r="BW5" s="18"/>
      <c r="BY5" s="18"/>
      <c r="BZ5" s="83"/>
      <c r="CA5" s="18"/>
      <c r="CB5" s="18"/>
      <c r="CC5" s="18"/>
      <c r="CD5" s="18"/>
      <c r="CE5" s="77"/>
      <c r="CF5" s="18"/>
      <c r="CG5" s="18"/>
      <c r="CH5" s="18"/>
      <c r="CI5" s="18"/>
      <c r="CJ5" s="18"/>
      <c r="CK5" s="18"/>
      <c r="CL5" s="18"/>
      <c r="CM5" s="18"/>
      <c r="CN5" s="18"/>
      <c r="CO5" s="18"/>
      <c r="CP5" s="18"/>
      <c r="CQ5" s="18"/>
      <c r="CR5" s="18"/>
      <c r="CS5" s="18"/>
      <c r="CU5" s="18"/>
      <c r="CV5" s="18"/>
      <c r="CW5" s="18"/>
      <c r="CX5" s="18"/>
      <c r="CY5" s="18"/>
      <c r="CZ5" s="18"/>
      <c r="DA5" s="18"/>
      <c r="DB5" s="18"/>
      <c r="DC5" s="18"/>
      <c r="DD5" s="18"/>
      <c r="DE5" s="83"/>
      <c r="DF5" s="83"/>
      <c r="DG5" s="83"/>
      <c r="DH5" s="83"/>
      <c r="DI5" s="83"/>
      <c r="DJ5" s="83"/>
      <c r="DK5" s="18"/>
      <c r="DL5" s="18"/>
      <c r="DM5" s="18"/>
      <c r="DN5" s="83"/>
      <c r="DO5" s="18"/>
      <c r="DP5" s="18"/>
      <c r="DQ5" s="18"/>
      <c r="DR5" s="83"/>
      <c r="DS5" s="18"/>
      <c r="DT5" s="18"/>
      <c r="DU5" s="83"/>
      <c r="DV5" s="83"/>
      <c r="DW5" s="18"/>
      <c r="DX5" s="18"/>
      <c r="DY5" s="18"/>
      <c r="DZ5" s="83"/>
      <c r="EA5" s="18"/>
      <c r="EB5" s="83"/>
      <c r="EC5" s="18"/>
      <c r="ED5" s="83"/>
      <c r="EE5" s="18"/>
      <c r="EF5" s="18"/>
      <c r="EG5" s="18"/>
      <c r="EH5" s="18"/>
      <c r="EI5" s="18"/>
      <c r="EJ5" s="26">
        <v>1.0</v>
      </c>
      <c r="EK5" s="18"/>
      <c r="EL5" s="18"/>
      <c r="EM5" s="18"/>
      <c r="EN5" s="18"/>
      <c r="EO5" s="26">
        <v>1.0</v>
      </c>
      <c r="EP5" s="18"/>
      <c r="EQ5" s="18"/>
      <c r="ER5" s="18"/>
      <c r="ES5" s="18"/>
      <c r="ET5" s="18"/>
      <c r="EU5" s="18"/>
      <c r="EV5" s="18"/>
      <c r="EW5" s="18"/>
      <c r="EX5" s="18"/>
      <c r="EY5" s="18"/>
      <c r="EZ5" s="18"/>
      <c r="FA5" s="18"/>
      <c r="FB5" s="26">
        <v>1.0</v>
      </c>
      <c r="FC5" s="18"/>
      <c r="FD5" s="18"/>
      <c r="FE5" s="18"/>
      <c r="FF5" s="18"/>
      <c r="FG5" s="18"/>
      <c r="FH5" s="18"/>
      <c r="FI5" s="18"/>
      <c r="FJ5" s="18"/>
      <c r="FK5" s="18"/>
      <c r="FL5" s="18"/>
      <c r="FM5" s="18"/>
      <c r="FN5" s="18"/>
      <c r="FO5" s="18"/>
      <c r="FP5" s="18"/>
      <c r="FQ5" s="84"/>
      <c r="FR5" s="18"/>
      <c r="FS5" s="84"/>
      <c r="FT5" s="18"/>
      <c r="FU5" s="18"/>
      <c r="FV5" s="18"/>
      <c r="FW5" s="18"/>
      <c r="FX5" s="18"/>
      <c r="FY5" s="26">
        <v>1.0</v>
      </c>
      <c r="FZ5" s="18"/>
      <c r="GA5" s="18"/>
      <c r="GB5" s="84"/>
      <c r="GC5" s="18"/>
      <c r="GD5" s="26">
        <v>1.0</v>
      </c>
      <c r="GE5" s="18"/>
      <c r="GF5" s="18"/>
      <c r="GG5" s="84"/>
      <c r="GH5" s="18"/>
      <c r="GI5" s="18"/>
      <c r="GJ5" s="18"/>
      <c r="GK5" s="18"/>
      <c r="GL5" s="18"/>
      <c r="GM5" s="18"/>
      <c r="GN5" s="18"/>
      <c r="GO5" s="83"/>
      <c r="GP5" s="18"/>
      <c r="GQ5" s="26">
        <v>1.0</v>
      </c>
      <c r="GS5" s="18"/>
      <c r="GT5" s="18"/>
      <c r="GU5" s="18"/>
      <c r="GV5" s="84"/>
      <c r="GW5" s="18"/>
      <c r="GX5" s="18"/>
      <c r="GY5" s="18"/>
      <c r="GZ5" s="18"/>
      <c r="HA5" s="26">
        <v>1.0</v>
      </c>
      <c r="HB5" s="18"/>
      <c r="HC5" s="18"/>
      <c r="HD5" s="18"/>
      <c r="HE5" s="18"/>
      <c r="HF5" s="18"/>
      <c r="HG5" s="18"/>
      <c r="HH5" s="18"/>
      <c r="HI5" s="18"/>
      <c r="HJ5" s="18"/>
      <c r="HK5" s="18"/>
      <c r="HL5" s="18"/>
      <c r="HM5" s="18"/>
      <c r="HN5" s="18"/>
      <c r="HO5" s="18"/>
      <c r="HP5" s="18"/>
      <c r="HQ5" s="18"/>
      <c r="HR5" s="18"/>
      <c r="HS5" s="18"/>
      <c r="HT5" s="26">
        <v>1.0</v>
      </c>
      <c r="HU5" s="18"/>
      <c r="HV5" s="18"/>
      <c r="HW5" s="18"/>
      <c r="HX5" s="18"/>
      <c r="HY5" s="18"/>
      <c r="HZ5" s="18"/>
      <c r="IA5" s="18"/>
      <c r="IB5" s="18"/>
      <c r="IC5" s="18"/>
      <c r="ID5" s="18"/>
      <c r="IE5" s="18"/>
      <c r="IF5" s="18"/>
      <c r="IG5" s="18"/>
      <c r="IH5" s="18"/>
      <c r="II5" s="18"/>
      <c r="IJ5" s="18"/>
      <c r="IK5" s="18"/>
      <c r="IL5" s="83"/>
      <c r="IM5" s="18"/>
      <c r="IN5" s="83"/>
      <c r="IO5" s="18"/>
      <c r="IP5" s="18"/>
      <c r="IQ5" s="18"/>
      <c r="IR5" s="18"/>
      <c r="IS5" s="18"/>
      <c r="IT5" s="26"/>
      <c r="IU5" s="18"/>
      <c r="IV5" s="18"/>
      <c r="IW5" s="18"/>
      <c r="IX5" s="18"/>
      <c r="IY5" s="18"/>
      <c r="IZ5" s="18"/>
      <c r="JA5" s="18"/>
      <c r="JB5" s="18"/>
      <c r="JC5" s="18"/>
      <c r="JD5" s="18"/>
      <c r="JE5" s="18"/>
      <c r="JF5" s="18"/>
      <c r="JG5" s="18"/>
      <c r="JH5" s="18"/>
      <c r="JI5" s="26">
        <v>1.0</v>
      </c>
      <c r="JJ5" s="26"/>
      <c r="JK5" s="18"/>
      <c r="JL5" s="18"/>
      <c r="JM5" s="18"/>
      <c r="JN5" s="18"/>
      <c r="JO5" s="18"/>
      <c r="JP5" s="18"/>
      <c r="JQ5" s="18"/>
      <c r="JR5" s="18"/>
      <c r="JS5" s="18"/>
      <c r="JT5" s="18"/>
      <c r="JU5" s="18"/>
      <c r="JV5" s="18"/>
      <c r="JW5" s="18"/>
      <c r="JX5" s="18"/>
      <c r="JY5" s="18"/>
      <c r="JZ5" s="18"/>
      <c r="KA5" s="18"/>
      <c r="KB5" s="18"/>
      <c r="KC5" s="18"/>
      <c r="KD5" s="18"/>
      <c r="KE5" s="18"/>
      <c r="KF5" s="18"/>
      <c r="KG5" s="18"/>
      <c r="KH5" s="18"/>
      <c r="KI5" s="18"/>
      <c r="KJ5" s="18"/>
      <c r="KK5" s="18"/>
      <c r="KL5" s="18"/>
      <c r="KM5" s="18"/>
      <c r="KN5" s="18"/>
      <c r="KO5" s="18"/>
      <c r="KP5" s="18"/>
      <c r="KQ5" s="18"/>
      <c r="KR5" s="83"/>
      <c r="KS5" s="18"/>
      <c r="KT5" s="18"/>
      <c r="KU5" s="18"/>
      <c r="KV5" s="18"/>
      <c r="KW5" s="18"/>
    </row>
    <row r="6">
      <c r="A6" s="28">
        <v>7.0</v>
      </c>
      <c r="B6" s="28">
        <f t="shared" si="1"/>
        <v>12</v>
      </c>
      <c r="C6" s="28" t="s">
        <v>2342</v>
      </c>
      <c r="D6" s="29" t="s">
        <v>2365</v>
      </c>
      <c r="E6" s="30"/>
      <c r="F6" s="41" t="s">
        <v>2645</v>
      </c>
      <c r="G6" s="29" t="s">
        <v>2367</v>
      </c>
      <c r="H6" s="18"/>
      <c r="I6" s="26">
        <v>1.0</v>
      </c>
      <c r="J6" s="18"/>
      <c r="K6" s="18"/>
      <c r="L6" s="18"/>
      <c r="M6" s="83"/>
      <c r="N6" s="83"/>
      <c r="O6" s="83"/>
      <c r="P6" s="18"/>
      <c r="Q6" s="18"/>
      <c r="R6" s="18"/>
      <c r="S6" s="18"/>
      <c r="T6" s="18"/>
      <c r="U6" s="18"/>
      <c r="V6" s="18"/>
      <c r="W6" s="18"/>
      <c r="X6" s="18"/>
      <c r="Y6" s="18"/>
      <c r="Z6" s="26">
        <v>1.0</v>
      </c>
      <c r="AA6" s="18"/>
      <c r="AB6" s="18"/>
      <c r="AC6" s="18"/>
      <c r="AD6" s="18"/>
      <c r="AE6" s="18"/>
      <c r="AF6" s="18"/>
      <c r="AG6" s="18"/>
      <c r="AH6" s="18"/>
      <c r="AI6" s="18"/>
      <c r="AJ6" s="83"/>
      <c r="AK6" s="18"/>
      <c r="AL6" s="83"/>
      <c r="AM6" s="18"/>
      <c r="AN6" s="18"/>
      <c r="AO6" s="18"/>
      <c r="AP6" s="26">
        <v>1.0</v>
      </c>
      <c r="AQ6" s="18"/>
      <c r="AR6" s="18"/>
      <c r="AS6" s="18"/>
      <c r="AT6" s="18"/>
      <c r="AU6" s="18"/>
      <c r="AV6" s="18"/>
      <c r="AW6" s="83"/>
      <c r="AX6" s="83"/>
      <c r="AY6" s="18"/>
      <c r="AZ6" s="18"/>
      <c r="BA6" s="18"/>
      <c r="BB6" s="18"/>
      <c r="BC6" s="18"/>
      <c r="BD6" s="18"/>
      <c r="BE6" s="18"/>
      <c r="BF6" s="18"/>
      <c r="BG6" s="18"/>
      <c r="BH6" s="18"/>
      <c r="BI6" s="18"/>
      <c r="BJ6" s="83"/>
      <c r="BK6" s="18"/>
      <c r="BL6" s="18"/>
      <c r="BM6" s="18"/>
      <c r="BN6" s="83"/>
      <c r="BO6" s="83"/>
      <c r="BP6" s="18"/>
      <c r="BQ6" s="18"/>
      <c r="BR6" s="18"/>
      <c r="BS6" s="18"/>
      <c r="BT6" s="18"/>
      <c r="BU6" s="18"/>
      <c r="BV6" s="26">
        <v>1.0</v>
      </c>
      <c r="BW6" s="18"/>
      <c r="BX6" s="18"/>
      <c r="BY6" s="18"/>
      <c r="BZ6" s="83"/>
      <c r="CA6" s="18"/>
      <c r="CB6" s="18"/>
      <c r="CC6" s="18"/>
      <c r="CD6" s="18"/>
      <c r="CE6" s="83"/>
      <c r="CF6" s="18"/>
      <c r="CG6" s="26">
        <v>1.0</v>
      </c>
      <c r="CH6" s="18"/>
      <c r="CI6" s="18"/>
      <c r="CJ6" s="18"/>
      <c r="CK6" s="18"/>
      <c r="CL6" s="18"/>
      <c r="CM6" s="18"/>
      <c r="CN6" s="18"/>
      <c r="CO6" s="18"/>
      <c r="CP6" s="18"/>
      <c r="CQ6" s="18"/>
      <c r="CR6" s="18"/>
      <c r="CS6" s="18"/>
      <c r="CU6" s="18"/>
      <c r="CV6" s="18"/>
      <c r="CW6" s="18"/>
      <c r="CX6" s="18"/>
      <c r="CY6" s="18"/>
      <c r="CZ6" s="18"/>
      <c r="DA6" s="18"/>
      <c r="DB6" s="18"/>
      <c r="DC6" s="18"/>
      <c r="DD6" s="18"/>
      <c r="DE6" s="83"/>
      <c r="DF6" s="83"/>
      <c r="DG6" s="83"/>
      <c r="DH6" s="83"/>
      <c r="DI6" s="83"/>
      <c r="DJ6" s="83"/>
      <c r="DK6" s="18"/>
      <c r="DL6" s="18"/>
      <c r="DM6" s="18"/>
      <c r="DN6" s="83"/>
      <c r="DO6" s="18"/>
      <c r="DP6" s="18"/>
      <c r="DQ6" s="18"/>
      <c r="DR6" s="83"/>
      <c r="DS6" s="18"/>
      <c r="DT6" s="18"/>
      <c r="DU6" s="83"/>
      <c r="DV6" s="83"/>
      <c r="DW6" s="18"/>
      <c r="DX6" s="18"/>
      <c r="DY6" s="18"/>
      <c r="DZ6" s="83"/>
      <c r="EA6" s="18"/>
      <c r="EB6" s="83"/>
      <c r="EC6" s="18"/>
      <c r="ED6" s="83"/>
      <c r="EE6" s="18"/>
      <c r="EF6" s="18"/>
      <c r="EG6" s="18"/>
      <c r="EH6" s="18"/>
      <c r="EI6" s="18"/>
      <c r="EJ6" s="18"/>
      <c r="EK6" s="18"/>
      <c r="EL6" s="18"/>
      <c r="EM6" s="18"/>
      <c r="EN6" s="18"/>
      <c r="EO6" s="18"/>
      <c r="EP6" s="18"/>
      <c r="EQ6" s="18"/>
      <c r="ER6" s="18"/>
      <c r="ES6" s="18"/>
      <c r="ET6" s="18"/>
      <c r="EU6" s="18"/>
      <c r="EV6" s="18"/>
      <c r="EW6" s="18"/>
      <c r="EX6" s="26">
        <v>1.0</v>
      </c>
      <c r="EY6" s="18"/>
      <c r="EZ6" s="18"/>
      <c r="FA6" s="18"/>
      <c r="FB6" s="18"/>
      <c r="FC6" s="18"/>
      <c r="FD6" s="26">
        <v>1.0</v>
      </c>
      <c r="FE6" s="18"/>
      <c r="FF6" s="18"/>
      <c r="FG6" s="26">
        <v>1.0</v>
      </c>
      <c r="FH6" s="18"/>
      <c r="FI6" s="18"/>
      <c r="FJ6" s="18"/>
      <c r="FK6" s="18"/>
      <c r="FL6" s="18"/>
      <c r="FM6" s="18"/>
      <c r="FN6" s="18"/>
      <c r="FO6" s="18"/>
      <c r="FP6" s="18"/>
      <c r="FQ6" s="84"/>
      <c r="FR6" s="18"/>
      <c r="FS6" s="84"/>
      <c r="FT6" s="18"/>
      <c r="FU6" s="18"/>
      <c r="FV6" s="18"/>
      <c r="FW6" s="18"/>
      <c r="FX6" s="18"/>
      <c r="FY6" s="18"/>
      <c r="FZ6" s="18"/>
      <c r="GA6" s="18"/>
      <c r="GB6" s="84"/>
      <c r="GC6" s="18"/>
      <c r="GD6" s="18"/>
      <c r="GE6" s="18"/>
      <c r="GF6" s="18"/>
      <c r="GG6" s="84"/>
      <c r="GH6" s="18"/>
      <c r="GI6" s="18"/>
      <c r="GJ6" s="18"/>
      <c r="GK6" s="18"/>
      <c r="GL6" s="18"/>
      <c r="GM6" s="18"/>
      <c r="GN6" s="18"/>
      <c r="GO6" s="83"/>
      <c r="GP6" s="18"/>
      <c r="GQ6" s="18"/>
      <c r="GR6" s="18"/>
      <c r="GS6" s="18"/>
      <c r="GT6" s="26">
        <v>1.0</v>
      </c>
      <c r="GU6" s="18"/>
      <c r="GV6" s="84"/>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83"/>
      <c r="IM6" s="18"/>
      <c r="IN6" s="83"/>
      <c r="IO6" s="18"/>
      <c r="IP6" s="18"/>
      <c r="IQ6" s="18"/>
      <c r="IR6" s="18"/>
      <c r="IS6" s="18"/>
      <c r="IT6" s="18"/>
      <c r="IU6" s="18"/>
      <c r="IV6" s="18"/>
      <c r="IW6" s="26">
        <v>1.0</v>
      </c>
      <c r="IX6" s="18"/>
      <c r="IY6" s="18"/>
      <c r="IZ6" s="26">
        <v>1.0</v>
      </c>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26">
        <v>1.0</v>
      </c>
      <c r="KK6" s="18"/>
      <c r="KL6" s="18"/>
      <c r="KM6" s="18"/>
      <c r="KN6" s="18"/>
      <c r="KO6" s="18"/>
      <c r="KP6" s="18"/>
      <c r="KQ6" s="18"/>
      <c r="KR6" s="83"/>
      <c r="KS6" s="18"/>
      <c r="KT6" s="18"/>
      <c r="KU6" s="18"/>
      <c r="KV6" s="18"/>
      <c r="KW6" s="18"/>
    </row>
    <row r="7">
      <c r="A7" s="28">
        <v>8.0</v>
      </c>
      <c r="B7" s="28">
        <f t="shared" si="1"/>
        <v>13</v>
      </c>
      <c r="C7" s="28" t="s">
        <v>2332</v>
      </c>
      <c r="D7" s="29" t="s">
        <v>2372</v>
      </c>
      <c r="E7" s="30"/>
      <c r="F7" s="41" t="s">
        <v>2646</v>
      </c>
      <c r="G7" s="29" t="s">
        <v>2373</v>
      </c>
      <c r="H7" s="18"/>
      <c r="I7" s="26">
        <v>1.0</v>
      </c>
      <c r="J7" s="18"/>
      <c r="K7" s="18"/>
      <c r="L7" s="18"/>
      <c r="M7" s="83"/>
      <c r="N7" s="83"/>
      <c r="O7" s="83"/>
      <c r="P7" s="18"/>
      <c r="Q7" s="18"/>
      <c r="R7" s="18"/>
      <c r="S7" s="18"/>
      <c r="T7" s="18"/>
      <c r="U7" s="18"/>
      <c r="V7" s="18"/>
      <c r="W7" s="26">
        <v>1.0</v>
      </c>
      <c r="X7" s="18"/>
      <c r="Y7" s="18"/>
      <c r="Z7" s="18"/>
      <c r="AA7" s="18"/>
      <c r="AB7" s="18"/>
      <c r="AC7" s="18"/>
      <c r="AD7" s="18"/>
      <c r="AE7" s="18"/>
      <c r="AF7" s="18"/>
      <c r="AG7" s="18"/>
      <c r="AH7" s="18"/>
      <c r="AI7" s="18"/>
      <c r="AJ7" s="83"/>
      <c r="AK7" s="18"/>
      <c r="AL7" s="83"/>
      <c r="AM7" s="26">
        <v>1.0</v>
      </c>
      <c r="AN7" s="18"/>
      <c r="AO7" s="18"/>
      <c r="AP7" s="18"/>
      <c r="AQ7" s="18"/>
      <c r="AR7" s="18"/>
      <c r="AS7" s="18"/>
      <c r="AT7" s="18"/>
      <c r="AU7" s="18"/>
      <c r="AV7" s="26">
        <v>1.0</v>
      </c>
      <c r="AW7" s="83"/>
      <c r="AX7" s="83"/>
      <c r="AY7" s="18"/>
      <c r="AZ7" s="18"/>
      <c r="BA7" s="18"/>
      <c r="BB7" s="18"/>
      <c r="BC7" s="18"/>
      <c r="BD7" s="18"/>
      <c r="BE7" s="18"/>
      <c r="BF7" s="18"/>
      <c r="BG7" s="18"/>
      <c r="BH7" s="18"/>
      <c r="BI7" s="18"/>
      <c r="BJ7" s="83"/>
      <c r="BK7" s="18"/>
      <c r="BL7" s="18"/>
      <c r="BM7" s="18"/>
      <c r="BN7" s="83"/>
      <c r="BO7" s="83"/>
      <c r="BP7" s="26"/>
      <c r="BQ7" s="18"/>
      <c r="BR7" s="18"/>
      <c r="BS7" s="26">
        <v>1.0</v>
      </c>
      <c r="BT7" s="18"/>
      <c r="BU7" s="18"/>
      <c r="BV7" s="18"/>
      <c r="BW7" s="18"/>
      <c r="BX7" s="18"/>
      <c r="BY7" s="18"/>
      <c r="BZ7" s="83"/>
      <c r="CA7" s="18"/>
      <c r="CB7" s="26">
        <v>1.0</v>
      </c>
      <c r="CC7" s="18"/>
      <c r="CD7" s="18"/>
      <c r="CE7" s="83"/>
      <c r="CF7" s="18"/>
      <c r="CG7" s="18"/>
      <c r="CH7" s="26">
        <v>1.0</v>
      </c>
      <c r="CI7" s="26">
        <v>1.0</v>
      </c>
      <c r="CJ7" s="18"/>
      <c r="CK7" s="18"/>
      <c r="CL7" s="18"/>
      <c r="CM7" s="18"/>
      <c r="CN7" s="18"/>
      <c r="CO7" s="18"/>
      <c r="CP7" s="18"/>
      <c r="CQ7" s="18"/>
      <c r="CR7" s="18"/>
      <c r="CS7" s="18"/>
      <c r="CU7" s="18"/>
      <c r="CV7" s="18"/>
      <c r="CW7" s="18"/>
      <c r="CX7" s="18"/>
      <c r="CY7" s="18"/>
      <c r="CZ7" s="18"/>
      <c r="DA7" s="18"/>
      <c r="DB7" s="18"/>
      <c r="DC7" s="18"/>
      <c r="DD7" s="18"/>
      <c r="DE7" s="83"/>
      <c r="DF7" s="83"/>
      <c r="DG7" s="83"/>
      <c r="DH7" s="83"/>
      <c r="DI7" s="83"/>
      <c r="DJ7" s="83"/>
      <c r="DK7" s="18"/>
      <c r="DL7" s="18"/>
      <c r="DM7" s="18"/>
      <c r="DN7" s="83"/>
      <c r="DO7" s="18"/>
      <c r="DP7" s="18"/>
      <c r="DQ7" s="18"/>
      <c r="DR7" s="83"/>
      <c r="DS7" s="18"/>
      <c r="DT7" s="18"/>
      <c r="DU7" s="83"/>
      <c r="DV7" s="83"/>
      <c r="DW7" s="18"/>
      <c r="DX7" s="18"/>
      <c r="DY7" s="18"/>
      <c r="DZ7" s="77"/>
      <c r="EA7" s="18"/>
      <c r="EB7" s="83"/>
      <c r="EC7" s="18"/>
      <c r="ED7" s="83"/>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84"/>
      <c r="FR7" s="18"/>
      <c r="FS7" s="84"/>
      <c r="FT7" s="18"/>
      <c r="FU7" s="18"/>
      <c r="FV7" s="18"/>
      <c r="FW7" s="18"/>
      <c r="FX7" s="18"/>
      <c r="FY7" s="18"/>
      <c r="FZ7" s="18"/>
      <c r="GA7" s="18"/>
      <c r="GB7" s="84"/>
      <c r="GC7" s="26">
        <v>1.0</v>
      </c>
      <c r="GD7" s="18"/>
      <c r="GE7" s="26">
        <v>1.0</v>
      </c>
      <c r="GF7" s="18"/>
      <c r="GG7" s="84"/>
      <c r="GH7" s="18"/>
      <c r="GI7" s="18"/>
      <c r="GJ7" s="18"/>
      <c r="GK7" s="18"/>
      <c r="GL7" s="18"/>
      <c r="GM7" s="18"/>
      <c r="GN7" s="18"/>
      <c r="GO7" s="83"/>
      <c r="GP7" s="18"/>
      <c r="GQ7" s="18"/>
      <c r="GR7" s="26"/>
      <c r="GS7" s="18"/>
      <c r="GT7" s="18"/>
      <c r="GU7" s="18"/>
      <c r="GV7" s="84"/>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c r="HY7" s="18"/>
      <c r="HZ7" s="18"/>
      <c r="IA7" s="18"/>
      <c r="IB7" s="18"/>
      <c r="IC7" s="18"/>
      <c r="ID7" s="18"/>
      <c r="IE7" s="18"/>
      <c r="IF7" s="18"/>
      <c r="IG7" s="18"/>
      <c r="IH7" s="18"/>
      <c r="II7" s="18"/>
      <c r="IJ7" s="18"/>
      <c r="IK7" s="18"/>
      <c r="IL7" s="83"/>
      <c r="IM7" s="18"/>
      <c r="IN7" s="83"/>
      <c r="IO7" s="18"/>
      <c r="IP7" s="18"/>
      <c r="IQ7" s="18"/>
      <c r="IR7" s="18"/>
      <c r="IS7" s="18"/>
      <c r="IT7" s="18"/>
      <c r="IU7" s="18"/>
      <c r="IV7" s="18"/>
      <c r="IW7" s="18"/>
      <c r="IX7" s="18"/>
      <c r="IY7" s="18"/>
      <c r="IZ7" s="18"/>
      <c r="JA7" s="18"/>
      <c r="JB7" s="18"/>
      <c r="JC7" s="18"/>
      <c r="JD7" s="18"/>
      <c r="JE7" s="18"/>
      <c r="JF7" s="18"/>
      <c r="JG7" s="18"/>
      <c r="JH7" s="18"/>
      <c r="JI7" s="18"/>
      <c r="JJ7" s="18"/>
      <c r="JK7" s="18"/>
      <c r="JL7" s="26">
        <v>1.0</v>
      </c>
      <c r="JM7" s="18"/>
      <c r="JN7" s="18"/>
      <c r="JO7" s="18"/>
      <c r="JP7" s="18"/>
      <c r="JQ7" s="18"/>
      <c r="JR7" s="18"/>
      <c r="JS7" s="18"/>
      <c r="JT7" s="18"/>
      <c r="JU7" s="18"/>
      <c r="JV7" s="18"/>
      <c r="JW7" s="18"/>
      <c r="JX7" s="18"/>
      <c r="JY7" s="18"/>
      <c r="JZ7" s="18"/>
      <c r="KA7" s="18"/>
      <c r="KB7" s="18"/>
      <c r="KC7" s="18"/>
      <c r="KD7" s="18"/>
      <c r="KE7" s="18"/>
      <c r="KF7" s="18"/>
      <c r="KG7" s="18"/>
      <c r="KH7" s="18"/>
      <c r="KI7" s="18"/>
      <c r="KJ7" s="18"/>
      <c r="KK7" s="18"/>
      <c r="KL7" s="18"/>
      <c r="KM7" s="18"/>
      <c r="KN7" s="18"/>
      <c r="KO7" s="18"/>
      <c r="KP7" s="18"/>
      <c r="KQ7" s="18"/>
      <c r="KR7" s="83"/>
      <c r="KS7" s="26">
        <v>1.0</v>
      </c>
      <c r="KT7" s="26">
        <v>1.0</v>
      </c>
      <c r="KU7" s="18"/>
      <c r="KV7" s="18"/>
      <c r="KW7" s="18"/>
    </row>
    <row r="8">
      <c r="A8" s="28">
        <v>9.0</v>
      </c>
      <c r="B8" s="28">
        <f t="shared" si="1"/>
        <v>14</v>
      </c>
      <c r="C8" s="28" t="s">
        <v>2332</v>
      </c>
      <c r="D8" s="29" t="s">
        <v>2379</v>
      </c>
      <c r="E8" s="29" t="s">
        <v>2380</v>
      </c>
      <c r="F8" s="29" t="s">
        <v>2381</v>
      </c>
      <c r="G8" s="29" t="s">
        <v>2382</v>
      </c>
      <c r="H8" s="18"/>
      <c r="I8" s="18"/>
      <c r="J8" s="18"/>
      <c r="K8" s="26">
        <v>1.0</v>
      </c>
      <c r="L8" s="18"/>
      <c r="M8" s="83"/>
      <c r="N8" s="83"/>
      <c r="O8" s="83"/>
      <c r="P8" s="18"/>
      <c r="Q8" s="26">
        <v>1.0</v>
      </c>
      <c r="R8" s="18"/>
      <c r="S8" s="18"/>
      <c r="T8" s="18"/>
      <c r="U8" s="18"/>
      <c r="V8" s="18"/>
      <c r="W8" s="18"/>
      <c r="X8" s="18"/>
      <c r="Y8" s="18"/>
      <c r="Z8" s="18"/>
      <c r="AA8" s="18"/>
      <c r="AB8" s="18"/>
      <c r="AC8" s="18"/>
      <c r="AD8" s="18"/>
      <c r="AE8" s="18"/>
      <c r="AF8" s="18"/>
      <c r="AG8" s="26"/>
      <c r="AH8" s="18"/>
      <c r="AI8" s="18"/>
      <c r="AJ8" s="83"/>
      <c r="AK8" s="18"/>
      <c r="AL8" s="83"/>
      <c r="AM8" s="18"/>
      <c r="AN8" s="18"/>
      <c r="AO8" s="18"/>
      <c r="AP8" s="18"/>
      <c r="AQ8" s="18"/>
      <c r="AR8" s="18"/>
      <c r="AS8" s="18"/>
      <c r="AT8" s="18"/>
      <c r="AU8" s="18"/>
      <c r="AV8" s="18"/>
      <c r="AW8" s="83"/>
      <c r="AX8" s="83"/>
      <c r="AY8" s="26"/>
      <c r="AZ8" s="18"/>
      <c r="BA8" s="18"/>
      <c r="BB8" s="18"/>
      <c r="BC8" s="18"/>
      <c r="BD8" s="18"/>
      <c r="BE8" s="26"/>
      <c r="BF8" s="18"/>
      <c r="BG8" s="18"/>
      <c r="BH8" s="18"/>
      <c r="BI8" s="18"/>
      <c r="BJ8" s="77"/>
      <c r="BK8" s="26"/>
      <c r="BL8" s="18"/>
      <c r="BM8" s="18"/>
      <c r="BN8" s="83"/>
      <c r="BO8" s="83"/>
      <c r="BP8" s="18"/>
      <c r="BQ8" s="18"/>
      <c r="BR8" s="18"/>
      <c r="BS8" s="26"/>
      <c r="BT8" s="18"/>
      <c r="BU8" s="18"/>
      <c r="BV8" s="18"/>
      <c r="BW8" s="18"/>
      <c r="BY8" s="18"/>
      <c r="BZ8" s="83"/>
      <c r="CA8" s="18"/>
      <c r="CB8" s="18"/>
      <c r="CC8" s="18"/>
      <c r="CD8" s="18"/>
      <c r="CE8" s="83"/>
      <c r="CF8" s="18"/>
      <c r="CG8" s="18"/>
      <c r="CH8" s="18"/>
      <c r="CI8" s="18"/>
      <c r="CJ8" s="18"/>
      <c r="CK8" s="18"/>
      <c r="CL8" s="18"/>
      <c r="CM8" s="18"/>
      <c r="CN8" s="18"/>
      <c r="CO8" s="18"/>
      <c r="CP8" s="18"/>
      <c r="CQ8" s="26">
        <v>1.0</v>
      </c>
      <c r="CR8" s="18"/>
      <c r="CS8" s="18"/>
      <c r="CU8" s="18"/>
      <c r="CV8" s="18"/>
      <c r="CW8" s="26">
        <v>1.0</v>
      </c>
      <c r="CX8" s="18"/>
      <c r="CY8" s="18"/>
      <c r="CZ8" s="18"/>
      <c r="DA8" s="18"/>
      <c r="DB8" s="18"/>
      <c r="DC8" s="18"/>
      <c r="DD8" s="18"/>
      <c r="DE8" s="83"/>
      <c r="DF8" s="83"/>
      <c r="DG8" s="83"/>
      <c r="DH8" s="83"/>
      <c r="DI8" s="83"/>
      <c r="DJ8" s="83"/>
      <c r="DK8" s="18"/>
      <c r="DL8" s="18"/>
      <c r="DM8" s="18"/>
      <c r="DN8" s="83"/>
      <c r="DO8" s="18"/>
      <c r="DP8" s="18"/>
      <c r="DQ8" s="18"/>
      <c r="DR8" s="83"/>
      <c r="DS8" s="18"/>
      <c r="DT8" s="18"/>
      <c r="DU8" s="83"/>
      <c r="DV8" s="83"/>
      <c r="DW8" s="26">
        <v>1.0</v>
      </c>
      <c r="DX8" s="18"/>
      <c r="DY8" s="18"/>
      <c r="DZ8" s="77"/>
      <c r="EA8" s="18"/>
      <c r="EB8" s="83"/>
      <c r="EC8" s="18"/>
      <c r="ED8" s="83"/>
      <c r="EE8" s="18"/>
      <c r="EF8" s="18"/>
      <c r="EG8" s="18"/>
      <c r="EH8" s="18"/>
      <c r="EI8" s="18"/>
      <c r="EJ8" s="18"/>
      <c r="EK8" s="26">
        <v>1.0</v>
      </c>
      <c r="EL8" s="18"/>
      <c r="EM8" s="18"/>
      <c r="EN8" s="18"/>
      <c r="EO8" s="18"/>
      <c r="EP8" s="18"/>
      <c r="EQ8" s="18"/>
      <c r="ER8" s="18"/>
      <c r="ES8" s="18"/>
      <c r="ET8" s="18"/>
      <c r="EU8" s="18"/>
      <c r="EV8" s="18"/>
      <c r="EW8" s="18"/>
      <c r="EX8" s="18"/>
      <c r="EY8" s="26">
        <v>1.0</v>
      </c>
      <c r="EZ8" s="18"/>
      <c r="FA8" s="18"/>
      <c r="FB8" s="18"/>
      <c r="FC8" s="18"/>
      <c r="FD8" s="18"/>
      <c r="FE8" s="18"/>
      <c r="FF8" s="18"/>
      <c r="FG8" s="18"/>
      <c r="FH8" s="18"/>
      <c r="FI8" s="18"/>
      <c r="FJ8" s="18"/>
      <c r="FK8" s="18"/>
      <c r="FL8" s="18"/>
      <c r="FM8" s="18"/>
      <c r="FN8" s="18"/>
      <c r="FO8" s="18"/>
      <c r="FP8" s="18"/>
      <c r="FQ8" s="78"/>
      <c r="FR8" s="18"/>
      <c r="FS8" s="84"/>
      <c r="FT8" s="18"/>
      <c r="FU8" s="18"/>
      <c r="FV8" s="18"/>
      <c r="FW8" s="18"/>
      <c r="FX8" s="18"/>
      <c r="FY8" s="26"/>
      <c r="FZ8" s="18"/>
      <c r="GA8" s="18"/>
      <c r="GB8" s="84"/>
      <c r="GC8" s="26"/>
      <c r="GD8" s="18"/>
      <c r="GE8" s="18"/>
      <c r="GF8" s="18"/>
      <c r="GG8" s="84"/>
      <c r="GH8" s="26"/>
      <c r="GI8" s="18"/>
      <c r="GJ8" s="18"/>
      <c r="GK8" s="18"/>
      <c r="GL8" s="18"/>
      <c r="GM8" s="18"/>
      <c r="GN8" s="18"/>
      <c r="GO8" s="83"/>
      <c r="GP8" s="18"/>
      <c r="GQ8" s="18"/>
      <c r="GR8" s="18"/>
      <c r="GS8" s="18"/>
      <c r="GT8" s="18"/>
      <c r="GU8" s="18"/>
      <c r="GV8" s="84"/>
      <c r="GW8" s="26">
        <v>1.0</v>
      </c>
      <c r="GX8" s="18"/>
      <c r="GY8" s="18"/>
      <c r="GZ8" s="18"/>
      <c r="HA8" s="18"/>
      <c r="HB8" s="18"/>
      <c r="HC8" s="18"/>
      <c r="HD8" s="18"/>
      <c r="HE8" s="18"/>
      <c r="HF8" s="18"/>
      <c r="HG8" s="18"/>
      <c r="HH8" s="18"/>
      <c r="HI8" s="18"/>
      <c r="HJ8" s="18"/>
      <c r="HK8" s="26"/>
      <c r="HL8" s="26">
        <v>1.0</v>
      </c>
      <c r="HM8" s="18"/>
      <c r="HN8" s="18"/>
      <c r="HO8" s="18"/>
      <c r="HP8" s="18"/>
      <c r="HQ8" s="18"/>
      <c r="HR8" s="18"/>
      <c r="HS8" s="18"/>
      <c r="HT8" s="18"/>
      <c r="HU8" s="18"/>
      <c r="HV8" s="18"/>
      <c r="HW8" s="18"/>
      <c r="HX8" s="18"/>
      <c r="HY8" s="18"/>
      <c r="HZ8" s="18"/>
      <c r="IA8" s="18"/>
      <c r="IB8" s="18"/>
      <c r="IC8" s="18"/>
      <c r="ID8" s="18"/>
      <c r="IE8" s="18"/>
      <c r="IF8" s="26">
        <v>1.0</v>
      </c>
      <c r="IG8" s="18"/>
      <c r="IH8" s="18"/>
      <c r="II8" s="26"/>
      <c r="IJ8" s="18"/>
      <c r="IK8" s="18"/>
      <c r="IL8" s="83"/>
      <c r="IM8" s="18"/>
      <c r="IN8" s="83"/>
      <c r="IO8" s="18"/>
      <c r="IP8" s="18"/>
      <c r="IQ8" s="18"/>
      <c r="IR8" s="18"/>
      <c r="IS8" s="18"/>
      <c r="IT8" s="18"/>
      <c r="IU8" s="18"/>
      <c r="IV8" s="18"/>
      <c r="IW8" s="18"/>
      <c r="IX8" s="18"/>
      <c r="IY8" s="18"/>
      <c r="IZ8" s="18"/>
      <c r="JA8" s="18"/>
      <c r="JB8" s="18"/>
      <c r="JC8" s="18"/>
      <c r="JD8" s="18"/>
      <c r="JE8" s="18"/>
      <c r="JF8" s="18"/>
      <c r="JG8" s="18"/>
      <c r="JH8" s="18"/>
      <c r="JI8" s="18"/>
      <c r="JJ8" s="26">
        <v>1.0</v>
      </c>
      <c r="JK8" s="18"/>
      <c r="JL8" s="26">
        <v>1.0</v>
      </c>
      <c r="JM8" s="18"/>
      <c r="JN8" s="18"/>
      <c r="JO8" s="26">
        <v>1.0</v>
      </c>
      <c r="JP8" s="18"/>
      <c r="JQ8" s="18"/>
      <c r="JR8" s="18"/>
      <c r="JS8" s="18"/>
      <c r="JT8" s="18"/>
      <c r="JU8" s="18"/>
      <c r="JV8" s="26">
        <v>1.0</v>
      </c>
      <c r="JW8" s="18"/>
      <c r="JX8" s="18"/>
      <c r="JY8" s="18"/>
      <c r="JZ8" s="18"/>
      <c r="KA8" s="18"/>
      <c r="KB8" s="18"/>
      <c r="KC8" s="18"/>
      <c r="KD8" s="18"/>
      <c r="KE8" s="18"/>
      <c r="KF8" s="18"/>
      <c r="KG8" s="18"/>
      <c r="KH8" s="18"/>
      <c r="KI8" s="18"/>
      <c r="KJ8" s="18"/>
      <c r="KK8" s="26"/>
      <c r="KL8" s="18"/>
      <c r="KM8" s="18"/>
      <c r="KN8" s="18"/>
      <c r="KO8" s="18"/>
      <c r="KP8" s="18"/>
      <c r="KQ8" s="18"/>
      <c r="KR8" s="83"/>
      <c r="KS8" s="18"/>
      <c r="KT8" s="18"/>
      <c r="KU8" s="18"/>
      <c r="KV8" s="18"/>
      <c r="KW8" s="18"/>
    </row>
    <row r="9">
      <c r="A9" s="28">
        <v>10.0</v>
      </c>
      <c r="B9" s="28">
        <f t="shared" si="1"/>
        <v>14</v>
      </c>
      <c r="C9" s="28" t="s">
        <v>2342</v>
      </c>
      <c r="D9" s="29" t="s">
        <v>2387</v>
      </c>
      <c r="E9" s="29" t="s">
        <v>2388</v>
      </c>
      <c r="F9" s="29" t="s">
        <v>2389</v>
      </c>
      <c r="G9" s="29" t="s">
        <v>2382</v>
      </c>
      <c r="H9" s="18"/>
      <c r="I9" s="18"/>
      <c r="J9" s="18"/>
      <c r="K9" s="18"/>
      <c r="L9" s="18"/>
      <c r="M9" s="83"/>
      <c r="N9" s="83"/>
      <c r="O9" s="83"/>
      <c r="P9" s="18"/>
      <c r="Q9" s="18"/>
      <c r="R9" s="18"/>
      <c r="S9" s="18"/>
      <c r="T9" s="18"/>
      <c r="U9" s="18"/>
      <c r="V9" s="18"/>
      <c r="W9" s="18"/>
      <c r="X9" s="18"/>
      <c r="Y9" s="18"/>
      <c r="Z9" s="18"/>
      <c r="AA9" s="18"/>
      <c r="AB9" s="18"/>
      <c r="AC9" s="18"/>
      <c r="AD9" s="18"/>
      <c r="AE9" s="18"/>
      <c r="AF9" s="18"/>
      <c r="AG9" s="18"/>
      <c r="AH9" s="18"/>
      <c r="AI9" s="18"/>
      <c r="AJ9" s="77"/>
      <c r="AK9" s="26">
        <v>1.0</v>
      </c>
      <c r="AL9" s="83"/>
      <c r="AM9" s="18"/>
      <c r="AN9" s="26"/>
      <c r="AO9" s="18"/>
      <c r="AP9" s="18"/>
      <c r="AQ9" s="18"/>
      <c r="AR9" s="18"/>
      <c r="AS9" s="26"/>
      <c r="AT9" s="26">
        <v>1.0</v>
      </c>
      <c r="AU9" s="18"/>
      <c r="AV9" s="18"/>
      <c r="AW9" s="83"/>
      <c r="AX9" s="83"/>
      <c r="AY9" s="18"/>
      <c r="AZ9" s="18"/>
      <c r="BA9" s="18"/>
      <c r="BB9" s="18"/>
      <c r="BC9" s="18"/>
      <c r="BD9" s="18"/>
      <c r="BE9" s="26"/>
      <c r="BF9" s="18"/>
      <c r="BG9" s="18"/>
      <c r="BH9" s="18"/>
      <c r="BI9" s="18"/>
      <c r="BJ9" s="83"/>
      <c r="BK9" s="18"/>
      <c r="BL9" s="18"/>
      <c r="BM9" s="18"/>
      <c r="BN9" s="83"/>
      <c r="BO9" s="83"/>
      <c r="BP9" s="18"/>
      <c r="BQ9" s="18"/>
      <c r="BR9" s="18"/>
      <c r="BS9" s="18"/>
      <c r="BT9" s="18"/>
      <c r="BU9" s="18"/>
      <c r="BV9" s="18"/>
      <c r="BW9" s="18"/>
      <c r="BX9" s="18"/>
      <c r="BY9" s="18"/>
      <c r="BZ9" s="83"/>
      <c r="CA9" s="18"/>
      <c r="CB9" s="18"/>
      <c r="CC9" s="18"/>
      <c r="CD9" s="18"/>
      <c r="CE9" s="83"/>
      <c r="CF9" s="18"/>
      <c r="CG9" s="18"/>
      <c r="CH9" s="18"/>
      <c r="CI9" s="18"/>
      <c r="CJ9" s="18"/>
      <c r="CK9" s="18"/>
      <c r="CL9" s="26"/>
      <c r="CM9" s="26">
        <v>1.0</v>
      </c>
      <c r="CN9" s="26">
        <v>1.0</v>
      </c>
      <c r="CO9" s="18"/>
      <c r="CP9" s="18"/>
      <c r="CQ9" s="18"/>
      <c r="CR9" s="18"/>
      <c r="CS9" s="18"/>
      <c r="CU9" s="18"/>
      <c r="CV9" s="18"/>
      <c r="CW9" s="18"/>
      <c r="CX9" s="18"/>
      <c r="CY9" s="18"/>
      <c r="CZ9" s="18"/>
      <c r="DA9" s="18"/>
      <c r="DB9" s="18"/>
      <c r="DC9" s="18"/>
      <c r="DD9" s="18"/>
      <c r="DE9" s="83"/>
      <c r="DF9" s="83"/>
      <c r="DG9" s="83"/>
      <c r="DH9" s="83"/>
      <c r="DI9" s="83"/>
      <c r="DJ9" s="83"/>
      <c r="DK9" s="18"/>
      <c r="DL9" s="26">
        <v>1.0</v>
      </c>
      <c r="DM9" s="18"/>
      <c r="DN9" s="83"/>
      <c r="DO9" s="18"/>
      <c r="DP9" s="18"/>
      <c r="DQ9" s="18"/>
      <c r="DR9" s="83"/>
      <c r="DS9" s="18"/>
      <c r="DT9" s="18"/>
      <c r="DU9" s="83"/>
      <c r="DV9" s="83"/>
      <c r="DW9" s="18"/>
      <c r="DX9" s="18"/>
      <c r="DY9" s="18"/>
      <c r="DZ9" s="83"/>
      <c r="EA9" s="18"/>
      <c r="EB9" s="83"/>
      <c r="EC9" s="18"/>
      <c r="ED9" s="83"/>
      <c r="EE9" s="18"/>
      <c r="EF9" s="26">
        <v>1.0</v>
      </c>
      <c r="EG9" s="18"/>
      <c r="EH9" s="18"/>
      <c r="EI9" s="26">
        <v>1.0</v>
      </c>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26">
        <v>1.0</v>
      </c>
      <c r="FN9" s="18"/>
      <c r="FO9" s="18"/>
      <c r="FP9" s="26">
        <v>1.0</v>
      </c>
      <c r="FQ9" s="84"/>
      <c r="FR9" s="18"/>
      <c r="FS9" s="84"/>
      <c r="FT9" s="18"/>
      <c r="FU9" s="18"/>
      <c r="FV9" s="26">
        <v>1.0</v>
      </c>
      <c r="FW9" s="18"/>
      <c r="FX9" s="18"/>
      <c r="FY9" s="18"/>
      <c r="FZ9" s="18"/>
      <c r="GA9" s="18"/>
      <c r="GB9" s="84"/>
      <c r="GC9" s="18"/>
      <c r="GD9" s="18"/>
      <c r="GE9" s="18"/>
      <c r="GF9" s="18"/>
      <c r="GG9" s="84"/>
      <c r="GH9" s="18"/>
      <c r="GI9" s="18"/>
      <c r="GJ9" s="18"/>
      <c r="GK9" s="18"/>
      <c r="GL9" s="18"/>
      <c r="GM9" s="18"/>
      <c r="GN9" s="18"/>
      <c r="GO9" s="83"/>
      <c r="GP9" s="18"/>
      <c r="GQ9" s="18"/>
      <c r="GR9" s="18"/>
      <c r="GS9" s="18"/>
      <c r="GT9" s="18"/>
      <c r="GU9" s="18"/>
      <c r="GV9" s="84"/>
      <c r="GW9" s="18"/>
      <c r="GX9" s="18"/>
      <c r="GY9" s="18"/>
      <c r="GZ9" s="18"/>
      <c r="HA9" s="18"/>
      <c r="HB9" s="26"/>
      <c r="HC9" s="18"/>
      <c r="HD9" s="26">
        <v>1.0</v>
      </c>
      <c r="HE9" s="26"/>
      <c r="HF9" s="26"/>
      <c r="HG9" s="18"/>
      <c r="HH9" s="18"/>
      <c r="HI9" s="18"/>
      <c r="HJ9" s="18"/>
      <c r="HK9" s="18"/>
      <c r="HL9" s="18"/>
      <c r="HM9" s="26"/>
      <c r="HN9" s="18"/>
      <c r="HO9" s="18"/>
      <c r="HP9" s="18"/>
      <c r="HQ9" s="18"/>
      <c r="HR9" s="18"/>
      <c r="HS9" s="18"/>
      <c r="HT9" s="18"/>
      <c r="HU9" s="18"/>
      <c r="HV9" s="18"/>
      <c r="HW9" s="18"/>
      <c r="HX9" s="18"/>
      <c r="HY9" s="18"/>
      <c r="HZ9" s="18"/>
      <c r="IA9" s="18"/>
      <c r="IB9" s="18"/>
      <c r="IC9" s="18"/>
      <c r="ID9" s="18"/>
      <c r="IE9" s="18"/>
      <c r="IF9" s="18"/>
      <c r="IG9" s="18"/>
      <c r="IH9" s="18"/>
      <c r="II9" s="18"/>
      <c r="IJ9" s="18"/>
      <c r="IK9" s="18"/>
      <c r="IL9" s="83"/>
      <c r="IM9" s="18"/>
      <c r="IN9" s="83"/>
      <c r="IO9" s="18"/>
      <c r="IP9" s="18"/>
      <c r="IQ9" s="18"/>
      <c r="IR9" s="18"/>
      <c r="IS9" s="18"/>
      <c r="IT9" s="18"/>
      <c r="IU9" s="18"/>
      <c r="IV9" s="18"/>
      <c r="IW9" s="18"/>
      <c r="IX9" s="18"/>
      <c r="IY9" s="26">
        <v>1.0</v>
      </c>
      <c r="IZ9" s="18"/>
      <c r="JA9" s="18"/>
      <c r="JB9" s="26">
        <v>1.0</v>
      </c>
      <c r="JC9" s="18"/>
      <c r="JD9" s="18"/>
      <c r="JE9" s="18"/>
      <c r="JF9" s="18"/>
      <c r="JG9" s="18"/>
      <c r="JH9" s="26">
        <v>1.0</v>
      </c>
      <c r="JI9" s="18"/>
      <c r="JJ9" s="18"/>
      <c r="JK9" s="18"/>
      <c r="JL9" s="18"/>
      <c r="JM9" s="18"/>
      <c r="JN9" s="18"/>
      <c r="JO9" s="18"/>
      <c r="JP9" s="18"/>
      <c r="JQ9" s="18"/>
      <c r="JR9" s="18"/>
      <c r="JS9" s="18"/>
      <c r="JT9" s="18"/>
      <c r="JU9" s="18"/>
      <c r="JV9" s="18"/>
      <c r="JW9" s="18"/>
      <c r="JX9" s="18"/>
      <c r="JY9" s="18"/>
      <c r="JZ9" s="18"/>
      <c r="KA9" s="18"/>
      <c r="KB9" s="18"/>
      <c r="KC9" s="18"/>
      <c r="KD9" s="18"/>
      <c r="KE9" s="18"/>
      <c r="KF9" s="18"/>
      <c r="KG9" s="18"/>
      <c r="KH9" s="18"/>
      <c r="KI9" s="18"/>
      <c r="KJ9" s="18"/>
      <c r="KK9" s="18"/>
      <c r="KL9" s="18"/>
      <c r="KM9" s="18"/>
      <c r="KN9" s="18"/>
      <c r="KO9" s="18"/>
      <c r="KP9" s="18"/>
      <c r="KQ9" s="18"/>
      <c r="KR9" s="83"/>
      <c r="KS9" s="18"/>
      <c r="KT9" s="18"/>
      <c r="KU9" s="18"/>
      <c r="KV9" s="18"/>
      <c r="KW9" s="18"/>
    </row>
    <row r="10">
      <c r="A10" s="28">
        <v>11.0</v>
      </c>
      <c r="B10" s="28">
        <f t="shared" si="1"/>
        <v>14</v>
      </c>
      <c r="C10" s="28" t="s">
        <v>2342</v>
      </c>
      <c r="D10" s="29" t="s">
        <v>2394</v>
      </c>
      <c r="E10" s="29" t="s">
        <v>2395</v>
      </c>
      <c r="F10" s="29" t="s">
        <v>2396</v>
      </c>
      <c r="G10" s="29" t="s">
        <v>2397</v>
      </c>
      <c r="H10" s="18"/>
      <c r="I10" s="18"/>
      <c r="J10" s="18"/>
      <c r="K10" s="18"/>
      <c r="L10" s="18"/>
      <c r="M10" s="83"/>
      <c r="N10" s="83"/>
      <c r="O10" s="83"/>
      <c r="P10" s="18"/>
      <c r="Q10" s="18"/>
      <c r="R10" s="18"/>
      <c r="S10" s="18"/>
      <c r="T10" s="18"/>
      <c r="U10" s="26"/>
      <c r="V10" s="18"/>
      <c r="W10" s="18"/>
      <c r="X10" s="18"/>
      <c r="Y10" s="26"/>
      <c r="Z10" s="18"/>
      <c r="AA10" s="18"/>
      <c r="AB10" s="26"/>
      <c r="AC10" s="18"/>
      <c r="AD10" s="26"/>
      <c r="AE10" s="26"/>
      <c r="AF10" s="18"/>
      <c r="AG10" s="18"/>
      <c r="AH10" s="18"/>
      <c r="AI10" s="18"/>
      <c r="AJ10" s="83"/>
      <c r="AK10" s="18"/>
      <c r="AL10" s="77"/>
      <c r="AM10" s="18"/>
      <c r="AN10" s="18"/>
      <c r="AO10" s="18"/>
      <c r="AP10" s="18"/>
      <c r="AQ10" s="18"/>
      <c r="AR10" s="18"/>
      <c r="AS10" s="18"/>
      <c r="AT10" s="18"/>
      <c r="AU10" s="18"/>
      <c r="AV10" s="18"/>
      <c r="AW10" s="83"/>
      <c r="AX10" s="83"/>
      <c r="AY10" s="18"/>
      <c r="AZ10" s="26">
        <v>1.0</v>
      </c>
      <c r="BA10" s="18"/>
      <c r="BB10" s="18"/>
      <c r="BC10" s="18"/>
      <c r="BD10" s="18"/>
      <c r="BE10" s="18"/>
      <c r="BF10" s="18"/>
      <c r="BG10" s="18"/>
      <c r="BH10" s="18"/>
      <c r="BI10" s="18"/>
      <c r="BJ10" s="83"/>
      <c r="BK10" s="18"/>
      <c r="BL10" s="18"/>
      <c r="BM10" s="18"/>
      <c r="BN10" s="83"/>
      <c r="BO10" s="83"/>
      <c r="BP10" s="18"/>
      <c r="BQ10" s="18"/>
      <c r="BR10" s="18"/>
      <c r="BS10" s="18"/>
      <c r="BT10" s="18"/>
      <c r="BU10" s="18"/>
      <c r="BV10" s="18"/>
      <c r="BW10" s="18"/>
      <c r="BX10" s="26">
        <v>1.0</v>
      </c>
      <c r="BY10" s="18"/>
      <c r="BZ10" s="83"/>
      <c r="CA10" s="18"/>
      <c r="CB10" s="18"/>
      <c r="CC10" s="18"/>
      <c r="CD10" s="18"/>
      <c r="CE10" s="83"/>
      <c r="CF10" s="18"/>
      <c r="CG10" s="18"/>
      <c r="CH10" s="18"/>
      <c r="CI10" s="18"/>
      <c r="CJ10" s="18"/>
      <c r="CK10" s="18"/>
      <c r="CL10" s="18"/>
      <c r="CM10" s="18"/>
      <c r="CN10" s="18"/>
      <c r="CO10" s="18"/>
      <c r="CP10" s="18"/>
      <c r="CQ10" s="18"/>
      <c r="CR10" s="18"/>
      <c r="CS10" s="18"/>
      <c r="CU10" s="18"/>
      <c r="CV10" s="18"/>
      <c r="CW10" s="18"/>
      <c r="CX10" s="18"/>
      <c r="CY10" s="18"/>
      <c r="CZ10" s="26">
        <v>1.0</v>
      </c>
      <c r="DA10" s="26">
        <v>1.0</v>
      </c>
      <c r="DB10" s="18"/>
      <c r="DC10" s="18"/>
      <c r="DD10" s="26"/>
      <c r="DE10" s="83"/>
      <c r="DF10" s="83"/>
      <c r="DG10" s="83"/>
      <c r="DH10" s="83"/>
      <c r="DI10" s="83"/>
      <c r="DJ10" s="83"/>
      <c r="DK10" s="18"/>
      <c r="DL10" s="18"/>
      <c r="DM10" s="26">
        <v>1.0</v>
      </c>
      <c r="DN10" s="83"/>
      <c r="DO10" s="18"/>
      <c r="DP10" s="18"/>
      <c r="DQ10" s="18"/>
      <c r="DR10" s="83"/>
      <c r="DS10" s="18"/>
      <c r="DT10" s="18"/>
      <c r="DU10" s="83"/>
      <c r="DV10" s="83"/>
      <c r="DW10" s="18"/>
      <c r="DX10" s="18"/>
      <c r="DY10" s="18"/>
      <c r="DZ10" s="83"/>
      <c r="EA10" s="18"/>
      <c r="EB10" s="83"/>
      <c r="EC10" s="18"/>
      <c r="ED10" s="83"/>
      <c r="EE10" s="18"/>
      <c r="EF10" s="26">
        <v>1.0</v>
      </c>
      <c r="EG10" s="18"/>
      <c r="EH10" s="18"/>
      <c r="EI10" s="18"/>
      <c r="EJ10" s="18"/>
      <c r="EK10" s="18"/>
      <c r="EL10" s="18"/>
      <c r="EM10" s="18"/>
      <c r="EN10" s="18"/>
      <c r="EO10" s="18"/>
      <c r="EP10" s="26">
        <v>1.0</v>
      </c>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84"/>
      <c r="FR10" s="18"/>
      <c r="FS10" s="84"/>
      <c r="FT10" s="18"/>
      <c r="FU10" s="18"/>
      <c r="FV10" s="18"/>
      <c r="FW10" s="18"/>
      <c r="FX10" s="18"/>
      <c r="FY10" s="18"/>
      <c r="FZ10" s="18"/>
      <c r="GA10" s="18"/>
      <c r="GB10" s="84"/>
      <c r="GC10" s="18"/>
      <c r="GD10" s="18"/>
      <c r="GE10" s="18"/>
      <c r="GF10" s="18"/>
      <c r="GG10" s="84"/>
      <c r="GH10" s="18"/>
      <c r="GI10" s="26"/>
      <c r="GJ10" s="18"/>
      <c r="GK10" s="26"/>
      <c r="GL10" s="26"/>
      <c r="GM10" s="18"/>
      <c r="GN10" s="18"/>
      <c r="GO10" s="83"/>
      <c r="GP10" s="26"/>
      <c r="GQ10" s="18"/>
      <c r="GR10" s="18"/>
      <c r="GS10" s="18"/>
      <c r="GT10" s="18"/>
      <c r="GU10" s="18"/>
      <c r="GV10" s="84"/>
      <c r="GW10" s="18"/>
      <c r="GX10" s="18"/>
      <c r="GY10" s="18"/>
      <c r="GZ10" s="18"/>
      <c r="HA10" s="18"/>
      <c r="HB10" s="26">
        <v>1.0</v>
      </c>
      <c r="HC10" s="18"/>
      <c r="HD10" s="26">
        <v>1.0</v>
      </c>
      <c r="HE10" s="26"/>
      <c r="HF10" s="18"/>
      <c r="HG10" s="18"/>
      <c r="HH10" s="18"/>
      <c r="HI10" s="26"/>
      <c r="HJ10" s="26">
        <v>1.0</v>
      </c>
      <c r="HK10" s="18"/>
      <c r="HL10" s="18"/>
      <c r="HM10" s="18"/>
      <c r="HN10" s="18"/>
      <c r="HO10" s="18"/>
      <c r="HP10" s="18"/>
      <c r="HQ10" s="18"/>
      <c r="HR10" s="18"/>
      <c r="HS10" s="18"/>
      <c r="HT10" s="18"/>
      <c r="HU10" s="26">
        <v>1.0</v>
      </c>
      <c r="HV10" s="26"/>
      <c r="HW10" s="18"/>
      <c r="HX10" s="18"/>
      <c r="HY10" s="18"/>
      <c r="HZ10" s="18"/>
      <c r="IA10" s="18"/>
      <c r="IB10" s="18"/>
      <c r="IC10" s="18"/>
      <c r="ID10" s="18"/>
      <c r="IE10" s="18"/>
      <c r="IF10" s="18"/>
      <c r="IG10" s="18"/>
      <c r="IH10" s="18"/>
      <c r="II10" s="18"/>
      <c r="IJ10" s="18"/>
      <c r="IK10" s="18"/>
      <c r="IL10" s="83"/>
      <c r="IM10" s="18"/>
      <c r="IN10" s="83"/>
      <c r="IO10" s="18"/>
      <c r="IP10" s="18"/>
      <c r="IQ10" s="18"/>
      <c r="IR10" s="18"/>
      <c r="IS10" s="18"/>
      <c r="IT10" s="18"/>
      <c r="IU10" s="18"/>
      <c r="IV10" s="18"/>
      <c r="IW10" s="18"/>
      <c r="IX10" s="18"/>
      <c r="IY10" s="18"/>
      <c r="IZ10" s="26"/>
      <c r="JA10" s="18"/>
      <c r="JB10" s="18"/>
      <c r="JC10" s="18"/>
      <c r="JD10" s="18"/>
      <c r="JE10" s="26">
        <v>1.0</v>
      </c>
      <c r="JF10" s="26">
        <v>1.0</v>
      </c>
      <c r="JG10" s="18"/>
      <c r="JH10" s="26">
        <v>1.0</v>
      </c>
      <c r="JI10" s="18"/>
      <c r="JJ10" s="18"/>
      <c r="JK10" s="18"/>
      <c r="JL10" s="18"/>
      <c r="JM10" s="18"/>
      <c r="JN10" s="18"/>
      <c r="JO10" s="18"/>
      <c r="JP10" s="18"/>
      <c r="JQ10" s="18"/>
      <c r="JR10" s="18"/>
      <c r="JS10" s="18"/>
      <c r="JT10" s="18"/>
      <c r="JU10" s="18"/>
      <c r="JV10" s="18"/>
      <c r="JW10" s="18"/>
      <c r="JX10" s="18"/>
      <c r="JY10" s="18"/>
      <c r="JZ10" s="18"/>
      <c r="KA10" s="18"/>
      <c r="KB10" s="18"/>
      <c r="KC10" s="18"/>
      <c r="KD10" s="18"/>
      <c r="KE10" s="18"/>
      <c r="KF10" s="18"/>
      <c r="KG10" s="18"/>
      <c r="KH10" s="18"/>
      <c r="KI10" s="18"/>
      <c r="KJ10" s="18"/>
      <c r="KK10" s="18"/>
      <c r="KL10" s="18"/>
      <c r="KM10" s="18"/>
      <c r="KN10" s="18"/>
      <c r="KO10" s="18"/>
      <c r="KP10" s="18"/>
      <c r="KQ10" s="18"/>
      <c r="KR10" s="83"/>
      <c r="KS10" s="18"/>
      <c r="KT10" s="18"/>
      <c r="KU10" s="18"/>
      <c r="KV10" s="18"/>
      <c r="KW10" s="18"/>
    </row>
    <row r="11">
      <c r="A11" s="28">
        <v>12.0</v>
      </c>
      <c r="B11" s="28">
        <f t="shared" si="1"/>
        <v>11</v>
      </c>
      <c r="C11" s="28" t="s">
        <v>2342</v>
      </c>
      <c r="D11" s="29" t="s">
        <v>2400</v>
      </c>
      <c r="E11" s="30"/>
      <c r="F11" s="29" t="s">
        <v>2401</v>
      </c>
      <c r="G11" s="29" t="s">
        <v>1116</v>
      </c>
      <c r="H11" s="18"/>
      <c r="I11" s="18"/>
      <c r="J11" s="18"/>
      <c r="K11" s="18"/>
      <c r="L11" s="18"/>
      <c r="M11" s="83"/>
      <c r="N11" s="83"/>
      <c r="O11" s="83"/>
      <c r="P11" s="18"/>
      <c r="Q11" s="18"/>
      <c r="R11" s="18"/>
      <c r="S11" s="18"/>
      <c r="T11" s="18"/>
      <c r="U11" s="18"/>
      <c r="V11" s="18"/>
      <c r="W11" s="18"/>
      <c r="X11" s="18"/>
      <c r="Y11" s="18"/>
      <c r="Z11" s="18"/>
      <c r="AA11" s="18"/>
      <c r="AB11" s="18"/>
      <c r="AC11" s="18"/>
      <c r="AD11" s="18"/>
      <c r="AE11" s="18"/>
      <c r="AF11" s="18"/>
      <c r="AG11" s="18"/>
      <c r="AH11" s="18"/>
      <c r="AI11" s="18"/>
      <c r="AJ11" s="83"/>
      <c r="AK11" s="18"/>
      <c r="AL11" s="83"/>
      <c r="AM11" s="18"/>
      <c r="AN11" s="18"/>
      <c r="AO11" s="18"/>
      <c r="AP11" s="18"/>
      <c r="AQ11" s="18"/>
      <c r="AR11" s="18"/>
      <c r="AS11" s="18"/>
      <c r="AT11" s="18"/>
      <c r="AU11" s="26"/>
      <c r="AV11" s="18"/>
      <c r="AW11" s="83"/>
      <c r="AX11" s="83"/>
      <c r="AY11" s="18"/>
      <c r="AZ11" s="18"/>
      <c r="BA11" s="18"/>
      <c r="BB11" s="18"/>
      <c r="BC11" s="18"/>
      <c r="BD11" s="18"/>
      <c r="BE11" s="26">
        <v>1.0</v>
      </c>
      <c r="BF11" s="18"/>
      <c r="BG11" s="18"/>
      <c r="BH11" s="18"/>
      <c r="BI11" s="18"/>
      <c r="BJ11" s="83"/>
      <c r="BK11" s="18"/>
      <c r="BL11" s="18"/>
      <c r="BM11" s="18"/>
      <c r="BN11" s="83"/>
      <c r="BO11" s="83"/>
      <c r="BP11" s="26">
        <v>1.0</v>
      </c>
      <c r="BQ11" s="18"/>
      <c r="BR11" s="26">
        <v>1.0</v>
      </c>
      <c r="BS11" s="18"/>
      <c r="BT11" s="18"/>
      <c r="BU11" s="18"/>
      <c r="BV11" s="18"/>
      <c r="BW11" s="18"/>
      <c r="BX11" s="18"/>
      <c r="BY11" s="18"/>
      <c r="BZ11" s="83"/>
      <c r="CA11" s="18"/>
      <c r="CB11" s="18"/>
      <c r="CC11" s="18"/>
      <c r="CD11" s="18"/>
      <c r="CE11" s="83"/>
      <c r="CF11" s="18"/>
      <c r="CG11" s="18"/>
      <c r="CH11" s="18"/>
      <c r="CI11" s="18"/>
      <c r="CJ11" s="18"/>
      <c r="CK11" s="18"/>
      <c r="CL11" s="18"/>
      <c r="CM11" s="18"/>
      <c r="CN11" s="18"/>
      <c r="CO11" s="18"/>
      <c r="CP11" s="18"/>
      <c r="CQ11" s="18"/>
      <c r="CR11" s="18"/>
      <c r="CS11" s="18"/>
      <c r="CU11" s="18"/>
      <c r="CV11" s="18"/>
      <c r="CW11" s="18"/>
      <c r="CY11" s="18"/>
      <c r="CZ11" s="18"/>
      <c r="DA11" s="18"/>
      <c r="DB11" s="18"/>
      <c r="DC11" s="18"/>
      <c r="DD11" s="18"/>
      <c r="DE11" s="83"/>
      <c r="DF11" s="83"/>
      <c r="DG11" s="83"/>
      <c r="DH11" s="83"/>
      <c r="DI11" s="83"/>
      <c r="DJ11" s="83"/>
      <c r="DK11" s="18"/>
      <c r="DL11" s="18"/>
      <c r="DM11" s="18"/>
      <c r="DN11" s="83"/>
      <c r="DO11" s="18"/>
      <c r="DP11" s="18"/>
      <c r="DQ11" s="18"/>
      <c r="DR11" s="83"/>
      <c r="DS11" s="18"/>
      <c r="DT11" s="18"/>
      <c r="DU11" s="83"/>
      <c r="DV11" s="83"/>
      <c r="DW11" s="18"/>
      <c r="DX11" s="18"/>
      <c r="DY11" s="18"/>
      <c r="DZ11" s="83"/>
      <c r="EA11" s="18"/>
      <c r="EB11" s="83"/>
      <c r="EC11" s="18"/>
      <c r="ED11" s="83"/>
      <c r="EE11" s="18"/>
      <c r="EF11" s="18"/>
      <c r="EG11" s="18"/>
      <c r="EH11" s="18"/>
      <c r="EI11" s="18"/>
      <c r="EJ11" s="18"/>
      <c r="EK11" s="18"/>
      <c r="EL11" s="18"/>
      <c r="EM11" s="18"/>
      <c r="EN11" s="18"/>
      <c r="EO11" s="26">
        <v>1.0</v>
      </c>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84"/>
      <c r="FR11" s="18"/>
      <c r="FS11" s="84"/>
      <c r="FT11" s="18"/>
      <c r="FU11" s="18"/>
      <c r="FV11" s="18"/>
      <c r="FW11" s="18"/>
      <c r="FX11" s="26">
        <v>1.0</v>
      </c>
      <c r="FY11" s="18"/>
      <c r="FZ11" s="18"/>
      <c r="GA11" s="26">
        <v>1.0</v>
      </c>
      <c r="GB11" s="84"/>
      <c r="GC11" s="18"/>
      <c r="GD11" s="18"/>
      <c r="GE11" s="18"/>
      <c r="GF11" s="18"/>
      <c r="GG11" s="84"/>
      <c r="GH11" s="18"/>
      <c r="GI11" s="18"/>
      <c r="GJ11" s="18"/>
      <c r="GK11" s="18"/>
      <c r="GL11" s="18"/>
      <c r="GM11" s="18"/>
      <c r="GN11" s="18"/>
      <c r="GO11" s="83"/>
      <c r="GP11" s="18"/>
      <c r="GQ11" s="18"/>
      <c r="GR11" s="18"/>
      <c r="GS11" s="18"/>
      <c r="GT11" s="18"/>
      <c r="GU11" s="18"/>
      <c r="GV11" s="84"/>
      <c r="GW11" s="18"/>
      <c r="GX11" s="18"/>
      <c r="GY11" s="18"/>
      <c r="GZ11" s="18"/>
      <c r="HA11" s="18"/>
      <c r="HB11" s="26">
        <v>1.0</v>
      </c>
      <c r="HC11" s="18"/>
      <c r="HD11" s="18"/>
      <c r="HE11" s="18"/>
      <c r="HF11" s="18"/>
      <c r="HG11" s="18"/>
      <c r="HH11" s="18"/>
      <c r="HI11" s="18"/>
      <c r="HJ11" s="18"/>
      <c r="HK11" s="18"/>
      <c r="HL11" s="18"/>
      <c r="HM11" s="18"/>
      <c r="HN11" s="18"/>
      <c r="HO11" s="18"/>
      <c r="HP11" s="18"/>
      <c r="HQ11" s="18"/>
      <c r="HR11" s="18"/>
      <c r="HS11" s="18"/>
      <c r="HT11" s="18"/>
      <c r="HU11" s="18"/>
      <c r="HV11" s="18"/>
      <c r="HW11" s="18"/>
      <c r="HX11" s="18"/>
      <c r="HY11" s="18"/>
      <c r="HZ11" s="18"/>
      <c r="IA11" s="18"/>
      <c r="IB11" s="18"/>
      <c r="IC11" s="18"/>
      <c r="ID11" s="18"/>
      <c r="IE11" s="26"/>
      <c r="IF11" s="18"/>
      <c r="IG11" s="18"/>
      <c r="IH11" s="18"/>
      <c r="II11" s="18"/>
      <c r="IJ11" s="18"/>
      <c r="IK11" s="18"/>
      <c r="IL11" s="83"/>
      <c r="IM11" s="18"/>
      <c r="IN11" s="83"/>
      <c r="IO11" s="18"/>
      <c r="IP11" s="18"/>
      <c r="IQ11" s="18"/>
      <c r="IR11" s="18"/>
      <c r="IS11" s="18"/>
      <c r="IT11" s="18"/>
      <c r="IU11" s="18"/>
      <c r="IV11" s="18"/>
      <c r="IW11" s="18"/>
      <c r="IX11" s="18"/>
      <c r="IY11" s="18"/>
      <c r="IZ11" s="26"/>
      <c r="JA11" s="18"/>
      <c r="JB11" s="18"/>
      <c r="JC11" s="18"/>
      <c r="JD11" s="18"/>
      <c r="JE11" s="18"/>
      <c r="JF11" s="18"/>
      <c r="JG11" s="18"/>
      <c r="JH11" s="18"/>
      <c r="JI11" s="18"/>
      <c r="JJ11" s="18"/>
      <c r="JK11" s="18"/>
      <c r="JL11" s="18"/>
      <c r="JM11" s="18"/>
      <c r="JN11" s="18"/>
      <c r="JO11" s="18"/>
      <c r="JP11" s="18"/>
      <c r="JQ11" s="26">
        <v>1.0</v>
      </c>
      <c r="JR11" s="18"/>
      <c r="JS11" s="18"/>
      <c r="JT11" s="18"/>
      <c r="JU11" s="18"/>
      <c r="JV11" s="18"/>
      <c r="JW11" s="18"/>
      <c r="JX11" s="18"/>
      <c r="JY11" s="18"/>
      <c r="JZ11" s="18"/>
      <c r="KA11" s="18"/>
      <c r="KB11" s="18"/>
      <c r="KC11" s="18"/>
      <c r="KD11" s="18"/>
      <c r="KE11" s="18"/>
      <c r="KF11" s="18"/>
      <c r="KG11" s="18"/>
      <c r="KH11" s="18"/>
      <c r="KI11" s="18"/>
      <c r="KJ11" s="18"/>
      <c r="KK11" s="26"/>
      <c r="KL11" s="26">
        <v>1.0</v>
      </c>
      <c r="KM11" s="26">
        <v>1.0</v>
      </c>
      <c r="KN11" s="18"/>
      <c r="KO11" s="18"/>
      <c r="KP11" s="18"/>
      <c r="KQ11" s="18"/>
      <c r="KR11" s="83"/>
      <c r="KS11" s="18"/>
      <c r="KT11" s="26">
        <v>1.0</v>
      </c>
      <c r="KU11" s="18"/>
      <c r="KV11" s="18"/>
      <c r="KW11" s="18"/>
    </row>
    <row r="12">
      <c r="A12" s="28">
        <v>13.0</v>
      </c>
      <c r="B12" s="28">
        <f t="shared" si="1"/>
        <v>7</v>
      </c>
      <c r="C12" s="86" t="s">
        <v>2342</v>
      </c>
      <c r="D12" s="87" t="s">
        <v>2406</v>
      </c>
      <c r="E12" s="88"/>
      <c r="F12" s="29" t="s">
        <v>2407</v>
      </c>
      <c r="G12" s="87" t="s">
        <v>1456</v>
      </c>
      <c r="H12" s="18"/>
      <c r="I12" s="18"/>
      <c r="J12" s="18"/>
      <c r="K12" s="18"/>
      <c r="L12" s="18"/>
      <c r="M12" s="83"/>
      <c r="N12" s="83"/>
      <c r="O12" s="83"/>
      <c r="P12" s="18"/>
      <c r="Q12" s="18"/>
      <c r="R12" s="18"/>
      <c r="S12" s="18"/>
      <c r="T12" s="18"/>
      <c r="U12" s="18"/>
      <c r="V12" s="18"/>
      <c r="W12" s="18"/>
      <c r="X12" s="18"/>
      <c r="Y12" s="18"/>
      <c r="Z12" s="18"/>
      <c r="AA12" s="18"/>
      <c r="AB12" s="18"/>
      <c r="AC12" s="18"/>
      <c r="AD12" s="18"/>
      <c r="AE12" s="18"/>
      <c r="AF12" s="18"/>
      <c r="AG12" s="18"/>
      <c r="AH12" s="18"/>
      <c r="AI12" s="26"/>
      <c r="AJ12" s="83"/>
      <c r="AK12" s="18"/>
      <c r="AL12" s="83"/>
      <c r="AM12" s="18"/>
      <c r="AN12" s="18"/>
      <c r="AO12" s="18"/>
      <c r="AP12" s="18"/>
      <c r="AQ12" s="18"/>
      <c r="AR12" s="18"/>
      <c r="AS12" s="18"/>
      <c r="AT12" s="18"/>
      <c r="AU12" s="18"/>
      <c r="AV12" s="18"/>
      <c r="AW12" s="83"/>
      <c r="AX12" s="83"/>
      <c r="AY12" s="18"/>
      <c r="AZ12" s="18"/>
      <c r="BA12" s="18"/>
      <c r="BB12" s="18"/>
      <c r="BC12" s="18"/>
      <c r="BD12" s="18"/>
      <c r="BE12" s="18"/>
      <c r="BF12" s="18"/>
      <c r="BG12" s="18"/>
      <c r="BH12" s="18"/>
      <c r="BI12" s="18"/>
      <c r="BJ12" s="83"/>
      <c r="BK12" s="18"/>
      <c r="BL12" s="18"/>
      <c r="BM12" s="18"/>
      <c r="BN12" s="83"/>
      <c r="BO12" s="83"/>
      <c r="BP12" s="18"/>
      <c r="BQ12" s="18"/>
      <c r="BR12" s="18"/>
      <c r="BS12" s="18"/>
      <c r="BT12" s="26">
        <v>1.0</v>
      </c>
      <c r="BU12" s="18"/>
      <c r="BV12" s="18"/>
      <c r="BW12" s="18"/>
      <c r="BX12" s="18"/>
      <c r="BY12" s="18"/>
      <c r="BZ12" s="83"/>
      <c r="CA12" s="18"/>
      <c r="CB12" s="18"/>
      <c r="CC12" s="18"/>
      <c r="CD12" s="18"/>
      <c r="CE12" s="83"/>
      <c r="CF12" s="18"/>
      <c r="CG12" s="18"/>
      <c r="CH12" s="18"/>
      <c r="CI12" s="18"/>
      <c r="CJ12" s="18"/>
      <c r="CK12" s="18"/>
      <c r="CL12" s="18"/>
      <c r="CM12" s="18"/>
      <c r="CN12" s="18"/>
      <c r="CO12" s="18"/>
      <c r="CP12" s="18"/>
      <c r="CQ12" s="18"/>
      <c r="CR12" s="18"/>
      <c r="CS12" s="18"/>
      <c r="CU12" s="18"/>
      <c r="CV12" s="18"/>
      <c r="CW12" s="18"/>
      <c r="CX12" s="18"/>
      <c r="CY12" s="18"/>
      <c r="CZ12" s="18"/>
      <c r="DA12" s="18"/>
      <c r="DB12" s="18"/>
      <c r="DC12" s="18"/>
      <c r="DD12" s="26">
        <v>1.0</v>
      </c>
      <c r="DE12" s="83"/>
      <c r="DF12" s="83"/>
      <c r="DG12" s="83"/>
      <c r="DH12" s="83"/>
      <c r="DI12" s="83"/>
      <c r="DJ12" s="83"/>
      <c r="DK12" s="18"/>
      <c r="DL12" s="18"/>
      <c r="DM12" s="18"/>
      <c r="DN12" s="83"/>
      <c r="DO12" s="18"/>
      <c r="DP12" s="18"/>
      <c r="DQ12" s="18"/>
      <c r="DR12" s="83"/>
      <c r="DS12" s="18"/>
      <c r="DT12" s="18"/>
      <c r="DU12" s="83"/>
      <c r="DV12" s="83"/>
      <c r="DW12" s="18"/>
      <c r="DX12" s="18"/>
      <c r="DY12" s="18"/>
      <c r="DZ12" s="83"/>
      <c r="EA12" s="18"/>
      <c r="EB12" s="83"/>
      <c r="EC12" s="26">
        <v>1.0</v>
      </c>
      <c r="ED12" s="83"/>
      <c r="EE12" s="18"/>
      <c r="EF12" s="18"/>
      <c r="EG12" s="18"/>
      <c r="EH12" s="18"/>
      <c r="EI12" s="18"/>
      <c r="EJ12" s="18"/>
      <c r="EK12" s="18"/>
      <c r="EL12" s="18"/>
      <c r="EM12" s="18"/>
      <c r="EN12" s="18"/>
      <c r="EO12" s="18"/>
      <c r="EP12" s="18"/>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84"/>
      <c r="FR12" s="18"/>
      <c r="FS12" s="84"/>
      <c r="FT12" s="18"/>
      <c r="FU12" s="18"/>
      <c r="FV12" s="18"/>
      <c r="FW12" s="26">
        <v>1.0</v>
      </c>
      <c r="FX12" s="18"/>
      <c r="FY12" s="18"/>
      <c r="FZ12" s="18"/>
      <c r="GA12" s="18"/>
      <c r="GB12" s="84"/>
      <c r="GC12" s="18"/>
      <c r="GD12" s="18"/>
      <c r="GE12" s="18"/>
      <c r="GF12" s="18"/>
      <c r="GG12" s="84"/>
      <c r="GH12" s="18"/>
      <c r="GI12" s="18"/>
      <c r="GJ12" s="18"/>
      <c r="GK12" s="18"/>
      <c r="GL12" s="18"/>
      <c r="GM12" s="18"/>
      <c r="GN12" s="18"/>
      <c r="GO12" s="83"/>
      <c r="GP12" s="18"/>
      <c r="GQ12" s="18"/>
      <c r="GR12" s="18"/>
      <c r="GS12" s="18"/>
      <c r="GT12" s="18"/>
      <c r="GU12" s="18"/>
      <c r="GV12" s="84"/>
      <c r="GW12" s="18"/>
      <c r="GX12" s="18"/>
      <c r="GY12" s="18"/>
      <c r="GZ12" s="18"/>
      <c r="HA12" s="18"/>
      <c r="HB12" s="18"/>
      <c r="HC12" s="18"/>
      <c r="HD12" s="18"/>
      <c r="HE12" s="18"/>
      <c r="HF12" s="18"/>
      <c r="HG12" s="18"/>
      <c r="HH12" s="26">
        <v>1.0</v>
      </c>
      <c r="HI12" s="18"/>
      <c r="HJ12" s="18"/>
      <c r="HK12" s="18"/>
      <c r="HL12" s="18"/>
      <c r="HM12" s="18"/>
      <c r="HN12" s="18"/>
      <c r="HO12" s="18"/>
      <c r="HP12" s="18"/>
      <c r="HQ12" s="18"/>
      <c r="HR12" s="26">
        <v>1.0</v>
      </c>
      <c r="HS12" s="18"/>
      <c r="HT12" s="18"/>
      <c r="HU12" s="18"/>
      <c r="HV12" s="18"/>
      <c r="HW12" s="18"/>
      <c r="HX12" s="18"/>
      <c r="HY12" s="18"/>
      <c r="HZ12" s="18"/>
      <c r="IA12" s="18"/>
      <c r="IB12" s="18"/>
      <c r="IC12" s="18"/>
      <c r="ID12" s="18"/>
      <c r="IE12" s="18"/>
      <c r="IF12" s="18"/>
      <c r="IG12" s="18"/>
      <c r="IH12" s="18"/>
      <c r="II12" s="18"/>
      <c r="IJ12" s="18"/>
      <c r="IK12" s="18"/>
      <c r="IL12" s="83"/>
      <c r="IM12" s="18"/>
      <c r="IN12" s="83"/>
      <c r="IO12" s="18"/>
      <c r="IP12" s="18"/>
      <c r="IQ12" s="18"/>
      <c r="IR12" s="18"/>
      <c r="IS12" s="18"/>
      <c r="IT12" s="18"/>
      <c r="IU12" s="18"/>
      <c r="IV12" s="18"/>
      <c r="IW12" s="18"/>
      <c r="IX12" s="18"/>
      <c r="IY12" s="18"/>
      <c r="IZ12" s="18"/>
      <c r="JA12" s="18"/>
      <c r="JB12" s="18"/>
      <c r="JC12" s="18"/>
      <c r="JD12" s="18"/>
      <c r="JE12" s="18"/>
      <c r="JF12" s="18"/>
      <c r="JG12" s="18"/>
      <c r="JH12" s="18"/>
      <c r="JI12" s="18"/>
      <c r="JJ12" s="18"/>
      <c r="JK12" s="18"/>
      <c r="JL12" s="18"/>
      <c r="JM12" s="18"/>
      <c r="JN12" s="18"/>
      <c r="JO12" s="18"/>
      <c r="JP12" s="18"/>
      <c r="JQ12" s="18"/>
      <c r="JR12" s="18"/>
      <c r="JS12" s="18"/>
      <c r="JT12" s="26">
        <v>1.0</v>
      </c>
      <c r="JU12" s="18"/>
      <c r="JV12" s="18"/>
      <c r="JW12" s="18"/>
      <c r="JX12" s="18"/>
      <c r="JY12" s="18"/>
      <c r="JZ12" s="18"/>
      <c r="KA12" s="18"/>
      <c r="KB12" s="18"/>
      <c r="KC12" s="18"/>
      <c r="KD12" s="18"/>
      <c r="KE12" s="18"/>
      <c r="KF12" s="18"/>
      <c r="KG12" s="18"/>
      <c r="KH12" s="18"/>
      <c r="KI12" s="18"/>
      <c r="KJ12" s="18"/>
      <c r="KK12" s="18"/>
      <c r="KL12" s="18"/>
      <c r="KM12" s="18"/>
      <c r="KN12" s="18"/>
      <c r="KO12" s="18"/>
      <c r="KP12" s="18"/>
      <c r="KQ12" s="18"/>
      <c r="KR12" s="83"/>
      <c r="KS12" s="18"/>
      <c r="KT12" s="18"/>
      <c r="KU12" s="18"/>
      <c r="KV12" s="18"/>
      <c r="KW12" s="18"/>
    </row>
    <row r="13">
      <c r="A13" s="28">
        <v>14.0</v>
      </c>
      <c r="B13" s="28">
        <f t="shared" si="1"/>
        <v>6</v>
      </c>
      <c r="C13" s="28" t="s">
        <v>2342</v>
      </c>
      <c r="D13" s="29" t="s">
        <v>2412</v>
      </c>
      <c r="E13" s="30"/>
      <c r="F13" s="29" t="s">
        <v>2413</v>
      </c>
      <c r="G13" s="29" t="s">
        <v>2414</v>
      </c>
      <c r="H13" s="18"/>
      <c r="I13" s="18"/>
      <c r="J13" s="18"/>
      <c r="K13" s="18"/>
      <c r="L13" s="18"/>
      <c r="M13" s="83"/>
      <c r="N13" s="83"/>
      <c r="O13" s="83"/>
      <c r="P13" s="18"/>
      <c r="Q13" s="18"/>
      <c r="R13" s="18"/>
      <c r="S13" s="18"/>
      <c r="T13" s="18"/>
      <c r="U13" s="18"/>
      <c r="V13" s="18"/>
      <c r="W13" s="18"/>
      <c r="X13" s="18"/>
      <c r="Y13" s="18"/>
      <c r="Z13" s="18"/>
      <c r="AA13" s="18"/>
      <c r="AB13" s="18"/>
      <c r="AC13" s="18"/>
      <c r="AD13" s="18"/>
      <c r="AE13" s="18"/>
      <c r="AF13" s="18"/>
      <c r="AG13" s="18"/>
      <c r="AH13" s="18"/>
      <c r="AI13" s="26">
        <v>1.0</v>
      </c>
      <c r="AJ13" s="83"/>
      <c r="AK13" s="18"/>
      <c r="AL13" s="83"/>
      <c r="AM13" s="18"/>
      <c r="AN13" s="18"/>
      <c r="AO13" s="18"/>
      <c r="AP13" s="18"/>
      <c r="AQ13" s="18"/>
      <c r="AR13" s="26">
        <v>1.0</v>
      </c>
      <c r="AS13" s="18"/>
      <c r="AT13" s="18"/>
      <c r="AU13" s="18"/>
      <c r="AV13" s="18"/>
      <c r="AW13" s="83"/>
      <c r="AX13" s="83"/>
      <c r="AY13" s="18"/>
      <c r="AZ13" s="18"/>
      <c r="BA13" s="18"/>
      <c r="BB13" s="18"/>
      <c r="BC13" s="18"/>
      <c r="BD13" s="18"/>
      <c r="BE13" s="18"/>
      <c r="BF13" s="26">
        <v>1.0</v>
      </c>
      <c r="BG13" s="18"/>
      <c r="BH13" s="18"/>
      <c r="BI13" s="18"/>
      <c r="BJ13" s="83"/>
      <c r="BK13" s="18"/>
      <c r="BL13" s="18"/>
      <c r="BM13" s="18"/>
      <c r="BN13" s="83"/>
      <c r="BO13" s="83"/>
      <c r="BP13" s="18"/>
      <c r="BQ13" s="18"/>
      <c r="BR13" s="18"/>
      <c r="BS13" s="18"/>
      <c r="BT13" s="26"/>
      <c r="BU13" s="18"/>
      <c r="BV13" s="18"/>
      <c r="BW13" s="18"/>
      <c r="BX13" s="18"/>
      <c r="BY13" s="18"/>
      <c r="BZ13" s="83"/>
      <c r="CA13" s="18"/>
      <c r="CB13" s="18"/>
      <c r="CC13" s="18"/>
      <c r="CD13" s="18"/>
      <c r="CE13" s="83"/>
      <c r="CF13" s="18"/>
      <c r="CG13" s="18"/>
      <c r="CH13" s="18"/>
      <c r="CI13" s="18"/>
      <c r="CJ13" s="18"/>
      <c r="CK13" s="18"/>
      <c r="CL13" s="18"/>
      <c r="CM13" s="18"/>
      <c r="CN13" s="18"/>
      <c r="CO13" s="18"/>
      <c r="CP13" s="18"/>
      <c r="CQ13" s="18"/>
      <c r="CR13" s="18"/>
      <c r="CS13" s="18"/>
      <c r="CU13" s="18"/>
      <c r="CV13" s="18"/>
      <c r="CW13" s="18"/>
      <c r="CX13" s="18"/>
      <c r="CY13" s="18"/>
      <c r="CZ13" s="18"/>
      <c r="DA13" s="18"/>
      <c r="DB13" s="18"/>
      <c r="DC13" s="18"/>
      <c r="DD13" s="26">
        <v>1.0</v>
      </c>
      <c r="DE13" s="83"/>
      <c r="DF13" s="83"/>
      <c r="DG13" s="83"/>
      <c r="DH13" s="83"/>
      <c r="DI13" s="83"/>
      <c r="DJ13" s="83"/>
      <c r="DK13" s="18"/>
      <c r="DL13" s="18"/>
      <c r="DM13" s="18"/>
      <c r="DN13" s="83"/>
      <c r="DO13" s="18"/>
      <c r="DP13" s="18"/>
      <c r="DQ13" s="18"/>
      <c r="DR13" s="83"/>
      <c r="DS13" s="18"/>
      <c r="DT13" s="18"/>
      <c r="DU13" s="83"/>
      <c r="DV13" s="83"/>
      <c r="DW13" s="18"/>
      <c r="DX13" s="18"/>
      <c r="DY13" s="18"/>
      <c r="DZ13" s="83"/>
      <c r="EA13" s="18"/>
      <c r="EB13" s="83"/>
      <c r="EC13" s="18"/>
      <c r="ED13" s="83"/>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84"/>
      <c r="FR13" s="18"/>
      <c r="FS13" s="84"/>
      <c r="FT13" s="18"/>
      <c r="FU13" s="18"/>
      <c r="FV13" s="18"/>
      <c r="FW13" s="26"/>
      <c r="FX13" s="18"/>
      <c r="FY13" s="18"/>
      <c r="FZ13" s="18"/>
      <c r="GA13" s="18"/>
      <c r="GB13" s="84"/>
      <c r="GC13" s="18"/>
      <c r="GD13" s="18"/>
      <c r="GE13" s="18"/>
      <c r="GF13" s="18"/>
      <c r="GG13" s="84"/>
      <c r="GH13" s="18"/>
      <c r="GI13" s="18"/>
      <c r="GJ13" s="18"/>
      <c r="GK13" s="18"/>
      <c r="GL13" s="18"/>
      <c r="GM13" s="18"/>
      <c r="GN13" s="18"/>
      <c r="GO13" s="83"/>
      <c r="GP13" s="18"/>
      <c r="GQ13" s="18"/>
      <c r="GR13" s="18"/>
      <c r="GS13" s="18"/>
      <c r="GT13" s="18"/>
      <c r="GU13" s="18"/>
      <c r="GV13" s="84"/>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c r="HY13" s="18"/>
      <c r="HZ13" s="18"/>
      <c r="IA13" s="18"/>
      <c r="IB13" s="18"/>
      <c r="IC13" s="18"/>
      <c r="ID13" s="18"/>
      <c r="IE13" s="18"/>
      <c r="IF13" s="18"/>
      <c r="IG13" s="18"/>
      <c r="IH13" s="18"/>
      <c r="II13" s="18"/>
      <c r="IJ13" s="18"/>
      <c r="IK13" s="18"/>
      <c r="IL13" s="83"/>
      <c r="IM13" s="18"/>
      <c r="IN13" s="83"/>
      <c r="IO13" s="18"/>
      <c r="IP13" s="18"/>
      <c r="IQ13" s="18"/>
      <c r="IR13" s="18"/>
      <c r="IS13" s="18"/>
      <c r="IT13" s="18"/>
      <c r="IU13" s="18"/>
      <c r="IV13" s="18"/>
      <c r="IW13" s="18"/>
      <c r="IX13" s="18"/>
      <c r="IY13" s="18"/>
      <c r="IZ13" s="18"/>
      <c r="JA13" s="18"/>
      <c r="JB13" s="26">
        <v>1.0</v>
      </c>
      <c r="JC13" s="18"/>
      <c r="JD13" s="18"/>
      <c r="JE13" s="18"/>
      <c r="JF13" s="18"/>
      <c r="JG13" s="18"/>
      <c r="JH13" s="18"/>
      <c r="JI13" s="18"/>
      <c r="JJ13" s="18"/>
      <c r="JK13" s="18"/>
      <c r="JL13" s="18"/>
      <c r="JM13" s="18"/>
      <c r="JN13" s="18"/>
      <c r="JO13" s="18"/>
      <c r="JP13" s="18"/>
      <c r="JQ13" s="18"/>
      <c r="JR13" s="26">
        <v>1.0</v>
      </c>
      <c r="JS13" s="18"/>
      <c r="JT13" s="18"/>
      <c r="JU13" s="18"/>
      <c r="JV13" s="18"/>
      <c r="JW13" s="18"/>
      <c r="JX13" s="18"/>
      <c r="JY13" s="18"/>
      <c r="JZ13" s="18"/>
      <c r="KA13" s="18"/>
      <c r="KB13" s="18"/>
      <c r="KC13" s="18"/>
      <c r="KD13" s="18"/>
      <c r="KE13" s="18"/>
      <c r="KF13" s="18"/>
      <c r="KG13" s="18"/>
      <c r="KH13" s="18"/>
      <c r="KI13" s="18"/>
      <c r="KJ13" s="18"/>
      <c r="KK13" s="18"/>
      <c r="KL13" s="18"/>
      <c r="KM13" s="18"/>
      <c r="KN13" s="18"/>
      <c r="KO13" s="18"/>
      <c r="KP13" s="18"/>
      <c r="KQ13" s="18"/>
      <c r="KR13" s="83"/>
      <c r="KS13" s="18"/>
      <c r="KT13" s="18"/>
      <c r="KU13" s="18"/>
      <c r="KV13" s="18"/>
      <c r="KW13" s="18"/>
    </row>
    <row r="14">
      <c r="A14" s="28">
        <v>15.0</v>
      </c>
      <c r="B14" s="28">
        <f t="shared" si="1"/>
        <v>14</v>
      </c>
      <c r="C14" s="28" t="s">
        <v>2342</v>
      </c>
      <c r="D14" s="29" t="s">
        <v>2419</v>
      </c>
      <c r="E14" s="30"/>
      <c r="F14" s="29" t="s">
        <v>2420</v>
      </c>
      <c r="G14" s="29" t="s">
        <v>2421</v>
      </c>
      <c r="H14" s="18"/>
      <c r="I14" s="18"/>
      <c r="J14" s="18"/>
      <c r="K14" s="18"/>
      <c r="L14" s="18"/>
      <c r="M14" s="83"/>
      <c r="N14" s="83"/>
      <c r="O14" s="83"/>
      <c r="P14" s="18"/>
      <c r="Q14" s="18"/>
      <c r="R14" s="18"/>
      <c r="S14" s="18"/>
      <c r="T14" s="18"/>
      <c r="U14" s="18"/>
      <c r="V14" s="18"/>
      <c r="W14" s="18"/>
      <c r="X14" s="26">
        <v>1.0</v>
      </c>
      <c r="Y14" s="18"/>
      <c r="Z14" s="18"/>
      <c r="AA14" s="18"/>
      <c r="AB14" s="18"/>
      <c r="AC14" s="18"/>
      <c r="AD14" s="18"/>
      <c r="AE14" s="18"/>
      <c r="AF14" s="26">
        <v>1.0</v>
      </c>
      <c r="AG14" s="18"/>
      <c r="AH14" s="18"/>
      <c r="AI14" s="18"/>
      <c r="AJ14" s="83"/>
      <c r="AK14" s="18"/>
      <c r="AL14" s="83"/>
      <c r="AM14" s="18"/>
      <c r="AN14" s="18"/>
      <c r="AO14" s="18"/>
      <c r="AP14" s="18"/>
      <c r="AQ14" s="18"/>
      <c r="AR14" s="18"/>
      <c r="AS14" s="18"/>
      <c r="AT14" s="18"/>
      <c r="AU14" s="18"/>
      <c r="AV14" s="18"/>
      <c r="AW14" s="83"/>
      <c r="AX14" s="83"/>
      <c r="AY14" s="18"/>
      <c r="AZ14" s="18"/>
      <c r="BA14" s="18"/>
      <c r="BB14" s="18"/>
      <c r="BC14" s="18"/>
      <c r="BD14" s="26">
        <v>1.0</v>
      </c>
      <c r="BE14" s="18"/>
      <c r="BF14" s="18"/>
      <c r="BG14" s="18"/>
      <c r="BH14" s="26">
        <v>1.0</v>
      </c>
      <c r="BI14" s="18"/>
      <c r="BJ14" s="83"/>
      <c r="BK14" s="18"/>
      <c r="BL14" s="18"/>
      <c r="BM14" s="18"/>
      <c r="BN14" s="77"/>
      <c r="BO14" s="83"/>
      <c r="BP14" s="18"/>
      <c r="BQ14" s="26">
        <v>1.0</v>
      </c>
      <c r="BR14" s="18"/>
      <c r="BS14" s="18"/>
      <c r="BT14" s="18"/>
      <c r="BU14" s="26"/>
      <c r="BV14" s="18"/>
      <c r="BW14" s="18"/>
      <c r="BX14" s="18"/>
      <c r="BY14" s="18"/>
      <c r="BZ14" s="83"/>
      <c r="CA14" s="18"/>
      <c r="CB14" s="18"/>
      <c r="CC14" s="18"/>
      <c r="CD14" s="18"/>
      <c r="CE14" s="83"/>
      <c r="CF14" s="18"/>
      <c r="CG14" s="18"/>
      <c r="CH14" s="18"/>
      <c r="CI14" s="18"/>
      <c r="CJ14" s="18"/>
      <c r="CK14" s="26">
        <v>1.0</v>
      </c>
      <c r="CL14" s="18"/>
      <c r="CM14" s="18"/>
      <c r="CN14" s="18"/>
      <c r="CO14" s="26">
        <v>1.0</v>
      </c>
      <c r="CP14" s="18"/>
      <c r="CQ14" s="26">
        <v>1.0</v>
      </c>
      <c r="CR14" s="18"/>
      <c r="CS14" s="18"/>
      <c r="CU14" s="18"/>
      <c r="CV14" s="18"/>
      <c r="CW14" s="18"/>
      <c r="CX14" s="18"/>
      <c r="CY14" s="18"/>
      <c r="CZ14" s="18"/>
      <c r="DA14" s="18"/>
      <c r="DB14" s="18"/>
      <c r="DC14" s="18"/>
      <c r="DD14" s="18"/>
      <c r="DE14" s="83"/>
      <c r="DF14" s="83"/>
      <c r="DG14" s="83"/>
      <c r="DH14" s="83"/>
      <c r="DI14" s="83"/>
      <c r="DJ14" s="83"/>
      <c r="DK14" s="18"/>
      <c r="DL14" s="18"/>
      <c r="DM14" s="18"/>
      <c r="DN14" s="77"/>
      <c r="DO14" s="18"/>
      <c r="DP14" s="18"/>
      <c r="DR14" s="77"/>
      <c r="DS14" s="26"/>
      <c r="DT14" s="26"/>
      <c r="DU14" s="83"/>
      <c r="DV14" s="83"/>
      <c r="DW14" s="18"/>
      <c r="DX14" s="18"/>
      <c r="DY14" s="18"/>
      <c r="DZ14" s="83"/>
      <c r="EA14" s="18"/>
      <c r="EB14" s="83"/>
      <c r="EC14" s="18"/>
      <c r="ED14" s="83"/>
      <c r="EE14" s="18"/>
      <c r="EF14" s="18"/>
      <c r="EG14" s="18"/>
      <c r="EH14" s="18"/>
      <c r="EI14" s="18"/>
      <c r="EJ14" s="18"/>
      <c r="EK14" s="18"/>
      <c r="EL14" s="18"/>
      <c r="EM14" s="18"/>
      <c r="EN14" s="18"/>
      <c r="EO14" s="18"/>
      <c r="EP14" s="18"/>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84"/>
      <c r="FR14" s="18"/>
      <c r="FS14" s="84"/>
      <c r="FT14" s="18"/>
      <c r="FU14" s="18"/>
      <c r="FV14" s="18"/>
      <c r="FW14" s="18"/>
      <c r="FX14" s="18"/>
      <c r="FY14" s="18"/>
      <c r="FZ14" s="18"/>
      <c r="GA14" s="18"/>
      <c r="GB14" s="84"/>
      <c r="GC14" s="18"/>
      <c r="GD14" s="18"/>
      <c r="GE14" s="18"/>
      <c r="GF14" s="18"/>
      <c r="GG14" s="84"/>
      <c r="GH14" s="18"/>
      <c r="GI14" s="18"/>
      <c r="GJ14" s="18"/>
      <c r="GK14" s="18"/>
      <c r="GL14" s="18"/>
      <c r="GM14" s="18"/>
      <c r="GN14" s="26">
        <v>1.0</v>
      </c>
      <c r="GO14" s="83"/>
      <c r="GP14" s="18"/>
      <c r="GQ14" s="18"/>
      <c r="GR14" s="18"/>
      <c r="GS14" s="18"/>
      <c r="GT14" s="18"/>
      <c r="GU14" s="18"/>
      <c r="GV14" s="84"/>
      <c r="GW14" s="18"/>
      <c r="GX14" s="18"/>
      <c r="GY14" s="18"/>
      <c r="GZ14" s="18"/>
      <c r="HA14" s="18"/>
      <c r="HB14" s="18"/>
      <c r="HC14" s="18"/>
      <c r="HD14" s="18"/>
      <c r="HE14" s="18"/>
      <c r="HF14" s="18"/>
      <c r="HG14" s="18"/>
      <c r="HH14" s="18"/>
      <c r="HI14" s="18"/>
      <c r="HJ14" s="18"/>
      <c r="HK14" s="18"/>
      <c r="HL14" s="18"/>
      <c r="HM14" s="18"/>
      <c r="HN14" s="18"/>
      <c r="HO14" s="18"/>
      <c r="HP14" s="18"/>
      <c r="HQ14" s="18"/>
      <c r="HR14" s="18"/>
      <c r="HS14" s="18"/>
      <c r="HT14" s="18"/>
      <c r="HU14" s="18"/>
      <c r="HV14" s="18"/>
      <c r="HW14" s="18"/>
      <c r="HX14" s="18"/>
      <c r="HY14" s="18"/>
      <c r="HZ14" s="18"/>
      <c r="IA14" s="18"/>
      <c r="IB14" s="18"/>
      <c r="IC14" s="18"/>
      <c r="ID14" s="18"/>
      <c r="IE14" s="18"/>
      <c r="IF14" s="18"/>
      <c r="IG14" s="18"/>
      <c r="IH14" s="18"/>
      <c r="II14" s="18"/>
      <c r="IJ14" s="18"/>
      <c r="IK14" s="18"/>
      <c r="IL14" s="83"/>
      <c r="IM14" s="18"/>
      <c r="IN14" s="83"/>
      <c r="IO14" s="26">
        <v>1.0</v>
      </c>
      <c r="IP14" s="26">
        <v>1.0</v>
      </c>
      <c r="IQ14" s="18"/>
      <c r="IR14" s="18"/>
      <c r="IS14" s="18"/>
      <c r="IT14" s="18"/>
      <c r="IU14" s="26"/>
      <c r="IV14" s="18"/>
      <c r="IW14" s="18"/>
      <c r="IX14" s="18"/>
      <c r="IY14" s="18"/>
      <c r="IZ14" s="18"/>
      <c r="JA14" s="18"/>
      <c r="JB14" s="18"/>
      <c r="JC14" s="18"/>
      <c r="JD14" s="18"/>
      <c r="JE14" s="18"/>
      <c r="JF14" s="18"/>
      <c r="JG14" s="18"/>
      <c r="JH14" s="18"/>
      <c r="JI14" s="18"/>
      <c r="JJ14" s="18"/>
      <c r="JK14" s="26">
        <v>1.0</v>
      </c>
      <c r="JL14" s="18"/>
      <c r="JM14" s="18"/>
      <c r="JN14" s="18"/>
      <c r="JO14" s="18"/>
      <c r="JP14" s="18"/>
      <c r="JQ14" s="18"/>
      <c r="JR14" s="18"/>
      <c r="JS14" s="18"/>
      <c r="JT14" s="18"/>
      <c r="JU14" s="18"/>
      <c r="JV14" s="18"/>
      <c r="JW14" s="18"/>
      <c r="JX14" s="18"/>
      <c r="JY14" s="18"/>
      <c r="JZ14" s="26">
        <v>1.0</v>
      </c>
      <c r="KA14" s="18"/>
      <c r="KB14" s="18"/>
      <c r="KC14" s="18"/>
      <c r="KD14" s="18"/>
      <c r="KE14" s="18"/>
      <c r="KF14" s="18"/>
      <c r="KG14" s="18"/>
      <c r="KH14" s="18"/>
      <c r="KI14" s="18"/>
      <c r="KJ14" s="18"/>
      <c r="KK14" s="18"/>
      <c r="KL14" s="18"/>
      <c r="KM14" s="26">
        <v>1.0</v>
      </c>
      <c r="KN14" s="18"/>
      <c r="KO14" s="18"/>
      <c r="KP14" s="18"/>
      <c r="KQ14" s="18"/>
      <c r="KR14" s="83"/>
      <c r="KS14" s="18"/>
      <c r="KT14" s="18"/>
      <c r="KU14" s="18"/>
      <c r="KV14" s="18"/>
      <c r="KW14" s="18"/>
    </row>
    <row r="15">
      <c r="A15" s="28">
        <v>16.0</v>
      </c>
      <c r="B15" s="28">
        <f t="shared" si="1"/>
        <v>14</v>
      </c>
      <c r="C15" s="28" t="s">
        <v>2342</v>
      </c>
      <c r="D15" s="29" t="s">
        <v>2426</v>
      </c>
      <c r="E15" s="30"/>
      <c r="F15" s="41" t="s">
        <v>2427</v>
      </c>
      <c r="G15" s="42" t="s">
        <v>2428</v>
      </c>
      <c r="H15" s="18"/>
      <c r="I15" s="18"/>
      <c r="J15" s="26">
        <v>1.0</v>
      </c>
      <c r="K15" s="18"/>
      <c r="L15" s="18"/>
      <c r="M15" s="83"/>
      <c r="N15" s="83"/>
      <c r="O15" s="83"/>
      <c r="P15" s="18"/>
      <c r="Q15" s="18"/>
      <c r="R15" s="18"/>
      <c r="S15" s="18"/>
      <c r="T15" s="18"/>
      <c r="U15" s="18"/>
      <c r="V15" s="18"/>
      <c r="W15" s="18"/>
      <c r="X15" s="18"/>
      <c r="Y15" s="18"/>
      <c r="Z15" s="18"/>
      <c r="AA15" s="18"/>
      <c r="AB15" s="18"/>
      <c r="AC15" s="26">
        <v>1.0</v>
      </c>
      <c r="AD15" s="18"/>
      <c r="AE15" s="18"/>
      <c r="AF15" s="26">
        <v>1.0</v>
      </c>
      <c r="AG15" s="18"/>
      <c r="AH15" s="18"/>
      <c r="AI15" s="18"/>
      <c r="AJ15" s="83"/>
      <c r="AK15" s="18"/>
      <c r="AL15" s="83"/>
      <c r="AM15" s="18"/>
      <c r="AN15" s="18"/>
      <c r="AO15" s="18"/>
      <c r="AP15" s="18"/>
      <c r="AQ15" s="18"/>
      <c r="AR15" s="18"/>
      <c r="AS15" s="18"/>
      <c r="AT15" s="18"/>
      <c r="AU15" s="18"/>
      <c r="AV15" s="18"/>
      <c r="AW15" s="83"/>
      <c r="AX15" s="83"/>
      <c r="AY15" s="18"/>
      <c r="AZ15" s="18"/>
      <c r="BA15" s="18"/>
      <c r="BB15" s="18"/>
      <c r="BC15" s="18"/>
      <c r="BD15" s="18"/>
      <c r="BE15" s="18"/>
      <c r="BF15" s="18"/>
      <c r="BG15" s="18"/>
      <c r="BH15" s="18"/>
      <c r="BI15" s="18"/>
      <c r="BJ15" s="83"/>
      <c r="BK15" s="18"/>
      <c r="BL15" s="18"/>
      <c r="BM15" s="18"/>
      <c r="BN15" s="83"/>
      <c r="BO15" s="83"/>
      <c r="BP15" s="18"/>
      <c r="BQ15" s="18"/>
      <c r="BR15" s="18"/>
      <c r="BS15" s="18"/>
      <c r="BT15" s="18"/>
      <c r="BU15" s="18"/>
      <c r="BV15" s="18"/>
      <c r="BW15" s="18"/>
      <c r="BX15" s="18"/>
      <c r="BY15" s="26">
        <v>1.0</v>
      </c>
      <c r="BZ15" s="83"/>
      <c r="CA15" s="18"/>
      <c r="CB15" s="18"/>
      <c r="CC15" s="18"/>
      <c r="CD15" s="18"/>
      <c r="CE15" s="83"/>
      <c r="CF15" s="18"/>
      <c r="CG15" s="18"/>
      <c r="CH15" s="18"/>
      <c r="CI15" s="18"/>
      <c r="CJ15" s="18"/>
      <c r="CK15" s="26">
        <v>1.0</v>
      </c>
      <c r="CL15" s="18"/>
      <c r="CM15" s="18"/>
      <c r="CN15" s="18"/>
      <c r="CO15" s="18"/>
      <c r="CP15" s="18"/>
      <c r="CQ15" s="18"/>
      <c r="CR15" s="26">
        <v>1.0</v>
      </c>
      <c r="CT15" s="26">
        <v>1.0</v>
      </c>
      <c r="CU15" s="18"/>
      <c r="CV15" s="18"/>
      <c r="CW15" s="18"/>
      <c r="CX15" s="18"/>
      <c r="CY15" s="18"/>
      <c r="CZ15" s="18"/>
      <c r="DA15" s="18"/>
      <c r="DB15" s="18"/>
      <c r="DC15" s="18"/>
      <c r="DD15" s="18"/>
      <c r="DE15" s="83"/>
      <c r="DF15" s="83"/>
      <c r="DG15" s="83"/>
      <c r="DH15" s="83"/>
      <c r="DI15" s="83"/>
      <c r="DJ15" s="83"/>
      <c r="DK15" s="18"/>
      <c r="DL15" s="18"/>
      <c r="DM15" s="18"/>
      <c r="DN15" s="83"/>
      <c r="DO15" s="18"/>
      <c r="DP15" s="18"/>
      <c r="DQ15" s="18"/>
      <c r="DR15" s="83"/>
      <c r="DS15" s="18"/>
      <c r="DT15" s="18"/>
      <c r="DU15" s="83"/>
      <c r="DV15" s="83"/>
      <c r="DW15" s="18"/>
      <c r="DX15" s="18"/>
      <c r="DY15" s="18"/>
      <c r="DZ15" s="83"/>
      <c r="EA15" s="18"/>
      <c r="EB15" s="83"/>
      <c r="EC15" s="18"/>
      <c r="ED15" s="83"/>
      <c r="EE15" s="18"/>
      <c r="EF15" s="18"/>
      <c r="EG15" s="18"/>
      <c r="EH15" s="18"/>
      <c r="EI15" s="18"/>
      <c r="EJ15" s="26">
        <v>1.0</v>
      </c>
      <c r="EK15" s="18"/>
      <c r="EL15" s="18"/>
      <c r="EM15" s="18"/>
      <c r="EN15" s="18"/>
      <c r="EO15" s="18"/>
      <c r="EP15" s="18"/>
      <c r="EQ15" s="18"/>
      <c r="ER15" s="18"/>
      <c r="ES15" s="18"/>
      <c r="ET15" s="18"/>
      <c r="EU15" s="18"/>
      <c r="EV15" s="18"/>
      <c r="EW15" s="26">
        <v>1.0</v>
      </c>
      <c r="EX15" s="18"/>
      <c r="EY15" s="18"/>
      <c r="EZ15" s="18"/>
      <c r="FA15" s="18"/>
      <c r="FB15" s="18"/>
      <c r="FC15" s="18"/>
      <c r="FD15" s="18"/>
      <c r="FE15" s="18"/>
      <c r="FF15" s="26"/>
      <c r="FG15" s="26"/>
      <c r="FH15" s="18"/>
      <c r="FI15" s="18"/>
      <c r="FJ15" s="18"/>
      <c r="FK15" s="18"/>
      <c r="FL15" s="18"/>
      <c r="FM15" s="18"/>
      <c r="FN15" s="18"/>
      <c r="FO15" s="18"/>
      <c r="FP15" s="18"/>
      <c r="FQ15" s="84"/>
      <c r="FR15" s="18"/>
      <c r="FS15" s="84"/>
      <c r="FT15" s="18"/>
      <c r="FU15" s="18"/>
      <c r="FV15" s="18"/>
      <c r="FW15" s="18"/>
      <c r="FX15" s="18"/>
      <c r="FY15" s="18"/>
      <c r="FZ15" s="18"/>
      <c r="GA15" s="18"/>
      <c r="GB15" s="84"/>
      <c r="GC15" s="18"/>
      <c r="GD15" s="18"/>
      <c r="GE15" s="18"/>
      <c r="GF15" s="18"/>
      <c r="GG15" s="84"/>
      <c r="GH15" s="18"/>
      <c r="GI15" s="18"/>
      <c r="GJ15" s="18"/>
      <c r="GK15" s="18"/>
      <c r="GL15" s="18"/>
      <c r="GM15" s="18"/>
      <c r="GN15" s="26"/>
      <c r="GO15" s="83"/>
      <c r="GP15" s="18"/>
      <c r="GQ15" s="18"/>
      <c r="GR15" s="18"/>
      <c r="GS15" s="18"/>
      <c r="GT15" s="18"/>
      <c r="GU15" s="18"/>
      <c r="GV15" s="84"/>
      <c r="GW15" s="18"/>
      <c r="GX15" s="18"/>
      <c r="GY15" s="18"/>
      <c r="GZ15" s="18"/>
      <c r="HA15" s="18"/>
      <c r="HB15" s="18"/>
      <c r="HC15" s="18"/>
      <c r="HD15" s="18"/>
      <c r="HE15" s="18"/>
      <c r="HF15" s="18"/>
      <c r="HG15" s="81">
        <v>1.0</v>
      </c>
      <c r="HH15" s="18"/>
      <c r="HI15" s="18"/>
      <c r="HJ15" s="18"/>
      <c r="HK15" s="18"/>
      <c r="HL15" s="18"/>
      <c r="HM15" s="18"/>
      <c r="HN15" s="26">
        <v>1.0</v>
      </c>
      <c r="HO15" s="18"/>
      <c r="HP15" s="18"/>
      <c r="HQ15" s="18"/>
      <c r="HR15" s="18"/>
      <c r="HS15" s="18"/>
      <c r="HT15" s="26"/>
      <c r="HU15" s="18"/>
      <c r="HV15" s="18"/>
      <c r="HW15" s="18"/>
      <c r="HX15" s="18"/>
      <c r="HY15" s="18"/>
      <c r="HZ15" s="26"/>
      <c r="IA15" s="18"/>
      <c r="IB15" s="18"/>
      <c r="IC15" s="18"/>
      <c r="ID15" s="18"/>
      <c r="IE15" s="18"/>
      <c r="IF15" s="18"/>
      <c r="IG15" s="18"/>
      <c r="IH15" s="18"/>
      <c r="II15" s="18"/>
      <c r="IJ15" s="18"/>
      <c r="IK15" s="18"/>
      <c r="IL15" s="83"/>
      <c r="IM15" s="18"/>
      <c r="IN15" s="83"/>
      <c r="IO15" s="18"/>
      <c r="IP15" s="26">
        <v>1.0</v>
      </c>
      <c r="IQ15" s="26"/>
      <c r="IR15" s="18"/>
      <c r="IS15" s="18"/>
      <c r="IT15" s="18"/>
      <c r="IU15" s="26"/>
      <c r="IV15" s="26"/>
      <c r="IW15" s="18"/>
      <c r="IX15" s="18"/>
      <c r="IY15" s="18"/>
      <c r="IZ15" s="18"/>
      <c r="JA15" s="18"/>
      <c r="JB15" s="18"/>
      <c r="JC15" s="18"/>
      <c r="JD15" s="18"/>
      <c r="JE15" s="18"/>
      <c r="JF15" s="18"/>
      <c r="JG15" s="18"/>
      <c r="JH15" s="18"/>
      <c r="JI15" s="18"/>
      <c r="JJ15" s="18"/>
      <c r="JK15" s="18"/>
      <c r="JL15" s="18"/>
      <c r="JM15" s="18"/>
      <c r="JN15" s="18"/>
      <c r="JO15" s="18"/>
      <c r="JP15" s="18"/>
      <c r="JQ15" s="18"/>
      <c r="JR15" s="18"/>
      <c r="JS15" s="18"/>
      <c r="JT15" s="18"/>
      <c r="JU15" s="18"/>
      <c r="JV15" s="18"/>
      <c r="JW15" s="18"/>
      <c r="JX15" s="26">
        <v>1.0</v>
      </c>
      <c r="JY15" s="18"/>
      <c r="JZ15" s="26">
        <v>1.0</v>
      </c>
      <c r="KA15" s="18"/>
      <c r="KB15" s="18"/>
      <c r="KC15" s="18"/>
      <c r="KD15" s="18"/>
      <c r="KE15" s="18"/>
      <c r="KF15" s="18"/>
      <c r="KG15" s="18"/>
      <c r="KH15" s="18"/>
      <c r="KI15" s="18"/>
      <c r="KJ15" s="18"/>
      <c r="KK15" s="18"/>
      <c r="KL15" s="18"/>
      <c r="KM15" s="18"/>
      <c r="KN15" s="18"/>
      <c r="KO15" s="18"/>
      <c r="KP15" s="18"/>
      <c r="KQ15" s="18"/>
      <c r="KR15" s="83"/>
      <c r="KS15" s="18"/>
      <c r="KT15" s="18"/>
      <c r="KU15" s="18"/>
      <c r="KV15" s="18"/>
      <c r="KW15" s="18"/>
    </row>
    <row r="16">
      <c r="A16" s="28">
        <v>17.0</v>
      </c>
      <c r="B16" s="28">
        <f t="shared" si="1"/>
        <v>7</v>
      </c>
      <c r="C16" s="28" t="s">
        <v>2342</v>
      </c>
      <c r="D16" s="42" t="s">
        <v>2431</v>
      </c>
      <c r="E16" s="30"/>
      <c r="F16" s="29" t="s">
        <v>2432</v>
      </c>
      <c r="G16" s="42" t="s">
        <v>2433</v>
      </c>
      <c r="H16" s="18"/>
      <c r="I16" s="18"/>
      <c r="J16" s="18"/>
      <c r="K16" s="18"/>
      <c r="L16" s="18"/>
      <c r="M16" s="83"/>
      <c r="N16" s="83"/>
      <c r="O16" s="83"/>
      <c r="P16" s="18"/>
      <c r="Q16" s="18"/>
      <c r="R16" s="18"/>
      <c r="S16" s="18"/>
      <c r="T16" s="18"/>
      <c r="U16" s="18"/>
      <c r="V16" s="18"/>
      <c r="W16" s="18"/>
      <c r="X16" s="18"/>
      <c r="Y16" s="18"/>
      <c r="Z16" s="18"/>
      <c r="AA16" s="18"/>
      <c r="AB16" s="18"/>
      <c r="AC16" s="18"/>
      <c r="AD16" s="18"/>
      <c r="AE16" s="18"/>
      <c r="AF16" s="18"/>
      <c r="AG16" s="18"/>
      <c r="AH16" s="18"/>
      <c r="AI16" s="18"/>
      <c r="AJ16" s="83"/>
      <c r="AK16" s="18"/>
      <c r="AL16" s="83"/>
      <c r="AM16" s="18"/>
      <c r="AN16" s="18"/>
      <c r="AO16" s="18"/>
      <c r="AP16" s="18"/>
      <c r="AQ16" s="18"/>
      <c r="AR16" s="18"/>
      <c r="AS16" s="18"/>
      <c r="AT16" s="18"/>
      <c r="AU16" s="18"/>
      <c r="AV16" s="18"/>
      <c r="AW16" s="83"/>
      <c r="AX16" s="83"/>
      <c r="AY16" s="18"/>
      <c r="AZ16" s="18"/>
      <c r="BA16" s="18"/>
      <c r="BB16" s="18"/>
      <c r="BC16" s="18"/>
      <c r="BD16" s="18"/>
      <c r="BE16" s="18"/>
      <c r="BF16" s="18"/>
      <c r="BG16" s="18"/>
      <c r="BH16" s="18"/>
      <c r="BI16" s="18"/>
      <c r="BJ16" s="83"/>
      <c r="BK16" s="18"/>
      <c r="BL16" s="18"/>
      <c r="BM16" s="18"/>
      <c r="BN16" s="83"/>
      <c r="BO16" s="83"/>
      <c r="BP16" s="18"/>
      <c r="BQ16" s="18"/>
      <c r="BR16" s="18"/>
      <c r="BS16" s="18"/>
      <c r="BT16" s="18"/>
      <c r="BU16" s="18"/>
      <c r="BV16" s="18"/>
      <c r="BW16" s="18"/>
      <c r="BX16" s="18"/>
      <c r="BY16" s="18"/>
      <c r="BZ16" s="83"/>
      <c r="CA16" s="18"/>
      <c r="CB16" s="18"/>
      <c r="CC16" s="18"/>
      <c r="CD16" s="18"/>
      <c r="CE16" s="83"/>
      <c r="CF16" s="18"/>
      <c r="CG16" s="18"/>
      <c r="CH16" s="18"/>
      <c r="CI16" s="18"/>
      <c r="CJ16" s="18"/>
      <c r="CK16" s="18"/>
      <c r="CL16" s="18"/>
      <c r="CM16" s="18"/>
      <c r="CN16" s="18"/>
      <c r="CO16" s="18"/>
      <c r="CP16" s="26">
        <v>1.0</v>
      </c>
      <c r="CQ16" s="18"/>
      <c r="CR16" s="18"/>
      <c r="CT16" s="18"/>
      <c r="CU16" s="18"/>
      <c r="CV16" s="18"/>
      <c r="CW16" s="18"/>
      <c r="CX16" s="18"/>
      <c r="CY16" s="18"/>
      <c r="CZ16" s="18"/>
      <c r="DA16" s="18"/>
      <c r="DB16" s="18"/>
      <c r="DC16" s="18"/>
      <c r="DD16" s="18"/>
      <c r="DE16" s="83"/>
      <c r="DF16" s="83"/>
      <c r="DG16" s="83"/>
      <c r="DH16" s="83"/>
      <c r="DI16" s="83"/>
      <c r="DJ16" s="83"/>
      <c r="DK16" s="18"/>
      <c r="DL16" s="18"/>
      <c r="DM16" s="18"/>
      <c r="DN16" s="83"/>
      <c r="DO16" s="18"/>
      <c r="DP16" s="18"/>
      <c r="DQ16" s="18"/>
      <c r="DR16" s="83"/>
      <c r="DS16" s="18"/>
      <c r="DT16" s="18"/>
      <c r="DU16" s="83"/>
      <c r="DV16" s="83"/>
      <c r="DW16" s="18"/>
      <c r="DX16" s="18"/>
      <c r="DY16" s="18"/>
      <c r="DZ16" s="83"/>
      <c r="EA16" s="18"/>
      <c r="EB16" s="83"/>
      <c r="EC16" s="18"/>
      <c r="ED16" s="83"/>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18"/>
      <c r="FC16" s="18"/>
      <c r="FD16" s="18"/>
      <c r="FE16" s="18"/>
      <c r="FF16" s="18"/>
      <c r="FG16" s="18"/>
      <c r="FH16" s="26">
        <v>1.0</v>
      </c>
      <c r="FI16" s="18"/>
      <c r="FJ16" s="18"/>
      <c r="FK16" s="18"/>
      <c r="FL16" s="18"/>
      <c r="FM16" s="18"/>
      <c r="FN16" s="18"/>
      <c r="FO16" s="26">
        <v>1.0</v>
      </c>
      <c r="FP16" s="18"/>
      <c r="FQ16" s="84"/>
      <c r="FR16" s="18"/>
      <c r="FS16" s="84"/>
      <c r="FT16" s="18"/>
      <c r="FU16" s="18"/>
      <c r="FV16" s="18"/>
      <c r="FW16" s="18"/>
      <c r="FX16" s="18"/>
      <c r="FY16" s="18"/>
      <c r="FZ16" s="18"/>
      <c r="GA16" s="18"/>
      <c r="GB16" s="84"/>
      <c r="GC16" s="18"/>
      <c r="GD16" s="18"/>
      <c r="GE16" s="18"/>
      <c r="GF16" s="18"/>
      <c r="GG16" s="84"/>
      <c r="GH16" s="18"/>
      <c r="GI16" s="18"/>
      <c r="GJ16" s="18"/>
      <c r="GK16" s="18"/>
      <c r="GL16" s="18"/>
      <c r="GM16" s="18"/>
      <c r="GN16" s="18"/>
      <c r="GO16" s="83"/>
      <c r="GP16" s="18"/>
      <c r="GQ16" s="18"/>
      <c r="GR16" s="26">
        <v>1.0</v>
      </c>
      <c r="GS16" s="18"/>
      <c r="GT16" s="18"/>
      <c r="GU16" s="26">
        <v>1.0</v>
      </c>
      <c r="GV16" s="84"/>
      <c r="GW16" s="18"/>
      <c r="GX16" s="18"/>
      <c r="GY16" s="18"/>
      <c r="GZ16" s="18"/>
      <c r="HA16" s="18"/>
      <c r="HB16" s="18"/>
      <c r="HC16" s="18"/>
      <c r="HD16" s="18"/>
      <c r="HE16" s="18"/>
      <c r="HF16" s="18"/>
      <c r="HG16" s="18"/>
      <c r="HH16" s="18"/>
      <c r="HI16" s="18"/>
      <c r="HJ16" s="18"/>
      <c r="HK16" s="18"/>
      <c r="HL16" s="18"/>
      <c r="HM16" s="18"/>
      <c r="HN16" s="18"/>
      <c r="HO16" s="18"/>
      <c r="HP16" s="18"/>
      <c r="HQ16" s="18"/>
      <c r="HR16" s="18"/>
      <c r="HS16" s="26">
        <v>1.0</v>
      </c>
      <c r="HT16" s="18"/>
      <c r="HU16" s="18"/>
      <c r="HV16" s="18"/>
      <c r="HW16" s="18"/>
      <c r="HX16" s="18"/>
      <c r="HY16" s="18"/>
      <c r="HZ16" s="18"/>
      <c r="IA16" s="18"/>
      <c r="IB16" s="18"/>
      <c r="IC16" s="18"/>
      <c r="ID16" s="18"/>
      <c r="IE16" s="18"/>
      <c r="IF16" s="18"/>
      <c r="IG16" s="18"/>
      <c r="IH16" s="18"/>
      <c r="II16" s="18"/>
      <c r="IJ16" s="18"/>
      <c r="IK16" s="18"/>
      <c r="IL16" s="83"/>
      <c r="IM16" s="18"/>
      <c r="IN16" s="83"/>
      <c r="IO16" s="18"/>
      <c r="IP16" s="18"/>
      <c r="IQ16" s="18"/>
      <c r="IR16" s="18"/>
      <c r="IS16" s="18"/>
      <c r="IT16" s="18"/>
      <c r="IU16" s="18"/>
      <c r="IV16" s="18"/>
      <c r="IW16" s="18"/>
      <c r="IX16" s="18"/>
      <c r="IY16" s="18"/>
      <c r="IZ16" s="18"/>
      <c r="JA16" s="18"/>
      <c r="JB16" s="18"/>
      <c r="JC16" s="18"/>
      <c r="JD16" s="18"/>
      <c r="JE16" s="18"/>
      <c r="JF16" s="18"/>
      <c r="JG16" s="18"/>
      <c r="JH16" s="18"/>
      <c r="JI16" s="18"/>
      <c r="JJ16" s="18"/>
      <c r="JK16" s="18"/>
      <c r="JL16" s="18"/>
      <c r="JM16" s="18"/>
      <c r="JN16" s="18"/>
      <c r="JO16" s="18"/>
      <c r="JP16" s="18"/>
      <c r="JQ16" s="18"/>
      <c r="JR16" s="18"/>
      <c r="JS16" s="18"/>
      <c r="JT16" s="18"/>
      <c r="JU16" s="18"/>
      <c r="JV16" s="18"/>
      <c r="JW16" s="18"/>
      <c r="JX16" s="18"/>
      <c r="JY16" s="18"/>
      <c r="JZ16" s="18"/>
      <c r="KA16" s="18"/>
      <c r="KB16" s="18"/>
      <c r="KC16" s="18"/>
      <c r="KD16" s="26">
        <v>1.0</v>
      </c>
      <c r="KE16" s="18"/>
      <c r="KF16" s="18"/>
      <c r="KG16" s="18"/>
      <c r="KH16" s="18"/>
      <c r="KI16" s="18"/>
      <c r="KJ16" s="18"/>
      <c r="KK16" s="18"/>
      <c r="KL16" s="18"/>
      <c r="KM16" s="18"/>
      <c r="KN16" s="18"/>
      <c r="KO16" s="18"/>
      <c r="KP16" s="18"/>
      <c r="KQ16" s="18"/>
      <c r="KR16" s="83"/>
      <c r="KS16" s="18"/>
      <c r="KT16" s="18"/>
      <c r="KU16" s="18"/>
      <c r="KV16" s="18"/>
      <c r="KW16" s="18"/>
    </row>
    <row r="17">
      <c r="A17" s="28">
        <v>18.0</v>
      </c>
      <c r="B17" s="28">
        <f t="shared" si="1"/>
        <v>9</v>
      </c>
      <c r="C17" s="86" t="s">
        <v>2342</v>
      </c>
      <c r="D17" s="87" t="s">
        <v>2438</v>
      </c>
      <c r="E17" s="87" t="s">
        <v>2439</v>
      </c>
      <c r="F17" s="29" t="s">
        <v>2440</v>
      </c>
      <c r="G17" s="87" t="s">
        <v>2441</v>
      </c>
      <c r="H17" s="18"/>
      <c r="I17" s="18"/>
      <c r="J17" s="18"/>
      <c r="K17" s="18"/>
      <c r="L17" s="18"/>
      <c r="M17" s="83"/>
      <c r="N17" s="83"/>
      <c r="O17" s="83"/>
      <c r="P17" s="18"/>
      <c r="Q17" s="18"/>
      <c r="R17" s="18"/>
      <c r="S17" s="18"/>
      <c r="T17" s="18"/>
      <c r="U17" s="18"/>
      <c r="V17" s="18"/>
      <c r="W17" s="18"/>
      <c r="X17" s="18"/>
      <c r="Y17" s="18"/>
      <c r="Z17" s="18"/>
      <c r="AA17" s="18"/>
      <c r="AB17" s="18"/>
      <c r="AC17" s="18"/>
      <c r="AD17" s="18"/>
      <c r="AE17" s="18"/>
      <c r="AF17" s="18"/>
      <c r="AG17" s="18"/>
      <c r="AH17" s="18"/>
      <c r="AI17" s="18"/>
      <c r="AJ17" s="83"/>
      <c r="AK17" s="18"/>
      <c r="AL17" s="83"/>
      <c r="AM17" s="18"/>
      <c r="AN17" s="18"/>
      <c r="AO17" s="18"/>
      <c r="AP17" s="18"/>
      <c r="AQ17" s="18"/>
      <c r="AR17" s="18"/>
      <c r="AS17" s="18"/>
      <c r="AT17" s="18"/>
      <c r="AU17" s="18"/>
      <c r="AV17" s="18"/>
      <c r="AW17" s="83"/>
      <c r="AX17" s="83"/>
      <c r="AY17" s="18"/>
      <c r="AZ17" s="18"/>
      <c r="BA17" s="18"/>
      <c r="BB17" s="18"/>
      <c r="BC17" s="26">
        <v>1.0</v>
      </c>
      <c r="BD17" s="18"/>
      <c r="BE17" s="18"/>
      <c r="BF17" s="18"/>
      <c r="BG17" s="18"/>
      <c r="BH17" s="18"/>
      <c r="BI17" s="18"/>
      <c r="BJ17" s="83"/>
      <c r="BK17" s="18"/>
      <c r="BL17" s="18"/>
      <c r="BM17" s="18"/>
      <c r="BN17" s="83"/>
      <c r="BO17" s="83"/>
      <c r="BP17" s="18"/>
      <c r="BQ17" s="18"/>
      <c r="BR17" s="18"/>
      <c r="BS17" s="18"/>
      <c r="BT17" s="18"/>
      <c r="BU17" s="18"/>
      <c r="BV17" s="18"/>
      <c r="BW17" s="18"/>
      <c r="BX17" s="18"/>
      <c r="BY17" s="18"/>
      <c r="BZ17" s="83"/>
      <c r="CA17" s="18"/>
      <c r="CB17" s="18"/>
      <c r="CC17" s="18"/>
      <c r="CD17" s="18"/>
      <c r="CE17" s="83"/>
      <c r="CF17" s="18"/>
      <c r="CG17" s="18"/>
      <c r="CH17" s="18"/>
      <c r="CI17" s="18"/>
      <c r="CJ17" s="18"/>
      <c r="CK17" s="18"/>
      <c r="CL17" s="18"/>
      <c r="CM17" s="18"/>
      <c r="CN17" s="18"/>
      <c r="CO17" s="18"/>
      <c r="CP17" s="18"/>
      <c r="CQ17" s="18"/>
      <c r="CR17" s="18"/>
      <c r="CT17" s="18"/>
      <c r="CU17" s="26">
        <v>1.0</v>
      </c>
      <c r="CV17" s="26">
        <v>1.0</v>
      </c>
      <c r="CW17" s="18"/>
      <c r="CX17" s="18"/>
      <c r="CY17" s="18"/>
      <c r="CZ17" s="18"/>
      <c r="DA17" s="18"/>
      <c r="DB17" s="18"/>
      <c r="DC17" s="18"/>
      <c r="DD17" s="18"/>
      <c r="DE17" s="83"/>
      <c r="DF17" s="83"/>
      <c r="DG17" s="83"/>
      <c r="DH17" s="83"/>
      <c r="DI17" s="83"/>
      <c r="DJ17" s="83"/>
      <c r="DK17" s="18"/>
      <c r="DL17" s="18"/>
      <c r="DM17" s="18"/>
      <c r="DN17" s="83"/>
      <c r="DO17" s="18"/>
      <c r="DP17" s="18"/>
      <c r="DQ17" s="18"/>
      <c r="DR17" s="83"/>
      <c r="DS17" s="18"/>
      <c r="DT17" s="18"/>
      <c r="DU17" s="83"/>
      <c r="DV17" s="83"/>
      <c r="DW17" s="18"/>
      <c r="DX17" s="18"/>
      <c r="DY17" s="18"/>
      <c r="DZ17" s="83"/>
      <c r="EA17" s="18"/>
      <c r="EB17" s="83"/>
      <c r="EC17" s="18"/>
      <c r="ED17" s="83"/>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84"/>
      <c r="FR17" s="18"/>
      <c r="FS17" s="84"/>
      <c r="FT17" s="18"/>
      <c r="FU17" s="18"/>
      <c r="FV17" s="18"/>
      <c r="FW17" s="18"/>
      <c r="FX17" s="18"/>
      <c r="FY17" s="18"/>
      <c r="FZ17" s="18"/>
      <c r="GA17" s="18"/>
      <c r="GB17" s="84"/>
      <c r="GC17" s="18"/>
      <c r="GD17" s="18"/>
      <c r="GE17" s="18"/>
      <c r="GF17" s="18"/>
      <c r="GG17" s="84"/>
      <c r="GH17" s="18"/>
      <c r="GI17" s="18"/>
      <c r="GJ17" s="18"/>
      <c r="GK17" s="18"/>
      <c r="GL17" s="18"/>
      <c r="GM17" s="18"/>
      <c r="GN17" s="18"/>
      <c r="GO17" s="83"/>
      <c r="GP17" s="18"/>
      <c r="GQ17" s="18"/>
      <c r="GR17" s="18"/>
      <c r="GS17" s="18"/>
      <c r="GT17" s="18"/>
      <c r="GU17" s="18"/>
      <c r="GV17" s="84"/>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26">
        <v>1.0</v>
      </c>
      <c r="ID17" s="18"/>
      <c r="IE17" s="18"/>
      <c r="IF17" s="18"/>
      <c r="IG17" s="18"/>
      <c r="IH17" s="26"/>
      <c r="II17" s="26">
        <v>1.0</v>
      </c>
      <c r="IJ17" s="18"/>
      <c r="IK17" s="26">
        <v>1.0</v>
      </c>
      <c r="IL17" s="83"/>
      <c r="IM17" s="18"/>
      <c r="IN17" s="83"/>
      <c r="IO17" s="18"/>
      <c r="IP17" s="18"/>
      <c r="IQ17" s="18"/>
      <c r="IR17" s="26">
        <v>1.0</v>
      </c>
      <c r="IS17" s="18"/>
      <c r="IT17" s="18"/>
      <c r="IU17" s="18"/>
      <c r="IV17" s="18"/>
      <c r="IW17" s="18"/>
      <c r="IX17" s="18"/>
      <c r="IY17" s="18"/>
      <c r="IZ17" s="18"/>
      <c r="JA17" s="18"/>
      <c r="JB17" s="18"/>
      <c r="JC17" s="18"/>
      <c r="JD17" s="18"/>
      <c r="JE17" s="18"/>
      <c r="JF17" s="18"/>
      <c r="JG17" s="18"/>
      <c r="JH17" s="18"/>
      <c r="JI17" s="26">
        <v>1.0</v>
      </c>
      <c r="JJ17" s="18"/>
      <c r="JK17" s="18"/>
      <c r="JL17" s="18"/>
      <c r="JM17" s="18"/>
      <c r="JN17" s="18"/>
      <c r="JO17" s="18"/>
      <c r="JP17" s="26">
        <v>1.0</v>
      </c>
      <c r="JQ17" s="18"/>
      <c r="JR17" s="18"/>
      <c r="JS17" s="18"/>
      <c r="JT17" s="18"/>
      <c r="JU17" s="18"/>
      <c r="JV17" s="18"/>
      <c r="JW17" s="18"/>
      <c r="JX17" s="18"/>
      <c r="JY17" s="18"/>
      <c r="JZ17" s="18"/>
      <c r="KA17" s="18"/>
      <c r="KB17" s="18"/>
      <c r="KC17" s="18"/>
      <c r="KD17" s="18"/>
      <c r="KE17" s="18"/>
      <c r="KF17" s="18"/>
      <c r="KG17" s="18"/>
      <c r="KH17" s="18"/>
      <c r="KI17" s="18"/>
      <c r="KJ17" s="18"/>
      <c r="KK17" s="18"/>
      <c r="KL17" s="18"/>
      <c r="KM17" s="18"/>
      <c r="KN17" s="18"/>
      <c r="KO17" s="18"/>
      <c r="KP17" s="18"/>
      <c r="KQ17" s="18"/>
      <c r="KR17" s="83"/>
      <c r="KS17" s="18"/>
      <c r="KT17" s="18"/>
      <c r="KU17" s="18"/>
      <c r="KV17" s="18"/>
      <c r="KW17" s="18"/>
    </row>
    <row r="18">
      <c r="A18" s="28">
        <v>19.0</v>
      </c>
      <c r="B18" s="28">
        <f t="shared" si="1"/>
        <v>11</v>
      </c>
      <c r="C18" s="28" t="s">
        <v>2332</v>
      </c>
      <c r="D18" s="29" t="s">
        <v>2448</v>
      </c>
      <c r="E18" s="30"/>
      <c r="F18" s="29" t="s">
        <v>2449</v>
      </c>
      <c r="G18" s="30"/>
      <c r="H18" s="18"/>
      <c r="I18" s="18"/>
      <c r="J18" s="18"/>
      <c r="K18" s="18"/>
      <c r="L18" s="18"/>
      <c r="M18" s="83"/>
      <c r="N18" s="83"/>
      <c r="O18" s="83"/>
      <c r="P18" s="18"/>
      <c r="Q18" s="18"/>
      <c r="R18" s="18"/>
      <c r="S18" s="18"/>
      <c r="T18" s="18"/>
      <c r="U18" s="18"/>
      <c r="V18" s="18"/>
      <c r="W18" s="18"/>
      <c r="X18" s="18"/>
      <c r="Y18" s="18"/>
      <c r="Z18" s="18"/>
      <c r="AA18" s="18"/>
      <c r="AB18" s="18"/>
      <c r="AC18" s="18"/>
      <c r="AD18" s="18"/>
      <c r="AE18" s="18"/>
      <c r="AF18" s="18"/>
      <c r="AG18" s="18"/>
      <c r="AH18" s="18"/>
      <c r="AI18" s="18"/>
      <c r="AJ18" s="83"/>
      <c r="AK18" s="18"/>
      <c r="AL18" s="83"/>
      <c r="AM18" s="18"/>
      <c r="AN18" s="18"/>
      <c r="AO18" s="18"/>
      <c r="AP18" s="18"/>
      <c r="AQ18" s="26">
        <v>1.0</v>
      </c>
      <c r="AR18" s="18"/>
      <c r="AS18" s="18"/>
      <c r="AT18" s="18"/>
      <c r="AU18" s="18"/>
      <c r="AV18" s="18"/>
      <c r="AW18" s="83"/>
      <c r="AX18" s="83"/>
      <c r="AY18" s="18"/>
      <c r="AZ18" s="18"/>
      <c r="BA18" s="18"/>
      <c r="BB18" s="18"/>
      <c r="BC18" s="18"/>
      <c r="BD18" s="18"/>
      <c r="BE18" s="18"/>
      <c r="BF18" s="18"/>
      <c r="BG18" s="18"/>
      <c r="BH18" s="18"/>
      <c r="BI18" s="18"/>
      <c r="BJ18" s="83"/>
      <c r="BK18" s="18"/>
      <c r="BL18" s="18"/>
      <c r="BM18" s="18"/>
      <c r="BN18" s="83"/>
      <c r="BO18" s="83"/>
      <c r="BP18" s="18"/>
      <c r="BQ18" s="18"/>
      <c r="BR18" s="18"/>
      <c r="BS18" s="26">
        <v>1.0</v>
      </c>
      <c r="BU18" s="18"/>
      <c r="BV18" s="18"/>
      <c r="BW18" s="18"/>
      <c r="BX18" s="26">
        <v>1.0</v>
      </c>
      <c r="BY18" s="18"/>
      <c r="BZ18" s="83"/>
      <c r="CA18" s="18"/>
      <c r="CB18" s="18"/>
      <c r="CC18" s="18"/>
      <c r="CD18" s="18"/>
      <c r="CE18" s="83"/>
      <c r="CF18" s="18"/>
      <c r="CG18" s="18"/>
      <c r="CH18" s="18"/>
      <c r="CI18" s="18"/>
      <c r="CJ18" s="18"/>
      <c r="CK18" s="18"/>
      <c r="CL18" s="18"/>
      <c r="CM18" s="18"/>
      <c r="CN18" s="18"/>
      <c r="CO18" s="18"/>
      <c r="CQ18" s="18"/>
      <c r="CR18" s="18"/>
      <c r="CT18" s="18"/>
      <c r="CU18" s="18"/>
      <c r="CV18" s="18"/>
      <c r="CW18" s="18"/>
      <c r="CX18" s="18"/>
      <c r="CY18" s="18"/>
      <c r="CZ18" s="18"/>
      <c r="DA18" s="18"/>
      <c r="DB18" s="18"/>
      <c r="DC18" s="18"/>
      <c r="DD18" s="18"/>
      <c r="DE18" s="83"/>
      <c r="DF18" s="83"/>
      <c r="DG18" s="83"/>
      <c r="DH18" s="83"/>
      <c r="DI18" s="83"/>
      <c r="DJ18" s="83"/>
      <c r="DK18" s="18"/>
      <c r="DL18" s="18"/>
      <c r="DM18" s="18"/>
      <c r="DN18" s="83"/>
      <c r="DO18" s="18"/>
      <c r="DP18" s="18"/>
      <c r="DQ18" s="18"/>
      <c r="DR18" s="83"/>
      <c r="DS18" s="18"/>
      <c r="DT18" s="18"/>
      <c r="DU18" s="83"/>
      <c r="DV18" s="83"/>
      <c r="DW18" s="18"/>
      <c r="DX18" s="18"/>
      <c r="DY18" s="18"/>
      <c r="DZ18" s="83"/>
      <c r="EA18" s="18"/>
      <c r="EB18" s="83"/>
      <c r="EC18" s="18"/>
      <c r="ED18" s="83"/>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26">
        <v>1.0</v>
      </c>
      <c r="FI18" s="18"/>
      <c r="FJ18" s="18"/>
      <c r="FK18" s="18"/>
      <c r="FL18" s="18"/>
      <c r="FM18" s="18"/>
      <c r="FN18" s="18"/>
      <c r="FO18" s="26">
        <v>1.0</v>
      </c>
      <c r="FP18" s="18"/>
      <c r="FQ18" s="84"/>
      <c r="FR18" s="18"/>
      <c r="FS18" s="84"/>
      <c r="FT18" s="18"/>
      <c r="FU18" s="18"/>
      <c r="FV18" s="18"/>
      <c r="FW18" s="18"/>
      <c r="FX18" s="18"/>
      <c r="FY18" s="18"/>
      <c r="FZ18" s="18"/>
      <c r="GA18" s="18"/>
      <c r="GB18" s="84"/>
      <c r="GC18" s="18"/>
      <c r="GD18" s="18"/>
      <c r="GE18" s="18"/>
      <c r="GF18" s="26">
        <v>1.0</v>
      </c>
      <c r="GG18" s="84"/>
      <c r="GH18" s="18"/>
      <c r="GI18" s="18"/>
      <c r="GJ18" s="26">
        <v>1.0</v>
      </c>
      <c r="GK18" s="18"/>
      <c r="GL18" s="18"/>
      <c r="GM18" s="18"/>
      <c r="GN18" s="18"/>
      <c r="GO18" s="83"/>
      <c r="GP18" s="18"/>
      <c r="GQ18" s="18"/>
      <c r="GR18" s="26">
        <v>1.0</v>
      </c>
      <c r="GS18" s="18"/>
      <c r="GT18" s="18"/>
      <c r="GU18" s="18"/>
      <c r="GV18" s="84"/>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26">
        <v>1.0</v>
      </c>
      <c r="HX18" s="18"/>
      <c r="HY18" s="18"/>
      <c r="HZ18" s="18"/>
      <c r="IA18" s="18"/>
      <c r="IB18" s="26">
        <v>1.0</v>
      </c>
      <c r="IC18" s="18"/>
      <c r="ID18" s="18"/>
      <c r="IE18" s="18"/>
      <c r="IF18" s="18"/>
      <c r="IG18" s="18"/>
      <c r="IH18" s="18"/>
      <c r="II18" s="18"/>
      <c r="IJ18" s="18"/>
      <c r="IK18" s="18"/>
      <c r="IL18" s="83"/>
      <c r="IM18" s="18"/>
      <c r="IN18" s="83"/>
      <c r="IO18" s="18"/>
      <c r="IP18" s="18"/>
      <c r="IQ18" s="18"/>
      <c r="IR18" s="18"/>
      <c r="IS18" s="26">
        <v>1.0</v>
      </c>
      <c r="IT18" s="18"/>
      <c r="IU18" s="18"/>
      <c r="IV18" s="18"/>
      <c r="IW18" s="18"/>
      <c r="IX18" s="18"/>
      <c r="IY18" s="18"/>
      <c r="IZ18" s="18"/>
      <c r="JA18" s="18"/>
      <c r="JB18" s="18"/>
      <c r="JC18" s="18"/>
      <c r="JD18" s="18"/>
      <c r="JE18" s="18"/>
      <c r="JF18" s="18"/>
      <c r="JG18" s="18"/>
      <c r="JH18" s="18"/>
      <c r="JI18" s="18"/>
      <c r="JJ18" s="18"/>
      <c r="JK18" s="18"/>
      <c r="JL18" s="18"/>
      <c r="JM18" s="18"/>
      <c r="JN18" s="18"/>
      <c r="JO18" s="18"/>
      <c r="JP18" s="18"/>
      <c r="JQ18" s="18"/>
      <c r="JR18" s="18"/>
      <c r="JS18" s="18"/>
      <c r="JT18" s="18"/>
      <c r="JU18" s="18"/>
      <c r="JV18" s="18"/>
      <c r="JW18" s="18"/>
      <c r="JX18" s="18"/>
      <c r="JY18" s="18"/>
      <c r="JZ18" s="18"/>
      <c r="KA18" s="18"/>
      <c r="KB18" s="18"/>
      <c r="KC18" s="18"/>
      <c r="KD18" s="18"/>
      <c r="KE18" s="18"/>
      <c r="KF18" s="18"/>
      <c r="KG18" s="18"/>
      <c r="KH18" s="18"/>
      <c r="KI18" s="18"/>
      <c r="KJ18" s="18"/>
      <c r="KK18" s="18"/>
      <c r="KL18" s="18"/>
      <c r="KM18" s="18"/>
      <c r="KN18" s="18"/>
      <c r="KO18" s="18"/>
      <c r="KP18" s="18"/>
      <c r="KQ18" s="18"/>
      <c r="KR18" s="83"/>
      <c r="KS18" s="18"/>
      <c r="KT18" s="18"/>
      <c r="KU18" s="18"/>
      <c r="KV18" s="18"/>
      <c r="KW18" s="18"/>
    </row>
    <row r="19">
      <c r="A19" s="28">
        <v>20.0</v>
      </c>
      <c r="B19" s="28">
        <f t="shared" si="1"/>
        <v>14</v>
      </c>
      <c r="C19" s="28" t="s">
        <v>2342</v>
      </c>
      <c r="D19" s="29" t="s">
        <v>2454</v>
      </c>
      <c r="E19" s="30"/>
      <c r="F19" s="29" t="s">
        <v>2455</v>
      </c>
      <c r="G19" s="29" t="s">
        <v>1864</v>
      </c>
      <c r="H19" s="18"/>
      <c r="I19" s="18"/>
      <c r="J19" s="18"/>
      <c r="K19" s="18"/>
      <c r="L19" s="18"/>
      <c r="M19" s="83"/>
      <c r="N19" s="83"/>
      <c r="O19" s="83"/>
      <c r="P19" s="18"/>
      <c r="Q19" s="18"/>
      <c r="R19" s="18"/>
      <c r="S19" s="18"/>
      <c r="T19" s="18"/>
      <c r="U19" s="18"/>
      <c r="V19" s="18"/>
      <c r="W19" s="18"/>
      <c r="X19" s="18"/>
      <c r="Y19" s="18"/>
      <c r="Z19" s="18"/>
      <c r="AA19" s="18"/>
      <c r="AB19" s="18"/>
      <c r="AC19" s="18"/>
      <c r="AD19" s="18"/>
      <c r="AE19" s="18"/>
      <c r="AF19" s="18"/>
      <c r="AG19" s="18"/>
      <c r="AH19" s="18"/>
      <c r="AI19" s="18"/>
      <c r="AJ19" s="83"/>
      <c r="AK19" s="18"/>
      <c r="AL19" s="83"/>
      <c r="AM19" s="18"/>
      <c r="AN19" s="18"/>
      <c r="AO19" s="18"/>
      <c r="AP19" s="18"/>
      <c r="AQ19" s="18"/>
      <c r="AR19" s="18"/>
      <c r="AS19" s="18"/>
      <c r="AT19" s="18"/>
      <c r="AU19" s="18"/>
      <c r="AV19" s="18"/>
      <c r="AW19" s="83"/>
      <c r="AX19" s="83"/>
      <c r="AY19" s="18"/>
      <c r="AZ19" s="18"/>
      <c r="BA19" s="26">
        <v>1.0</v>
      </c>
      <c r="BB19" s="18"/>
      <c r="BC19" s="26"/>
      <c r="BD19" s="18"/>
      <c r="BE19" s="18"/>
      <c r="BF19" s="26">
        <v>1.0</v>
      </c>
      <c r="BG19" s="18"/>
      <c r="BH19" s="18"/>
      <c r="BI19" s="18"/>
      <c r="BJ19" s="83"/>
      <c r="BK19" s="18"/>
      <c r="BL19" s="18"/>
      <c r="BM19" s="18"/>
      <c r="BN19" s="83"/>
      <c r="BO19" s="83"/>
      <c r="BP19" s="18"/>
      <c r="BQ19" s="18"/>
      <c r="BR19" s="18"/>
      <c r="BS19" s="18"/>
      <c r="BT19" s="18"/>
      <c r="BU19" s="18"/>
      <c r="BV19" s="26"/>
      <c r="BW19" s="26">
        <v>1.0</v>
      </c>
      <c r="BX19" s="18"/>
      <c r="BY19" s="18"/>
      <c r="BZ19" s="83"/>
      <c r="CA19" s="18"/>
      <c r="CB19" s="18"/>
      <c r="CC19" s="18"/>
      <c r="CD19" s="18"/>
      <c r="CE19" s="83"/>
      <c r="CF19" s="26">
        <v>1.0</v>
      </c>
      <c r="CG19" s="18"/>
      <c r="CH19" s="18"/>
      <c r="CI19" s="18"/>
      <c r="CJ19" s="26">
        <v>1.0</v>
      </c>
      <c r="CK19" s="18"/>
      <c r="CL19" s="18"/>
      <c r="CM19" s="18"/>
      <c r="CN19" s="18"/>
      <c r="CO19" s="18"/>
      <c r="CP19" s="18"/>
      <c r="CQ19" s="18"/>
      <c r="CR19" s="18"/>
      <c r="CT19" s="18"/>
      <c r="CU19" s="18"/>
      <c r="CV19" s="18"/>
      <c r="CW19" s="18"/>
      <c r="CX19" s="18"/>
      <c r="CY19" s="18"/>
      <c r="CZ19" s="26">
        <v>1.0</v>
      </c>
      <c r="DA19" s="18"/>
      <c r="DB19" s="18"/>
      <c r="DC19" s="18"/>
      <c r="DD19" s="18"/>
      <c r="DE19" s="83"/>
      <c r="DF19" s="83"/>
      <c r="DG19" s="83"/>
      <c r="DH19" s="83"/>
      <c r="DI19" s="83"/>
      <c r="DJ19" s="83"/>
      <c r="DK19" s="18"/>
      <c r="DL19" s="18"/>
      <c r="DM19" s="18"/>
      <c r="DN19" s="83"/>
      <c r="DO19" s="18"/>
      <c r="DP19" s="18"/>
      <c r="DQ19" s="18"/>
      <c r="DR19" s="83"/>
      <c r="DS19" s="18"/>
      <c r="DT19" s="18"/>
      <c r="DU19" s="83"/>
      <c r="DV19" s="83"/>
      <c r="DW19" s="18"/>
      <c r="DX19" s="18"/>
      <c r="DY19" s="18"/>
      <c r="DZ19" s="83"/>
      <c r="EA19" s="18"/>
      <c r="EB19" s="83"/>
      <c r="EC19" s="18"/>
      <c r="ED19" s="83"/>
      <c r="EE19" s="18"/>
      <c r="EF19" s="18"/>
      <c r="EG19" s="18"/>
      <c r="EH19" s="18"/>
      <c r="EI19" s="18"/>
      <c r="EJ19" s="18"/>
      <c r="EK19" s="18"/>
      <c r="EL19" s="18"/>
      <c r="EM19" s="18"/>
      <c r="EN19" s="18"/>
      <c r="EO19" s="18"/>
      <c r="EP19" s="18"/>
      <c r="EQ19" s="18"/>
      <c r="ER19" s="18"/>
      <c r="ES19" s="18"/>
      <c r="ET19" s="18"/>
      <c r="EU19" s="18"/>
      <c r="EV19" s="18"/>
      <c r="EW19" s="18"/>
      <c r="EX19" s="18"/>
      <c r="EY19" s="18"/>
      <c r="EZ19" s="18"/>
      <c r="FA19" s="26">
        <v>1.0</v>
      </c>
      <c r="FB19" s="18"/>
      <c r="FC19" s="18"/>
      <c r="FD19" s="18"/>
      <c r="FE19" s="18"/>
      <c r="FF19" s="18"/>
      <c r="FG19" s="18"/>
      <c r="FH19" s="18"/>
      <c r="FI19" s="18"/>
      <c r="FJ19" s="18"/>
      <c r="FK19" s="18"/>
      <c r="FL19" s="18"/>
      <c r="FM19" s="18"/>
      <c r="FN19" s="18"/>
      <c r="FO19" s="18"/>
      <c r="FP19" s="18"/>
      <c r="FQ19" s="84"/>
      <c r="FR19" s="18"/>
      <c r="FS19" s="84"/>
      <c r="FT19" s="18"/>
      <c r="FU19" s="18"/>
      <c r="FV19" s="18"/>
      <c r="FW19" s="18"/>
      <c r="FX19" s="18"/>
      <c r="FY19" s="18"/>
      <c r="FZ19" s="18"/>
      <c r="GA19" s="18"/>
      <c r="GB19" s="84"/>
      <c r="GC19" s="18"/>
      <c r="GD19" s="18"/>
      <c r="GE19" s="18"/>
      <c r="GF19" s="18"/>
      <c r="GG19" s="84"/>
      <c r="GH19" s="18"/>
      <c r="GI19" s="18"/>
      <c r="GJ19" s="18"/>
      <c r="GK19" s="18"/>
      <c r="GL19" s="18"/>
      <c r="GM19" s="18"/>
      <c r="GN19" s="18"/>
      <c r="GO19" s="83"/>
      <c r="GP19" s="18"/>
      <c r="GQ19" s="18"/>
      <c r="GR19" s="18"/>
      <c r="GS19" s="18"/>
      <c r="GT19" s="18"/>
      <c r="GU19" s="18"/>
      <c r="GV19" s="84"/>
      <c r="GW19" s="18"/>
      <c r="GX19" s="26">
        <v>1.0</v>
      </c>
      <c r="GY19" s="18"/>
      <c r="GZ19" s="18"/>
      <c r="HA19" s="18"/>
      <c r="HB19" s="18"/>
      <c r="HC19" s="18"/>
      <c r="HD19" s="18"/>
      <c r="HE19" s="18"/>
      <c r="HF19" s="18"/>
      <c r="HG19" s="18"/>
      <c r="HH19" s="18"/>
      <c r="HI19" s="26"/>
      <c r="HJ19" s="26">
        <v>1.0</v>
      </c>
      <c r="HK19" s="18"/>
      <c r="HL19" s="18"/>
      <c r="HM19" s="18"/>
      <c r="HN19" s="18"/>
      <c r="HO19" s="18"/>
      <c r="HP19" s="18"/>
      <c r="HQ19" s="18"/>
      <c r="HR19" s="18"/>
      <c r="HS19" s="18"/>
      <c r="HT19" s="18"/>
      <c r="HU19" s="18"/>
      <c r="HV19" s="18"/>
      <c r="HW19" s="26">
        <v>1.0</v>
      </c>
      <c r="HX19" s="18"/>
      <c r="HY19" s="18"/>
      <c r="HZ19" s="18"/>
      <c r="IA19" s="18"/>
      <c r="IB19" s="18"/>
      <c r="IC19" s="18"/>
      <c r="ID19" s="18"/>
      <c r="IE19" s="18"/>
      <c r="IF19" s="18"/>
      <c r="IG19" s="18"/>
      <c r="IH19" s="18"/>
      <c r="II19" s="18"/>
      <c r="IJ19" s="18"/>
      <c r="IK19" s="18"/>
      <c r="IL19" s="83"/>
      <c r="IM19" s="26">
        <v>1.0</v>
      </c>
      <c r="IN19" s="83"/>
      <c r="IO19" s="18"/>
      <c r="IP19" s="18"/>
      <c r="IQ19" s="18"/>
      <c r="IR19" s="18"/>
      <c r="IS19" s="18"/>
      <c r="IT19" s="18"/>
      <c r="IU19" s="18"/>
      <c r="IV19" s="18"/>
      <c r="IW19" s="18"/>
      <c r="IX19" s="18"/>
      <c r="IY19" s="18"/>
      <c r="IZ19" s="26">
        <v>1.0</v>
      </c>
      <c r="JA19" s="18"/>
      <c r="JB19" s="18"/>
      <c r="JC19" s="18"/>
      <c r="JD19" s="18"/>
      <c r="JE19" s="18"/>
      <c r="JF19" s="18"/>
      <c r="JG19" s="18"/>
      <c r="JH19" s="18"/>
      <c r="JI19" s="18"/>
      <c r="JJ19" s="18"/>
      <c r="JK19" s="18"/>
      <c r="JL19" s="18"/>
      <c r="JM19" s="18"/>
      <c r="JN19" s="18"/>
      <c r="JO19" s="18"/>
      <c r="JP19" s="18"/>
      <c r="JQ19" s="18"/>
      <c r="JR19" s="18"/>
      <c r="JS19" s="18"/>
      <c r="JT19" s="18"/>
      <c r="JU19" s="18"/>
      <c r="JV19" s="18"/>
      <c r="JW19" s="18"/>
      <c r="JX19" s="18"/>
      <c r="JY19" s="18"/>
      <c r="JZ19" s="18"/>
      <c r="KA19" s="18"/>
      <c r="KB19" s="18"/>
      <c r="KC19" s="18"/>
      <c r="KD19" s="18"/>
      <c r="KE19" s="26">
        <v>1.0</v>
      </c>
      <c r="KF19" s="18"/>
      <c r="KG19" s="18"/>
      <c r="KH19" s="18"/>
      <c r="KI19" s="18"/>
      <c r="KJ19" s="18"/>
      <c r="KK19" s="18"/>
      <c r="KL19" s="18"/>
      <c r="KM19" s="18"/>
      <c r="KN19" s="18"/>
      <c r="KO19" s="18"/>
      <c r="KP19" s="26">
        <v>1.0</v>
      </c>
      <c r="KQ19" s="18"/>
      <c r="KR19" s="83"/>
      <c r="KS19" s="18"/>
      <c r="KT19" s="18"/>
      <c r="KU19" s="18"/>
      <c r="KV19" s="18"/>
      <c r="KW19" s="18"/>
    </row>
    <row r="20">
      <c r="A20" s="28">
        <v>21.0</v>
      </c>
      <c r="B20" s="28">
        <f t="shared" si="1"/>
        <v>6</v>
      </c>
      <c r="C20" s="28" t="s">
        <v>2342</v>
      </c>
      <c r="D20" s="42" t="s">
        <v>2461</v>
      </c>
      <c r="E20" s="30"/>
      <c r="F20" s="29" t="s">
        <v>2462</v>
      </c>
      <c r="G20" s="42" t="s">
        <v>1456</v>
      </c>
      <c r="H20" s="18"/>
      <c r="I20" s="18"/>
      <c r="J20" s="18"/>
      <c r="K20" s="18"/>
      <c r="L20" s="18"/>
      <c r="M20" s="83"/>
      <c r="N20" s="83"/>
      <c r="O20" s="83"/>
      <c r="P20" s="18"/>
      <c r="Q20" s="18"/>
      <c r="R20" s="18"/>
      <c r="S20" s="18"/>
      <c r="T20" s="18"/>
      <c r="U20" s="18"/>
      <c r="V20" s="18"/>
      <c r="W20" s="18"/>
      <c r="X20" s="18"/>
      <c r="Y20" s="18"/>
      <c r="Z20" s="18"/>
      <c r="AA20" s="18"/>
      <c r="AB20" s="18"/>
      <c r="AC20" s="18"/>
      <c r="AD20" s="18"/>
      <c r="AE20" s="18"/>
      <c r="AF20" s="18"/>
      <c r="AG20" s="18"/>
      <c r="AH20" s="18"/>
      <c r="AI20" s="18"/>
      <c r="AJ20" s="83"/>
      <c r="AK20" s="18"/>
      <c r="AL20" s="83"/>
      <c r="AM20" s="18"/>
      <c r="AN20" s="18"/>
      <c r="AO20" s="18"/>
      <c r="AP20" s="18"/>
      <c r="AQ20" s="18"/>
      <c r="AR20" s="18"/>
      <c r="AS20" s="18"/>
      <c r="AT20" s="18"/>
      <c r="AU20" s="18"/>
      <c r="AV20" s="18"/>
      <c r="AW20" s="83"/>
      <c r="AX20" s="83"/>
      <c r="AY20" s="18"/>
      <c r="AZ20" s="18"/>
      <c r="BA20" s="18"/>
      <c r="BB20" s="18"/>
      <c r="BC20" s="18"/>
      <c r="BD20" s="18"/>
      <c r="BE20" s="18"/>
      <c r="BF20" s="18"/>
      <c r="BG20" s="18"/>
      <c r="BH20" s="18"/>
      <c r="BI20" s="18"/>
      <c r="BJ20" s="83"/>
      <c r="BK20" s="18"/>
      <c r="BL20" s="18"/>
      <c r="BM20" s="18"/>
      <c r="BN20" s="83"/>
      <c r="BO20" s="83"/>
      <c r="BP20" s="18"/>
      <c r="BQ20" s="18"/>
      <c r="BR20" s="18"/>
      <c r="BS20" s="18"/>
      <c r="BT20" s="18"/>
      <c r="BU20" s="18"/>
      <c r="BV20" s="18"/>
      <c r="BW20" s="18"/>
      <c r="BX20" s="18"/>
      <c r="BY20" s="18"/>
      <c r="BZ20" s="83"/>
      <c r="CA20" s="18"/>
      <c r="CB20" s="18"/>
      <c r="CC20" s="18"/>
      <c r="CD20" s="18"/>
      <c r="CE20" s="83"/>
      <c r="CF20" s="18"/>
      <c r="CG20" s="18"/>
      <c r="CH20" s="18"/>
      <c r="CI20" s="18"/>
      <c r="CJ20" s="18"/>
      <c r="CK20" s="18"/>
      <c r="CL20" s="18"/>
      <c r="CM20" s="18"/>
      <c r="CN20" s="18"/>
      <c r="CO20" s="18"/>
      <c r="CP20" s="18"/>
      <c r="CQ20" s="18"/>
      <c r="CR20" s="18"/>
      <c r="CT20" s="18"/>
      <c r="CU20" s="18"/>
      <c r="CV20" s="18"/>
      <c r="CW20" s="18"/>
      <c r="CX20" s="18"/>
      <c r="CY20" s="18"/>
      <c r="CZ20" s="18"/>
      <c r="DA20" s="18"/>
      <c r="DB20" s="18"/>
      <c r="DC20" s="18"/>
      <c r="DD20" s="26"/>
      <c r="DE20" s="83"/>
      <c r="DF20" s="83"/>
      <c r="DG20" s="83"/>
      <c r="DH20" s="83"/>
      <c r="DI20" s="83"/>
      <c r="DJ20" s="83"/>
      <c r="DK20" s="18"/>
      <c r="DL20" s="18"/>
      <c r="DM20" s="18"/>
      <c r="DN20" s="83"/>
      <c r="DO20" s="18"/>
      <c r="DP20" s="18"/>
      <c r="DQ20" s="18"/>
      <c r="DR20" s="83"/>
      <c r="DS20" s="18"/>
      <c r="DT20" s="18"/>
      <c r="DU20" s="83"/>
      <c r="DV20" s="83"/>
      <c r="DW20" s="18"/>
      <c r="DX20" s="18"/>
      <c r="DY20" s="18"/>
      <c r="DZ20" s="83"/>
      <c r="EA20" s="18"/>
      <c r="EB20" s="83"/>
      <c r="EC20" s="18"/>
      <c r="ED20" s="83"/>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26">
        <v>1.0</v>
      </c>
      <c r="FK20" s="18"/>
      <c r="FL20" s="18"/>
      <c r="FM20" s="18"/>
      <c r="FN20" s="26">
        <v>1.0</v>
      </c>
      <c r="FO20" s="18"/>
      <c r="FP20" s="18"/>
      <c r="FQ20" s="84"/>
      <c r="FR20" s="18"/>
      <c r="FS20" s="84"/>
      <c r="FT20" s="18"/>
      <c r="FU20" s="18"/>
      <c r="FV20" s="18"/>
      <c r="FW20" s="26">
        <v>1.0</v>
      </c>
      <c r="FX20" s="18"/>
      <c r="FY20" s="18"/>
      <c r="FZ20" s="18"/>
      <c r="GA20" s="18"/>
      <c r="GB20" s="84"/>
      <c r="GC20" s="18"/>
      <c r="GD20" s="18"/>
      <c r="GE20" s="18"/>
      <c r="GF20" s="18"/>
      <c r="GG20" s="84"/>
      <c r="GH20" s="18"/>
      <c r="GI20" s="18"/>
      <c r="GJ20" s="18"/>
      <c r="GK20" s="18"/>
      <c r="GL20" s="18"/>
      <c r="GM20" s="18"/>
      <c r="GN20" s="18"/>
      <c r="GO20" s="83"/>
      <c r="GP20" s="18"/>
      <c r="GQ20" s="18"/>
      <c r="GR20" s="18"/>
      <c r="GS20" s="18"/>
      <c r="GT20" s="18"/>
      <c r="GU20" s="18"/>
      <c r="GV20" s="84"/>
      <c r="GW20" s="18"/>
      <c r="GX20" s="18"/>
      <c r="GY20" s="18"/>
      <c r="GZ20" s="18"/>
      <c r="HA20" s="18"/>
      <c r="HB20" s="18"/>
      <c r="HC20" s="18"/>
      <c r="HD20" s="18"/>
      <c r="HE20" s="18"/>
      <c r="HF20" s="18"/>
      <c r="HG20" s="18"/>
      <c r="HH20" s="18"/>
      <c r="HI20" s="18"/>
      <c r="HJ20" s="18"/>
      <c r="HK20" s="18"/>
      <c r="HL20" s="18"/>
      <c r="HM20" s="18"/>
      <c r="HN20" s="18"/>
      <c r="HO20" s="18"/>
      <c r="HP20" s="18"/>
      <c r="HQ20" s="18"/>
      <c r="HR20" s="26">
        <v>1.0</v>
      </c>
      <c r="HS20" s="26"/>
      <c r="HT20" s="18"/>
      <c r="HU20" s="18"/>
      <c r="HV20" s="18"/>
      <c r="HW20" s="18"/>
      <c r="HX20" s="18"/>
      <c r="HY20" s="18"/>
      <c r="HZ20" s="18"/>
      <c r="IA20" s="18"/>
      <c r="IB20" s="18"/>
      <c r="IC20" s="18"/>
      <c r="ID20" s="18"/>
      <c r="IE20" s="18"/>
      <c r="IF20" s="18"/>
      <c r="IG20" s="18"/>
      <c r="IH20" s="18"/>
      <c r="II20" s="18"/>
      <c r="IJ20" s="18"/>
      <c r="IK20" s="18"/>
      <c r="IL20" s="83"/>
      <c r="IM20" s="18"/>
      <c r="IN20" s="83"/>
      <c r="IO20" s="18"/>
      <c r="IP20" s="18"/>
      <c r="IQ20" s="18"/>
      <c r="IR20" s="18"/>
      <c r="IS20" s="18"/>
      <c r="IT20" s="18"/>
      <c r="IU20" s="18"/>
      <c r="IV20" s="18"/>
      <c r="IW20" s="18"/>
      <c r="IX20" s="18"/>
      <c r="IY20" s="18"/>
      <c r="IZ20" s="18"/>
      <c r="JA20" s="18"/>
      <c r="JB20" s="18"/>
      <c r="JC20" s="18"/>
      <c r="JD20" s="18"/>
      <c r="JE20" s="18"/>
      <c r="JF20" s="18"/>
      <c r="JG20" s="18"/>
      <c r="JH20" s="18"/>
      <c r="JI20" s="18"/>
      <c r="JJ20" s="18"/>
      <c r="JK20" s="18"/>
      <c r="JL20" s="18"/>
      <c r="JM20" s="18"/>
      <c r="JN20" s="18"/>
      <c r="JO20" s="18"/>
      <c r="JP20" s="18"/>
      <c r="JQ20" s="18"/>
      <c r="JR20" s="26">
        <v>1.0</v>
      </c>
      <c r="JS20" s="18"/>
      <c r="JT20" s="18"/>
      <c r="JU20" s="18"/>
      <c r="JV20" s="18"/>
      <c r="JW20" s="18"/>
      <c r="JX20" s="18"/>
      <c r="JY20" s="18"/>
      <c r="JZ20" s="18"/>
      <c r="KA20" s="18"/>
      <c r="KB20" s="18"/>
      <c r="KC20" s="18"/>
      <c r="KD20" s="18"/>
      <c r="KE20" s="18"/>
      <c r="KF20" s="26"/>
      <c r="KG20" s="18"/>
      <c r="KH20" s="26">
        <v>1.0</v>
      </c>
      <c r="KI20" s="18"/>
      <c r="KJ20" s="18"/>
      <c r="KK20" s="18"/>
      <c r="KL20" s="18"/>
      <c r="KM20" s="18"/>
      <c r="KN20" s="18"/>
      <c r="KO20" s="18"/>
      <c r="KP20" s="18"/>
      <c r="KQ20" s="18"/>
      <c r="KR20" s="83"/>
      <c r="KS20" s="18"/>
      <c r="KT20" s="18"/>
      <c r="KU20" s="18"/>
      <c r="KV20" s="18"/>
      <c r="KW20" s="18"/>
    </row>
    <row r="21">
      <c r="A21" s="28">
        <v>22.0</v>
      </c>
      <c r="B21" s="28">
        <f t="shared" si="1"/>
        <v>11</v>
      </c>
      <c r="C21" s="28" t="s">
        <v>2342</v>
      </c>
      <c r="D21" s="42" t="s">
        <v>2465</v>
      </c>
      <c r="E21" s="30"/>
      <c r="F21" s="42" t="s">
        <v>2466</v>
      </c>
      <c r="G21" s="29" t="s">
        <v>2467</v>
      </c>
      <c r="H21" s="18"/>
      <c r="I21" s="18"/>
      <c r="J21" s="18"/>
      <c r="K21" s="18"/>
      <c r="L21" s="18"/>
      <c r="M21" s="83"/>
      <c r="N21" s="83"/>
      <c r="O21" s="83"/>
      <c r="P21" s="18"/>
      <c r="Q21" s="18"/>
      <c r="R21" s="18"/>
      <c r="S21" s="18"/>
      <c r="T21" s="18"/>
      <c r="U21" s="18"/>
      <c r="V21" s="18"/>
      <c r="W21" s="18"/>
      <c r="X21" s="18"/>
      <c r="Y21" s="18"/>
      <c r="Z21" s="18"/>
      <c r="AA21" s="18"/>
      <c r="AB21" s="18"/>
      <c r="AC21" s="18"/>
      <c r="AD21" s="18"/>
      <c r="AE21" s="18"/>
      <c r="AF21" s="18"/>
      <c r="AG21" s="18"/>
      <c r="AH21" s="18"/>
      <c r="AI21" s="18"/>
      <c r="AJ21" s="83"/>
      <c r="AK21" s="18"/>
      <c r="AL21" s="83"/>
      <c r="AM21" s="18"/>
      <c r="AN21" s="18"/>
      <c r="AO21" s="18"/>
      <c r="AP21" s="18"/>
      <c r="AQ21" s="18"/>
      <c r="AR21" s="18"/>
      <c r="AS21" s="18"/>
      <c r="AT21" s="18"/>
      <c r="AU21" s="18"/>
      <c r="AV21" s="18"/>
      <c r="AW21" s="83"/>
      <c r="AX21" s="83"/>
      <c r="AY21" s="18"/>
      <c r="AZ21" s="18"/>
      <c r="BA21" s="18"/>
      <c r="BB21" s="18"/>
      <c r="BC21" s="18"/>
      <c r="BD21" s="18"/>
      <c r="BE21" s="18"/>
      <c r="BF21" s="18"/>
      <c r="BG21" s="18"/>
      <c r="BH21" s="18"/>
      <c r="BI21" s="18"/>
      <c r="BJ21" s="83"/>
      <c r="BK21" s="18"/>
      <c r="BL21" s="18"/>
      <c r="BM21" s="26"/>
      <c r="BN21" s="83"/>
      <c r="BO21" s="83"/>
      <c r="BP21" s="18"/>
      <c r="BQ21" s="18"/>
      <c r="BR21" s="18"/>
      <c r="BS21" s="18"/>
      <c r="BT21" s="18"/>
      <c r="BU21" s="18"/>
      <c r="BV21" s="18"/>
      <c r="BW21" s="18"/>
      <c r="BX21" s="18"/>
      <c r="BY21" s="18"/>
      <c r="BZ21" s="83"/>
      <c r="CA21" s="18"/>
      <c r="CB21" s="18"/>
      <c r="CC21" s="18"/>
      <c r="CD21" s="18"/>
      <c r="CE21" s="83"/>
      <c r="CF21" s="18"/>
      <c r="CG21" s="18"/>
      <c r="CH21" s="18"/>
      <c r="CI21" s="18"/>
      <c r="CJ21" s="18"/>
      <c r="CK21" s="18"/>
      <c r="CL21" s="18"/>
      <c r="CM21" s="18"/>
      <c r="CN21" s="18"/>
      <c r="CO21" s="18"/>
      <c r="CP21" s="18"/>
      <c r="CQ21" s="18"/>
      <c r="CR21" s="18"/>
      <c r="CT21" s="18"/>
      <c r="CU21" s="18"/>
      <c r="CV21" s="18"/>
      <c r="CW21" s="18"/>
      <c r="CX21" s="26">
        <v>1.0</v>
      </c>
      <c r="CY21" s="18"/>
      <c r="CZ21" s="18"/>
      <c r="DA21" s="18"/>
      <c r="DB21" s="18"/>
      <c r="DC21" s="18"/>
      <c r="DD21" s="18"/>
      <c r="DE21" s="83"/>
      <c r="DF21" s="83"/>
      <c r="DG21" s="83"/>
      <c r="DH21" s="83"/>
      <c r="DI21" s="83"/>
      <c r="DJ21" s="83"/>
      <c r="DK21" s="18"/>
      <c r="DL21" s="18"/>
      <c r="DM21" s="18"/>
      <c r="DN21" s="83"/>
      <c r="DO21" s="26">
        <v>1.0</v>
      </c>
      <c r="DP21" s="18"/>
      <c r="DQ21" s="18"/>
      <c r="DR21" s="83"/>
      <c r="DS21" s="18"/>
      <c r="DT21" s="18"/>
      <c r="DU21" s="83"/>
      <c r="DV21" s="83"/>
      <c r="DW21" s="18"/>
      <c r="DX21" s="18"/>
      <c r="DY21" s="18"/>
      <c r="DZ21" s="83"/>
      <c r="EA21" s="18"/>
      <c r="EB21" s="83"/>
      <c r="EC21" s="18"/>
      <c r="ED21" s="83"/>
      <c r="EE21" s="18"/>
      <c r="EF21" s="18"/>
      <c r="EG21" s="26">
        <v>1.0</v>
      </c>
      <c r="EH21" s="18"/>
      <c r="EI21" s="18"/>
      <c r="EJ21" s="18"/>
      <c r="EK21" s="18"/>
      <c r="EL21" s="18"/>
      <c r="EM21" s="18"/>
      <c r="EN21" s="26">
        <v>1.0</v>
      </c>
      <c r="EO21" s="18"/>
      <c r="EP21" s="18"/>
      <c r="EQ21" s="18"/>
      <c r="ER21" s="26">
        <v>1.0</v>
      </c>
      <c r="ES21" s="18"/>
      <c r="ET21" s="18"/>
      <c r="EU21" s="18"/>
      <c r="EV21" s="18"/>
      <c r="EW21" s="18"/>
      <c r="EX21" s="18"/>
      <c r="EY21" s="18"/>
      <c r="EZ21" s="18"/>
      <c r="FA21" s="26">
        <v>1.0</v>
      </c>
      <c r="FB21" s="18"/>
      <c r="FC21" s="18"/>
      <c r="FD21" s="26">
        <v>1.0</v>
      </c>
      <c r="FE21" s="18"/>
      <c r="FF21" s="18"/>
      <c r="FG21" s="18"/>
      <c r="FH21" s="18"/>
      <c r="FI21" s="26">
        <v>1.0</v>
      </c>
      <c r="FJ21" s="18"/>
      <c r="FK21" s="18"/>
      <c r="FL21" s="18"/>
      <c r="FM21" s="18"/>
      <c r="FN21" s="18"/>
      <c r="FO21" s="18"/>
      <c r="FQ21" s="84"/>
      <c r="FR21" s="26">
        <v>1.0</v>
      </c>
      <c r="FS21" s="84"/>
      <c r="FT21" s="18"/>
      <c r="FU21" s="18"/>
      <c r="FV21" s="18"/>
      <c r="FW21" s="18"/>
      <c r="FX21" s="18"/>
      <c r="FY21" s="18"/>
      <c r="FZ21" s="18"/>
      <c r="GA21" s="18"/>
      <c r="GB21" s="84"/>
      <c r="GC21" s="18"/>
      <c r="GD21" s="18"/>
      <c r="GE21" s="18"/>
      <c r="GF21" s="18"/>
      <c r="GG21" s="84"/>
      <c r="GH21" s="18"/>
      <c r="GI21" s="18"/>
      <c r="GJ21" s="18"/>
      <c r="GK21" s="18"/>
      <c r="GL21" s="18"/>
      <c r="GM21" s="18"/>
      <c r="GN21" s="18"/>
      <c r="GO21" s="83"/>
      <c r="GP21" s="18"/>
      <c r="GQ21" s="18"/>
      <c r="GR21" s="18"/>
      <c r="GS21" s="18"/>
      <c r="GT21" s="18"/>
      <c r="GU21" s="18"/>
      <c r="GV21" s="84"/>
      <c r="GW21" s="18"/>
      <c r="GX21" s="18"/>
      <c r="GY21" s="18"/>
      <c r="GZ21" s="18"/>
      <c r="HA21" s="18"/>
      <c r="HB21" s="18"/>
      <c r="HC21" s="18"/>
      <c r="HD21" s="18"/>
      <c r="HE21" s="18"/>
      <c r="HF21" s="18"/>
      <c r="HG21" s="18"/>
      <c r="HH21" s="18"/>
      <c r="HI21" s="18"/>
      <c r="HJ21" s="18"/>
      <c r="HK21" s="18"/>
      <c r="HL21" s="18"/>
      <c r="HM21" s="18"/>
      <c r="HN21" s="18"/>
      <c r="HO21" s="18"/>
      <c r="HP21" s="18"/>
      <c r="HQ21" s="26"/>
      <c r="HR21" s="18"/>
      <c r="HS21" s="18"/>
      <c r="HT21" s="18"/>
      <c r="HU21" s="18"/>
      <c r="HV21" s="18"/>
      <c r="HW21" s="18"/>
      <c r="HX21" s="18"/>
      <c r="HY21" s="18"/>
      <c r="HZ21" s="18"/>
      <c r="IA21" s="18"/>
      <c r="IB21" s="18"/>
      <c r="IC21" s="18"/>
      <c r="ID21" s="18"/>
      <c r="IE21" s="18"/>
      <c r="IF21" s="18"/>
      <c r="IG21" s="26">
        <v>1.0</v>
      </c>
      <c r="IH21" s="18"/>
      <c r="II21" s="18"/>
      <c r="IJ21" s="18"/>
      <c r="IK21" s="18"/>
      <c r="IL21" s="83"/>
      <c r="IM21" s="18"/>
      <c r="IN21" s="83"/>
      <c r="IO21" s="18"/>
      <c r="IP21" s="18"/>
      <c r="IQ21" s="18"/>
      <c r="IR21" s="18"/>
      <c r="IS21" s="18"/>
      <c r="IT21" s="26">
        <v>1.0</v>
      </c>
      <c r="IU21" s="18"/>
      <c r="IV21" s="18"/>
      <c r="IW21" s="18"/>
      <c r="IX21" s="18"/>
      <c r="IY21" s="18"/>
      <c r="IZ21" s="18"/>
      <c r="JA21" s="18"/>
      <c r="JB21" s="18"/>
      <c r="JC21" s="18"/>
      <c r="JD21" s="18"/>
      <c r="JE21" s="18"/>
      <c r="JF21" s="18"/>
      <c r="JG21" s="18"/>
      <c r="JH21" s="18"/>
      <c r="JI21" s="18"/>
      <c r="JJ21" s="18"/>
      <c r="JK21" s="18"/>
      <c r="JL21" s="18"/>
      <c r="JM21" s="18"/>
      <c r="JN21" s="18"/>
      <c r="JO21" s="18"/>
      <c r="JP21" s="18"/>
      <c r="JQ21" s="18"/>
      <c r="JR21" s="18"/>
      <c r="JS21" s="18"/>
      <c r="JT21" s="18"/>
      <c r="JU21" s="18"/>
      <c r="JV21" s="18"/>
      <c r="JW21" s="18"/>
      <c r="JX21" s="18"/>
      <c r="JY21" s="18"/>
      <c r="JZ21" s="18"/>
      <c r="KA21" s="18"/>
      <c r="KB21" s="18"/>
      <c r="KC21" s="18"/>
      <c r="KD21" s="18"/>
      <c r="KE21" s="18"/>
      <c r="KF21" s="18"/>
      <c r="KG21" s="18"/>
      <c r="KH21" s="18"/>
      <c r="KI21" s="18"/>
      <c r="KJ21" s="18"/>
      <c r="KK21" s="18"/>
      <c r="KL21" s="18"/>
      <c r="KM21" s="18"/>
      <c r="KN21" s="18"/>
      <c r="KO21" s="18"/>
      <c r="KP21" s="18"/>
      <c r="KQ21" s="18"/>
      <c r="KR21" s="83"/>
      <c r="KS21" s="18"/>
      <c r="KT21" s="18"/>
      <c r="KU21" s="18"/>
      <c r="KV21" s="18"/>
      <c r="KW21" s="18"/>
    </row>
    <row r="22">
      <c r="A22" s="28">
        <v>23.0</v>
      </c>
      <c r="B22" s="28">
        <f t="shared" si="1"/>
        <v>12</v>
      </c>
      <c r="C22" s="28" t="s">
        <v>2342</v>
      </c>
      <c r="D22" s="29" t="s">
        <v>2472</v>
      </c>
      <c r="E22" s="30"/>
      <c r="F22" s="42" t="s">
        <v>2473</v>
      </c>
      <c r="G22" s="29" t="s">
        <v>2474</v>
      </c>
      <c r="H22" s="18"/>
      <c r="I22" s="18"/>
      <c r="J22" s="26">
        <v>1.0</v>
      </c>
      <c r="K22" s="18"/>
      <c r="L22" s="18"/>
      <c r="M22" s="83"/>
      <c r="N22" s="83"/>
      <c r="O22" s="83"/>
      <c r="P22" s="18"/>
      <c r="Q22" s="18"/>
      <c r="R22" s="18"/>
      <c r="S22" s="18"/>
      <c r="T22" s="18"/>
      <c r="U22" s="18"/>
      <c r="V22" s="18"/>
      <c r="W22" s="18"/>
      <c r="X22" s="18"/>
      <c r="Y22" s="18"/>
      <c r="Z22" s="18"/>
      <c r="AA22" s="18"/>
      <c r="AB22" s="18"/>
      <c r="AC22" s="18"/>
      <c r="AD22" s="18"/>
      <c r="AE22" s="18"/>
      <c r="AF22" s="18"/>
      <c r="AG22" s="18"/>
      <c r="AH22" s="18"/>
      <c r="AI22" s="18"/>
      <c r="AJ22" s="83"/>
      <c r="AK22" s="18"/>
      <c r="AL22" s="83"/>
      <c r="AM22" s="18"/>
      <c r="AN22" s="18"/>
      <c r="AO22" s="18"/>
      <c r="AP22" s="18"/>
      <c r="AQ22" s="18"/>
      <c r="AR22" s="18"/>
      <c r="AS22" s="18"/>
      <c r="AT22" s="18"/>
      <c r="AU22" s="18"/>
      <c r="AV22" s="18"/>
      <c r="AW22" s="83"/>
      <c r="AX22" s="83"/>
      <c r="AY22" s="18"/>
      <c r="AZ22" s="18"/>
      <c r="BA22" s="18"/>
      <c r="BB22" s="18"/>
      <c r="BC22" s="18"/>
      <c r="BD22" s="18"/>
      <c r="BE22" s="18"/>
      <c r="BF22" s="18"/>
      <c r="BG22" s="18"/>
      <c r="BH22" s="18"/>
      <c r="BI22" s="26">
        <v>1.0</v>
      </c>
      <c r="BJ22" s="77"/>
      <c r="BK22" s="26">
        <v>1.0</v>
      </c>
      <c r="BL22" s="18"/>
      <c r="BM22" s="18"/>
      <c r="BN22" s="83"/>
      <c r="BO22" s="83"/>
      <c r="BP22" s="18"/>
      <c r="BQ22" s="18"/>
      <c r="BR22" s="18"/>
      <c r="BS22" s="18"/>
      <c r="BT22" s="18"/>
      <c r="BU22" s="18"/>
      <c r="BV22" s="18"/>
      <c r="BW22" s="18"/>
      <c r="BX22" s="18"/>
      <c r="BY22" s="18"/>
      <c r="BZ22" s="83"/>
      <c r="CA22" s="18"/>
      <c r="CB22" s="18"/>
      <c r="CC22" s="18"/>
      <c r="CD22" s="18"/>
      <c r="CE22" s="83"/>
      <c r="CF22" s="18"/>
      <c r="CG22" s="18"/>
      <c r="CH22" s="18"/>
      <c r="CI22" s="18"/>
      <c r="CJ22" s="18"/>
      <c r="CK22" s="18"/>
      <c r="CL22" s="18"/>
      <c r="CM22" s="18"/>
      <c r="CN22" s="18"/>
      <c r="CO22" s="18"/>
      <c r="CP22" s="18"/>
      <c r="CQ22" s="18"/>
      <c r="CR22" s="18"/>
      <c r="CT22" s="18"/>
      <c r="CU22" s="18"/>
      <c r="CV22" s="18"/>
      <c r="CW22" s="18"/>
      <c r="CX22" s="18"/>
      <c r="CY22" s="18"/>
      <c r="CZ22" s="18"/>
      <c r="DA22" s="18"/>
      <c r="DB22" s="18"/>
      <c r="DC22" s="18"/>
      <c r="DD22" s="18"/>
      <c r="DE22" s="83"/>
      <c r="DF22" s="83"/>
      <c r="DG22" s="83"/>
      <c r="DH22" s="83"/>
      <c r="DI22" s="83"/>
      <c r="DJ22" s="83"/>
      <c r="DK22" s="18"/>
      <c r="DL22" s="18"/>
      <c r="DM22" s="18"/>
      <c r="DN22" s="83"/>
      <c r="DO22" s="18"/>
      <c r="DP22" s="18"/>
      <c r="DQ22" s="18"/>
      <c r="DR22" s="83"/>
      <c r="DS22" s="18"/>
      <c r="DT22" s="18"/>
      <c r="DU22" s="83"/>
      <c r="DV22" s="83"/>
      <c r="DW22" s="18"/>
      <c r="DX22" s="18"/>
      <c r="DY22" s="18"/>
      <c r="DZ22" s="83"/>
      <c r="EA22" s="18"/>
      <c r="EB22" s="83"/>
      <c r="EC22" s="18"/>
      <c r="ED22" s="83"/>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26">
        <v>1.0</v>
      </c>
      <c r="FG22" s="18"/>
      <c r="FH22" s="18"/>
      <c r="FI22" s="18"/>
      <c r="FJ22" s="18"/>
      <c r="FK22" s="18"/>
      <c r="FL22" s="18"/>
      <c r="FM22" s="18"/>
      <c r="FN22" s="18"/>
      <c r="FO22" s="18"/>
      <c r="FQ22" s="84"/>
      <c r="FR22" s="26">
        <v>1.0</v>
      </c>
      <c r="FS22" s="84"/>
      <c r="FT22" s="18"/>
      <c r="FU22" s="18"/>
      <c r="FV22" s="18"/>
      <c r="FW22" s="18"/>
      <c r="FX22" s="18"/>
      <c r="FY22" s="18"/>
      <c r="FZ22" s="18"/>
      <c r="GA22" s="18"/>
      <c r="GB22" s="84"/>
      <c r="GC22" s="18"/>
      <c r="GD22" s="18"/>
      <c r="GE22" s="18"/>
      <c r="GF22" s="26">
        <v>1.0</v>
      </c>
      <c r="GG22" s="84"/>
      <c r="GH22" s="18"/>
      <c r="GI22" s="26">
        <v>1.0</v>
      </c>
      <c r="GJ22" s="18"/>
      <c r="GK22" s="18"/>
      <c r="GL22" s="26">
        <v>1.0</v>
      </c>
      <c r="GM22" s="18"/>
      <c r="GN22" s="18"/>
      <c r="GO22" s="83"/>
      <c r="GP22" s="18"/>
      <c r="GQ22" s="18"/>
      <c r="GR22" s="18"/>
      <c r="GS22" s="18"/>
      <c r="GT22" s="18"/>
      <c r="GU22" s="18"/>
      <c r="GV22" s="84"/>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26">
        <v>1.0</v>
      </c>
      <c r="IB22" s="18"/>
      <c r="IC22" s="18"/>
      <c r="ID22" s="18"/>
      <c r="IE22" s="18"/>
      <c r="IF22" s="18"/>
      <c r="IG22" s="18"/>
      <c r="IH22" s="18"/>
      <c r="II22" s="18"/>
      <c r="IJ22" s="18"/>
      <c r="IK22" s="18"/>
      <c r="IL22" s="83"/>
      <c r="IM22" s="26">
        <v>1.0</v>
      </c>
      <c r="IN22" s="83"/>
      <c r="IO22" s="18"/>
      <c r="IP22" s="18"/>
      <c r="IQ22" s="18"/>
      <c r="IR22" s="18"/>
      <c r="IS22" s="18"/>
      <c r="IT22" s="18"/>
      <c r="IU22" s="18"/>
      <c r="IV22" s="18"/>
      <c r="IW22" s="18"/>
      <c r="IX22" s="18"/>
      <c r="IY22" s="18"/>
      <c r="IZ22" s="18"/>
      <c r="JA22" s="18"/>
      <c r="JB22" s="18"/>
      <c r="JC22" s="18"/>
      <c r="JD22" s="18"/>
      <c r="JE22" s="18"/>
      <c r="JF22" s="18"/>
      <c r="JG22" s="18"/>
      <c r="JH22" s="18"/>
      <c r="JI22" s="18"/>
      <c r="JJ22" s="18"/>
      <c r="JK22" s="18"/>
      <c r="JL22" s="18"/>
      <c r="JM22" s="18"/>
      <c r="JN22" s="18"/>
      <c r="JO22" s="18"/>
      <c r="JP22" s="18"/>
      <c r="JQ22" s="26">
        <v>1.0</v>
      </c>
      <c r="JR22" s="18"/>
      <c r="JS22" s="18"/>
      <c r="JT22" s="18"/>
      <c r="JU22" s="18"/>
      <c r="JV22" s="18"/>
      <c r="JW22" s="18"/>
      <c r="JX22" s="18"/>
      <c r="JY22" s="18"/>
      <c r="JZ22" s="18"/>
      <c r="KA22" s="18"/>
      <c r="KB22" s="18"/>
      <c r="KC22" s="18"/>
      <c r="KD22" s="18"/>
      <c r="KE22" s="18"/>
      <c r="KF22" s="18"/>
      <c r="KG22" s="18"/>
      <c r="KH22" s="18"/>
      <c r="KI22" s="18"/>
      <c r="KJ22" s="18"/>
      <c r="KK22" s="26"/>
      <c r="KL22" s="26">
        <v>1.0</v>
      </c>
      <c r="KM22" s="18"/>
      <c r="KN22" s="18"/>
      <c r="KO22" s="18"/>
      <c r="KP22" s="18"/>
      <c r="KQ22" s="18"/>
      <c r="KR22" s="83"/>
      <c r="KS22" s="18"/>
      <c r="KT22" s="18"/>
      <c r="KU22" s="18"/>
      <c r="KV22" s="18"/>
      <c r="KW22" s="18"/>
    </row>
    <row r="23">
      <c r="A23" s="28">
        <v>24.0</v>
      </c>
      <c r="B23" s="28">
        <f t="shared" si="1"/>
        <v>9</v>
      </c>
      <c r="C23" s="28" t="s">
        <v>2342</v>
      </c>
      <c r="D23" s="42" t="s">
        <v>2478</v>
      </c>
      <c r="E23" s="30"/>
      <c r="F23" s="29" t="s">
        <v>2479</v>
      </c>
      <c r="G23" s="42" t="s">
        <v>2480</v>
      </c>
      <c r="H23" s="18"/>
      <c r="I23" s="18"/>
      <c r="J23" s="18"/>
      <c r="K23" s="18"/>
      <c r="L23" s="26"/>
      <c r="M23" s="83"/>
      <c r="N23" s="83"/>
      <c r="O23" s="83"/>
      <c r="P23" s="18"/>
      <c r="Q23" s="18"/>
      <c r="R23" s="18"/>
      <c r="S23" s="18"/>
      <c r="T23" s="18"/>
      <c r="U23" s="18"/>
      <c r="V23" s="18"/>
      <c r="W23" s="18"/>
      <c r="X23" s="18"/>
      <c r="Y23" s="18"/>
      <c r="Z23" s="18"/>
      <c r="AA23" s="18"/>
      <c r="AB23" s="18"/>
      <c r="AC23" s="18"/>
      <c r="AD23" s="18"/>
      <c r="AE23" s="18"/>
      <c r="AF23" s="18"/>
      <c r="AG23" s="18"/>
      <c r="AH23" s="18"/>
      <c r="AI23" s="18"/>
      <c r="AJ23" s="83"/>
      <c r="AK23" s="18"/>
      <c r="AL23" s="83"/>
      <c r="AM23" s="18"/>
      <c r="AN23" s="18"/>
      <c r="AO23" s="18"/>
      <c r="AP23" s="18"/>
      <c r="AQ23" s="18"/>
      <c r="AR23" s="18"/>
      <c r="AS23" s="18"/>
      <c r="AT23" s="18"/>
      <c r="AU23" s="18"/>
      <c r="AV23" s="18"/>
      <c r="AW23" s="83"/>
      <c r="AX23" s="83"/>
      <c r="AY23" s="18"/>
      <c r="AZ23" s="18"/>
      <c r="BA23" s="18"/>
      <c r="BB23" s="18"/>
      <c r="BC23" s="18"/>
      <c r="BD23" s="18"/>
      <c r="BE23" s="18"/>
      <c r="BF23" s="18"/>
      <c r="BG23" s="18"/>
      <c r="BH23" s="18"/>
      <c r="BI23" s="18"/>
      <c r="BJ23" s="83"/>
      <c r="BK23" s="18"/>
      <c r="BL23" s="18"/>
      <c r="BM23" s="18"/>
      <c r="BN23" s="83"/>
      <c r="BO23" s="83"/>
      <c r="BP23" s="18"/>
      <c r="BQ23" s="18"/>
      <c r="BR23" s="18"/>
      <c r="BS23" s="18"/>
      <c r="BT23" s="18"/>
      <c r="BU23" s="18"/>
      <c r="BV23" s="18"/>
      <c r="BW23" s="18"/>
      <c r="BX23" s="18"/>
      <c r="BY23" s="18"/>
      <c r="BZ23" s="83"/>
      <c r="CA23" s="18"/>
      <c r="CB23" s="18"/>
      <c r="CC23" s="18"/>
      <c r="CD23" s="26">
        <v>1.0</v>
      </c>
      <c r="CE23" s="83"/>
      <c r="CF23" s="18"/>
      <c r="CG23" s="18"/>
      <c r="CH23" s="18"/>
      <c r="CI23" s="18"/>
      <c r="CJ23" s="18"/>
      <c r="CK23" s="18"/>
      <c r="CL23" s="18"/>
      <c r="CM23" s="18"/>
      <c r="CN23" s="18"/>
      <c r="CO23" s="18"/>
      <c r="CP23" s="18"/>
      <c r="CQ23" s="18"/>
      <c r="CR23" s="18"/>
      <c r="CT23" s="18"/>
      <c r="CU23" s="18"/>
      <c r="CV23" s="18"/>
      <c r="CW23" s="18"/>
      <c r="CX23" s="18"/>
      <c r="CY23" s="18"/>
      <c r="CZ23" s="18"/>
      <c r="DA23" s="18"/>
      <c r="DB23" s="18"/>
      <c r="DC23" s="26">
        <v>1.0</v>
      </c>
      <c r="DD23" s="18"/>
      <c r="DE23" s="83"/>
      <c r="DF23" s="83"/>
      <c r="DG23" s="83"/>
      <c r="DH23" s="83"/>
      <c r="DI23" s="83"/>
      <c r="DJ23" s="83"/>
      <c r="DK23" s="18"/>
      <c r="DL23" s="18"/>
      <c r="DM23" s="18"/>
      <c r="DN23" s="83"/>
      <c r="DO23" s="18"/>
      <c r="DP23" s="18"/>
      <c r="DQ23" s="18"/>
      <c r="DR23" s="83"/>
      <c r="DS23" s="18"/>
      <c r="DT23" s="18"/>
      <c r="DU23" s="83"/>
      <c r="DV23" s="83"/>
      <c r="DW23" s="18"/>
      <c r="DX23" s="26">
        <v>1.0</v>
      </c>
      <c r="DY23" s="18"/>
      <c r="DZ23" s="83"/>
      <c r="EA23" s="18"/>
      <c r="EB23" s="83"/>
      <c r="EC23" s="18"/>
      <c r="ED23" s="83"/>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84"/>
      <c r="FR23" s="18"/>
      <c r="FS23" s="84"/>
      <c r="FT23" s="18"/>
      <c r="FU23" s="18"/>
      <c r="FV23" s="18"/>
      <c r="FW23" s="18"/>
      <c r="FX23" s="18"/>
      <c r="FY23" s="18"/>
      <c r="FZ23" s="18"/>
      <c r="GA23" s="18"/>
      <c r="GB23" s="84"/>
      <c r="GC23" s="18"/>
      <c r="GD23" s="18"/>
      <c r="GE23" s="18"/>
      <c r="GF23" s="18"/>
      <c r="GG23" s="84"/>
      <c r="GH23" s="18"/>
      <c r="GI23" s="18"/>
      <c r="GJ23" s="18"/>
      <c r="GK23" s="18"/>
      <c r="GL23" s="18"/>
      <c r="GM23" s="18"/>
      <c r="GN23" s="18"/>
      <c r="GO23" s="83"/>
      <c r="GP23" s="18"/>
      <c r="GQ23" s="18"/>
      <c r="GR23" s="18"/>
      <c r="GS23" s="18"/>
      <c r="GT23" s="26">
        <v>1.0</v>
      </c>
      <c r="GU23" s="18"/>
      <c r="GV23" s="84"/>
      <c r="GW23" s="18"/>
      <c r="GX23" s="18"/>
      <c r="GY23" s="26">
        <v>1.0</v>
      </c>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26">
        <v>1.0</v>
      </c>
      <c r="HZ23" s="18"/>
      <c r="IA23" s="18"/>
      <c r="IB23" s="18"/>
      <c r="IC23" s="18"/>
      <c r="ID23" s="18"/>
      <c r="IE23" s="18"/>
      <c r="IF23" s="18"/>
      <c r="IG23" s="18"/>
      <c r="IH23" s="18"/>
      <c r="II23" s="18"/>
      <c r="IJ23" s="18"/>
      <c r="IK23" s="18"/>
      <c r="IL23" s="83"/>
      <c r="IM23" s="18"/>
      <c r="IN23" s="83"/>
      <c r="IO23" s="18"/>
      <c r="IP23" s="18"/>
      <c r="IQ23" s="18"/>
      <c r="IR23" s="18"/>
      <c r="IS23" s="18"/>
      <c r="IT23" s="18"/>
      <c r="IU23" s="18"/>
      <c r="IV23" s="18"/>
      <c r="IW23" s="26">
        <v>1.0</v>
      </c>
      <c r="IX23" s="18"/>
      <c r="IY23" s="18"/>
      <c r="IZ23" s="18"/>
      <c r="JA23" s="18"/>
      <c r="JB23" s="18"/>
      <c r="JC23" s="18"/>
      <c r="JD23" s="18"/>
      <c r="JE23" s="18"/>
      <c r="JF23" s="18"/>
      <c r="JG23" s="18"/>
      <c r="JH23" s="18"/>
      <c r="JI23" s="18"/>
      <c r="JJ23" s="18"/>
      <c r="JK23" s="18"/>
      <c r="JL23" s="18"/>
      <c r="JM23" s="18"/>
      <c r="JN23" s="18"/>
      <c r="JO23" s="18"/>
      <c r="JP23" s="18"/>
      <c r="JQ23" s="18"/>
      <c r="JR23" s="18"/>
      <c r="JS23" s="26">
        <v>1.0</v>
      </c>
      <c r="JT23" s="18"/>
      <c r="JU23" s="26">
        <v>1.0</v>
      </c>
      <c r="JV23" s="18"/>
      <c r="JW23" s="18"/>
      <c r="JX23" s="18"/>
      <c r="JY23" s="18"/>
      <c r="JZ23" s="18"/>
      <c r="KA23" s="18"/>
      <c r="KB23" s="18"/>
      <c r="KC23" s="18"/>
      <c r="KD23" s="18"/>
      <c r="KE23" s="18"/>
      <c r="KF23" s="18"/>
      <c r="KG23" s="18"/>
      <c r="KH23" s="18"/>
      <c r="KI23" s="18"/>
      <c r="KJ23" s="18"/>
      <c r="KK23" s="18"/>
      <c r="KL23" s="18"/>
      <c r="KM23" s="18"/>
      <c r="KN23" s="18"/>
      <c r="KO23" s="18"/>
      <c r="KP23" s="18"/>
      <c r="KQ23" s="18"/>
      <c r="KR23" s="83"/>
      <c r="KS23" s="18"/>
      <c r="KT23" s="18"/>
      <c r="KU23" s="18"/>
      <c r="KV23" s="18"/>
      <c r="KW23" s="18"/>
    </row>
    <row r="24">
      <c r="A24" s="28">
        <v>25.0</v>
      </c>
      <c r="B24" s="28">
        <f t="shared" si="1"/>
        <v>4</v>
      </c>
      <c r="C24" s="28" t="s">
        <v>2342</v>
      </c>
      <c r="D24" s="29" t="s">
        <v>2485</v>
      </c>
      <c r="E24" s="29" t="s">
        <v>2486</v>
      </c>
      <c r="F24" s="29" t="s">
        <v>2487</v>
      </c>
      <c r="G24" s="29" t="s">
        <v>2488</v>
      </c>
      <c r="H24" s="18"/>
      <c r="I24" s="18"/>
      <c r="J24" s="18"/>
      <c r="K24" s="18"/>
      <c r="L24" s="26">
        <v>1.0</v>
      </c>
      <c r="M24" s="83"/>
      <c r="N24" s="83"/>
      <c r="O24" s="83"/>
      <c r="P24" s="18"/>
      <c r="Q24" s="18"/>
      <c r="R24" s="18"/>
      <c r="S24" s="18"/>
      <c r="T24" s="18"/>
      <c r="U24" s="18"/>
      <c r="V24" s="18"/>
      <c r="W24" s="18"/>
      <c r="X24" s="18"/>
      <c r="Y24" s="18"/>
      <c r="Z24" s="18"/>
      <c r="AA24" s="18"/>
      <c r="AB24" s="18"/>
      <c r="AC24" s="18"/>
      <c r="AD24" s="18"/>
      <c r="AE24" s="18"/>
      <c r="AF24" s="18"/>
      <c r="AG24" s="18"/>
      <c r="AH24" s="18"/>
      <c r="AI24" s="18"/>
      <c r="AJ24" s="83"/>
      <c r="AK24" s="18"/>
      <c r="AL24" s="83"/>
      <c r="AM24" s="18"/>
      <c r="AN24" s="18"/>
      <c r="AO24" s="18"/>
      <c r="AP24" s="18"/>
      <c r="AQ24" s="18"/>
      <c r="AR24" s="18"/>
      <c r="AS24" s="18"/>
      <c r="AT24" s="18"/>
      <c r="AU24" s="18"/>
      <c r="AV24" s="18"/>
      <c r="AW24" s="83"/>
      <c r="AX24" s="83"/>
      <c r="AY24" s="18"/>
      <c r="AZ24" s="18"/>
      <c r="BA24" s="18"/>
      <c r="BB24" s="18"/>
      <c r="BC24" s="18"/>
      <c r="BD24" s="18"/>
      <c r="BE24" s="18"/>
      <c r="BF24" s="18"/>
      <c r="BG24" s="18"/>
      <c r="BH24" s="18"/>
      <c r="BI24" s="18"/>
      <c r="BJ24" s="83"/>
      <c r="BK24" s="18"/>
      <c r="BL24" s="18"/>
      <c r="BM24" s="18"/>
      <c r="BN24" s="83"/>
      <c r="BO24" s="83"/>
      <c r="BP24" s="18"/>
      <c r="BQ24" s="18"/>
      <c r="BR24" s="18"/>
      <c r="BS24" s="18"/>
      <c r="BT24" s="18"/>
      <c r="BU24" s="18"/>
      <c r="BV24" s="18"/>
      <c r="BW24" s="18"/>
      <c r="BX24" s="18"/>
      <c r="BY24" s="18"/>
      <c r="BZ24" s="83"/>
      <c r="CA24" s="18"/>
      <c r="CB24" s="18"/>
      <c r="CC24" s="18"/>
      <c r="CD24" s="18"/>
      <c r="CE24" s="83"/>
      <c r="CF24" s="18"/>
      <c r="CG24" s="18"/>
      <c r="CH24" s="18"/>
      <c r="CI24" s="18"/>
      <c r="CJ24" s="18"/>
      <c r="CK24" s="18"/>
      <c r="CL24" s="18"/>
      <c r="CM24" s="18"/>
      <c r="CN24" s="18"/>
      <c r="CO24" s="18"/>
      <c r="CP24" s="18"/>
      <c r="CQ24" s="18"/>
      <c r="CR24" s="18"/>
      <c r="CT24" s="18"/>
      <c r="CU24" s="18"/>
      <c r="CV24" s="18"/>
      <c r="CW24" s="18"/>
      <c r="CX24" s="26">
        <v>1.0</v>
      </c>
      <c r="CY24" s="18"/>
      <c r="CZ24" s="18"/>
      <c r="DA24" s="18"/>
      <c r="DB24" s="18"/>
      <c r="DC24" s="18"/>
      <c r="DD24" s="18"/>
      <c r="DE24" s="83"/>
      <c r="DF24" s="83"/>
      <c r="DG24" s="83"/>
      <c r="DH24" s="83"/>
      <c r="DI24" s="83"/>
      <c r="DJ24" s="83"/>
      <c r="DK24" s="18"/>
      <c r="DL24" s="18"/>
      <c r="DM24" s="18"/>
      <c r="DN24" s="83"/>
      <c r="DO24" s="18"/>
      <c r="DP24" s="18"/>
      <c r="DQ24" s="18"/>
      <c r="DR24" s="83"/>
      <c r="DS24" s="18"/>
      <c r="DT24" s="18"/>
      <c r="DU24" s="83"/>
      <c r="DV24" s="83"/>
      <c r="DW24" s="18"/>
      <c r="DX24" s="18"/>
      <c r="DY24" s="18"/>
      <c r="DZ24" s="83"/>
      <c r="EA24" s="18"/>
      <c r="EB24" s="83"/>
      <c r="EC24" s="18"/>
      <c r="ED24" s="83"/>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84"/>
      <c r="FR24" s="18"/>
      <c r="FS24" s="84"/>
      <c r="FT24" s="18"/>
      <c r="FU24" s="18"/>
      <c r="FV24" s="18"/>
      <c r="FW24" s="18"/>
      <c r="FX24" s="18"/>
      <c r="FY24" s="18"/>
      <c r="FZ24" s="18"/>
      <c r="GA24" s="18"/>
      <c r="GB24" s="84"/>
      <c r="GC24" s="18"/>
      <c r="GD24" s="18"/>
      <c r="GE24" s="18"/>
      <c r="GF24" s="18"/>
      <c r="GG24" s="84"/>
      <c r="GH24" s="18"/>
      <c r="GI24" s="18"/>
      <c r="GJ24" s="18"/>
      <c r="GK24" s="18"/>
      <c r="GL24" s="18"/>
      <c r="GM24" s="18"/>
      <c r="GN24" s="18"/>
      <c r="GO24" s="83"/>
      <c r="GP24" s="18"/>
      <c r="GQ24" s="18"/>
      <c r="GR24" s="18"/>
      <c r="GS24" s="18"/>
      <c r="GT24" s="18"/>
      <c r="GU24" s="18"/>
      <c r="GV24" s="84"/>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26">
        <v>1.0</v>
      </c>
      <c r="IF24" s="18"/>
      <c r="IG24" s="18"/>
      <c r="IH24" s="18"/>
      <c r="II24" s="18"/>
      <c r="IJ24" s="18"/>
      <c r="IK24" s="18"/>
      <c r="IL24" s="83"/>
      <c r="IM24" s="18"/>
      <c r="IN24" s="83"/>
      <c r="IO24" s="18"/>
      <c r="IP24" s="18"/>
      <c r="IQ24" s="18"/>
      <c r="IR24" s="18"/>
      <c r="IS24" s="18"/>
      <c r="IT24" s="18"/>
      <c r="IU24" s="18"/>
      <c r="IV24" s="18"/>
      <c r="IW24" s="18"/>
      <c r="IX24" s="18"/>
      <c r="IY24" s="18"/>
      <c r="IZ24" s="18"/>
      <c r="JA24" s="18"/>
      <c r="JB24" s="18"/>
      <c r="JC24" s="18"/>
      <c r="JD24" s="18"/>
      <c r="JE24" s="18"/>
      <c r="JF24" s="18"/>
      <c r="JG24" s="18"/>
      <c r="JH24" s="18"/>
      <c r="JI24" s="18"/>
      <c r="JJ24" s="18"/>
      <c r="JK24" s="18"/>
      <c r="JL24" s="18"/>
      <c r="JM24" s="18"/>
      <c r="JN24" s="18"/>
      <c r="JO24" s="18"/>
      <c r="JP24" s="18"/>
      <c r="JQ24" s="18"/>
      <c r="JR24" s="18"/>
      <c r="JS24" s="26">
        <v>1.0</v>
      </c>
      <c r="JT24" s="18"/>
      <c r="JU24" s="18"/>
      <c r="JV24" s="18"/>
      <c r="JW24" s="18"/>
      <c r="JX24" s="18"/>
      <c r="JY24" s="18"/>
      <c r="JZ24" s="18"/>
      <c r="KA24" s="18"/>
      <c r="KB24" s="18"/>
      <c r="KC24" s="18"/>
      <c r="KD24" s="18"/>
      <c r="KE24" s="18"/>
      <c r="KF24" s="18"/>
      <c r="KG24" s="18"/>
      <c r="KH24" s="18"/>
      <c r="KI24" s="18"/>
      <c r="KJ24" s="18"/>
      <c r="KK24" s="18"/>
      <c r="KL24" s="18"/>
      <c r="KM24" s="18"/>
      <c r="KN24" s="18"/>
      <c r="KO24" s="18"/>
      <c r="KP24" s="18"/>
      <c r="KQ24" s="18"/>
      <c r="KR24" s="83"/>
      <c r="KS24" s="18"/>
      <c r="KT24" s="18"/>
      <c r="KU24" s="18"/>
      <c r="KV24" s="18"/>
      <c r="KW24" s="18"/>
    </row>
    <row r="25">
      <c r="A25" s="28">
        <v>26.0</v>
      </c>
      <c r="B25" s="28">
        <f t="shared" si="1"/>
        <v>11</v>
      </c>
      <c r="C25" s="28" t="s">
        <v>2342</v>
      </c>
      <c r="D25" s="42" t="s">
        <v>2493</v>
      </c>
      <c r="E25" s="42" t="s">
        <v>2494</v>
      </c>
      <c r="F25" s="29" t="s">
        <v>2495</v>
      </c>
      <c r="G25" s="29" t="s">
        <v>2474</v>
      </c>
      <c r="H25" s="18"/>
      <c r="I25" s="18"/>
      <c r="J25" s="18"/>
      <c r="K25" s="18"/>
      <c r="L25" s="18"/>
      <c r="M25" s="83"/>
      <c r="N25" s="83"/>
      <c r="O25" s="83"/>
      <c r="P25" s="18"/>
      <c r="Q25" s="18"/>
      <c r="R25" s="18"/>
      <c r="S25" s="18"/>
      <c r="T25" s="18"/>
      <c r="U25" s="18"/>
      <c r="V25" s="18"/>
      <c r="W25" s="18"/>
      <c r="X25" s="18"/>
      <c r="Y25" s="18"/>
      <c r="Z25" s="18"/>
      <c r="AA25" s="18"/>
      <c r="AB25" s="18"/>
      <c r="AC25" s="18"/>
      <c r="AD25" s="18"/>
      <c r="AE25" s="18"/>
      <c r="AF25" s="18"/>
      <c r="AG25" s="18"/>
      <c r="AH25" s="18"/>
      <c r="AI25" s="18"/>
      <c r="AJ25" s="83"/>
      <c r="AK25" s="18"/>
      <c r="AL25" s="83"/>
      <c r="AM25" s="18"/>
      <c r="AN25" s="18"/>
      <c r="AO25" s="18"/>
      <c r="AP25" s="18"/>
      <c r="AQ25" s="18"/>
      <c r="AR25" s="18"/>
      <c r="AS25" s="18"/>
      <c r="AT25" s="18"/>
      <c r="AU25" s="26">
        <v>1.0</v>
      </c>
      <c r="AV25" s="18"/>
      <c r="AW25" s="83"/>
      <c r="AX25" s="83"/>
      <c r="AY25" s="18"/>
      <c r="AZ25" s="18"/>
      <c r="BA25" s="18"/>
      <c r="BB25" s="18"/>
      <c r="BC25" s="26"/>
      <c r="BD25" s="18"/>
      <c r="BE25" s="18"/>
      <c r="BF25" s="18"/>
      <c r="BG25" s="18"/>
      <c r="BH25" s="18"/>
      <c r="BI25" s="18"/>
      <c r="BJ25" s="83"/>
      <c r="BK25" s="18"/>
      <c r="BL25" s="18"/>
      <c r="BM25" s="18"/>
      <c r="BN25" s="83"/>
      <c r="BO25" s="83"/>
      <c r="BP25" s="18"/>
      <c r="BQ25" s="26">
        <v>1.0</v>
      </c>
      <c r="BR25" s="18"/>
      <c r="BS25" s="18"/>
      <c r="BT25" s="18"/>
      <c r="BU25" s="18"/>
      <c r="BV25" s="18"/>
      <c r="BW25" s="18"/>
      <c r="BX25" s="18"/>
      <c r="BY25" s="18"/>
      <c r="BZ25" s="83"/>
      <c r="CA25" s="18"/>
      <c r="CB25" s="18"/>
      <c r="CC25" s="18"/>
      <c r="CD25" s="26">
        <v>1.0</v>
      </c>
      <c r="CE25" s="83"/>
      <c r="CF25" s="18"/>
      <c r="CG25" s="18"/>
      <c r="CH25" s="18"/>
      <c r="CI25" s="18"/>
      <c r="CJ25" s="18"/>
      <c r="CK25" s="18"/>
      <c r="CL25" s="18"/>
      <c r="CM25" s="18"/>
      <c r="CN25" s="18"/>
      <c r="CO25" s="18"/>
      <c r="CP25" s="18"/>
      <c r="CQ25" s="18"/>
      <c r="CR25" s="18"/>
      <c r="CT25" s="18"/>
      <c r="CU25" s="18"/>
      <c r="CV25" s="18"/>
      <c r="CW25" s="18"/>
      <c r="CX25" s="18"/>
      <c r="CY25" s="18"/>
      <c r="CZ25" s="18"/>
      <c r="DA25" s="18"/>
      <c r="DB25" s="18"/>
      <c r="DC25" s="26">
        <v>1.0</v>
      </c>
      <c r="DD25" s="18"/>
      <c r="DE25" s="83"/>
      <c r="DF25" s="83"/>
      <c r="DG25" s="83"/>
      <c r="DH25" s="83"/>
      <c r="DI25" s="83"/>
      <c r="DJ25" s="83"/>
      <c r="DK25" s="18"/>
      <c r="DL25" s="18"/>
      <c r="DM25" s="18"/>
      <c r="DN25" s="83"/>
      <c r="DO25" s="18"/>
      <c r="DP25" s="18"/>
      <c r="DQ25" s="18"/>
      <c r="DR25" s="83"/>
      <c r="DS25" s="18"/>
      <c r="DT25" s="18"/>
      <c r="DU25" s="83"/>
      <c r="DV25" s="83"/>
      <c r="DW25" s="18"/>
      <c r="DX25" s="18"/>
      <c r="DY25" s="18"/>
      <c r="DZ25" s="83"/>
      <c r="EA25" s="18"/>
      <c r="EB25" s="83"/>
      <c r="EC25" s="18"/>
      <c r="ED25" s="83"/>
      <c r="EE25" s="18"/>
      <c r="EF25" s="18"/>
      <c r="EG25" s="18"/>
      <c r="EH25" s="26"/>
      <c r="EI25" s="18"/>
      <c r="EJ25" s="18"/>
      <c r="EK25" s="18"/>
      <c r="EL25" s="26"/>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84"/>
      <c r="FR25" s="18"/>
      <c r="FS25" s="84"/>
      <c r="FT25" s="18"/>
      <c r="FU25" s="18"/>
      <c r="FV25" s="18"/>
      <c r="FW25" s="18"/>
      <c r="FX25" s="26">
        <v>1.0</v>
      </c>
      <c r="FY25" s="18"/>
      <c r="FZ25" s="18"/>
      <c r="GA25" s="26">
        <v>1.0</v>
      </c>
      <c r="GB25" s="84"/>
      <c r="GC25" s="18"/>
      <c r="GD25" s="18"/>
      <c r="GE25" s="18"/>
      <c r="GF25" s="18"/>
      <c r="GG25" s="84"/>
      <c r="GH25" s="18"/>
      <c r="GI25" s="18"/>
      <c r="GJ25" s="18"/>
      <c r="GK25" s="18"/>
      <c r="GL25" s="18"/>
      <c r="GM25" s="18"/>
      <c r="GN25" s="18"/>
      <c r="GO25" s="83"/>
      <c r="GP25" s="18"/>
      <c r="GQ25" s="18"/>
      <c r="GR25" s="18"/>
      <c r="GS25" s="18"/>
      <c r="GT25" s="18"/>
      <c r="GU25" s="18"/>
      <c r="GV25" s="84"/>
      <c r="GW25" s="18"/>
      <c r="GX25" s="18"/>
      <c r="GY25" s="26">
        <v>1.0</v>
      </c>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26">
        <v>1.0</v>
      </c>
      <c r="HZ25" s="18"/>
      <c r="IA25" s="18"/>
      <c r="IB25" s="18"/>
      <c r="IC25" s="18"/>
      <c r="ID25" s="18"/>
      <c r="IE25" s="18"/>
      <c r="IF25" s="18"/>
      <c r="IG25" s="18"/>
      <c r="IH25" s="18"/>
      <c r="II25" s="18"/>
      <c r="IJ25" s="18"/>
      <c r="IK25" s="18"/>
      <c r="IL25" s="83"/>
      <c r="IM25" s="18"/>
      <c r="IN25" s="83"/>
      <c r="IO25" s="18"/>
      <c r="IP25" s="18"/>
      <c r="IQ25" s="18"/>
      <c r="IR25" s="26">
        <v>1.0</v>
      </c>
      <c r="IS25" s="18"/>
      <c r="IT25" s="18"/>
      <c r="IU25" s="18"/>
      <c r="IV25" s="18"/>
      <c r="IW25" s="18"/>
      <c r="IX25" s="18"/>
      <c r="IY25" s="18"/>
      <c r="IZ25" s="18"/>
      <c r="JA25" s="26">
        <v>1.0</v>
      </c>
      <c r="JB25" s="18"/>
      <c r="JC25" s="18"/>
      <c r="JD25" s="18"/>
      <c r="JE25" s="18"/>
      <c r="JF25" s="18"/>
      <c r="JG25" s="18"/>
      <c r="JH25" s="18"/>
      <c r="JI25" s="18"/>
      <c r="JJ25" s="18"/>
      <c r="JK25" s="18"/>
      <c r="JL25" s="18"/>
      <c r="JM25" s="18"/>
      <c r="JN25" s="18"/>
      <c r="JO25" s="18"/>
      <c r="JP25" s="18"/>
      <c r="JQ25" s="18"/>
      <c r="JR25" s="18"/>
      <c r="JS25" s="18"/>
      <c r="JT25" s="18"/>
      <c r="JU25" s="26">
        <v>1.0</v>
      </c>
      <c r="JV25" s="18"/>
      <c r="JW25" s="18"/>
      <c r="JX25" s="18"/>
      <c r="JY25" s="18"/>
      <c r="JZ25" s="18"/>
      <c r="KA25" s="18"/>
      <c r="KB25" s="18"/>
      <c r="KC25" s="18"/>
      <c r="KD25" s="18"/>
      <c r="KE25" s="18"/>
      <c r="KF25" s="18"/>
      <c r="KG25" s="18"/>
      <c r="KH25" s="18"/>
      <c r="KI25" s="18"/>
      <c r="KJ25" s="18"/>
      <c r="KK25" s="18"/>
      <c r="KL25" s="18"/>
      <c r="KM25" s="18"/>
      <c r="KN25" s="18"/>
      <c r="KO25" s="18"/>
      <c r="KP25" s="18"/>
      <c r="KQ25" s="18"/>
      <c r="KR25" s="83"/>
      <c r="KS25" s="18"/>
      <c r="KT25" s="18"/>
      <c r="KU25" s="18"/>
      <c r="KV25" s="18"/>
      <c r="KW25" s="18"/>
    </row>
    <row r="26">
      <c r="A26" s="28">
        <v>27.0</v>
      </c>
      <c r="B26" s="28">
        <f t="shared" si="1"/>
        <v>14</v>
      </c>
      <c r="C26" s="28" t="s">
        <v>2342</v>
      </c>
      <c r="D26" s="29" t="s">
        <v>2501</v>
      </c>
      <c r="E26" s="30"/>
      <c r="F26" s="29" t="s">
        <v>2502</v>
      </c>
      <c r="G26" s="42" t="s">
        <v>1088</v>
      </c>
      <c r="H26" s="18"/>
      <c r="I26" s="18"/>
      <c r="J26" s="18"/>
      <c r="K26" s="18"/>
      <c r="L26" s="18"/>
      <c r="M26" s="83"/>
      <c r="N26" s="83"/>
      <c r="O26" s="83"/>
      <c r="P26" s="18"/>
      <c r="Q26" s="26"/>
      <c r="R26" s="18"/>
      <c r="S26" s="18"/>
      <c r="T26" s="26"/>
      <c r="U26" s="18"/>
      <c r="V26" s="18"/>
      <c r="W26" s="18"/>
      <c r="X26" s="18"/>
      <c r="Y26" s="18"/>
      <c r="Z26" s="18"/>
      <c r="AA26" s="18"/>
      <c r="AB26" s="18"/>
      <c r="AC26" s="18"/>
      <c r="AD26" s="18"/>
      <c r="AE26" s="18"/>
      <c r="AF26" s="18"/>
      <c r="AG26" s="18"/>
      <c r="AH26" s="18"/>
      <c r="AI26" s="18"/>
      <c r="AJ26" s="83"/>
      <c r="AK26" s="18"/>
      <c r="AL26" s="83"/>
      <c r="AM26" s="26">
        <v>1.0</v>
      </c>
      <c r="AN26" s="18"/>
      <c r="AO26" s="26">
        <v>1.0</v>
      </c>
      <c r="AP26" s="18"/>
      <c r="AQ26" s="18"/>
      <c r="AR26" s="18"/>
      <c r="AS26" s="18"/>
      <c r="AT26" s="18"/>
      <c r="AU26" s="18"/>
      <c r="AV26" s="26">
        <v>1.0</v>
      </c>
      <c r="AW26" s="83"/>
      <c r="AX26" s="83"/>
      <c r="AY26" s="18"/>
      <c r="AZ26" s="18"/>
      <c r="BA26" s="18"/>
      <c r="BB26" s="18"/>
      <c r="BC26" s="18"/>
      <c r="BD26" s="18"/>
      <c r="BE26" s="18"/>
      <c r="BF26" s="18"/>
      <c r="BG26" s="18"/>
      <c r="BH26" s="18"/>
      <c r="BI26" s="18"/>
      <c r="BJ26" s="83"/>
      <c r="BK26" s="18"/>
      <c r="BL26" s="18"/>
      <c r="BM26" s="18"/>
      <c r="BN26" s="83"/>
      <c r="BO26" s="83"/>
      <c r="BP26" s="26">
        <v>1.0</v>
      </c>
      <c r="BQ26" s="18"/>
      <c r="BR26" s="26">
        <v>1.0</v>
      </c>
      <c r="BS26" s="18"/>
      <c r="BT26" s="18"/>
      <c r="BU26" s="18"/>
      <c r="BV26" s="18"/>
      <c r="BW26" s="18"/>
      <c r="BX26" s="18"/>
      <c r="BY26" s="18"/>
      <c r="BZ26" s="83"/>
      <c r="CA26" s="18"/>
      <c r="CB26" s="18"/>
      <c r="CC26" s="18"/>
      <c r="CD26" s="18"/>
      <c r="CE26" s="83"/>
      <c r="CF26" s="18"/>
      <c r="CG26" s="18"/>
      <c r="CH26" s="18"/>
      <c r="CI26" s="18"/>
      <c r="CJ26" s="18"/>
      <c r="CK26" s="18"/>
      <c r="CL26" s="18"/>
      <c r="CM26" s="18"/>
      <c r="CN26" s="18"/>
      <c r="CO26" s="18"/>
      <c r="CP26" s="18"/>
      <c r="CQ26" s="18"/>
      <c r="CR26" s="18"/>
      <c r="CT26" s="18"/>
      <c r="CU26" s="18"/>
      <c r="CV26" s="18"/>
      <c r="CW26" s="18"/>
      <c r="CX26" s="18"/>
      <c r="CY26" s="18"/>
      <c r="CZ26" s="18"/>
      <c r="DA26" s="18"/>
      <c r="DB26" s="18"/>
      <c r="DC26" s="18"/>
      <c r="DD26" s="18"/>
      <c r="DE26" s="83"/>
      <c r="DF26" s="83"/>
      <c r="DG26" s="83"/>
      <c r="DH26" s="83"/>
      <c r="DI26" s="83"/>
      <c r="DJ26" s="83"/>
      <c r="DK26" s="18"/>
      <c r="DL26" s="18"/>
      <c r="DM26" s="18"/>
      <c r="DN26" s="83"/>
      <c r="DO26" s="18"/>
      <c r="DP26" s="18"/>
      <c r="DQ26" s="18"/>
      <c r="DR26" s="83"/>
      <c r="DS26" s="18"/>
      <c r="DT26" s="18"/>
      <c r="DU26" s="83"/>
      <c r="DV26" s="83"/>
      <c r="DW26" s="26">
        <v>1.0</v>
      </c>
      <c r="DX26" s="18"/>
      <c r="DY26" s="18"/>
      <c r="DZ26" s="83"/>
      <c r="EA26" s="26">
        <v>1.0</v>
      </c>
      <c r="EB26" s="83"/>
      <c r="EC26" s="18"/>
      <c r="ED26" s="83"/>
      <c r="EE26" s="18"/>
      <c r="EF26" s="18"/>
      <c r="EG26" s="18"/>
      <c r="EH26" s="18"/>
      <c r="EI26" s="18"/>
      <c r="EJ26" s="18"/>
      <c r="EK26" s="26">
        <v>1.0</v>
      </c>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84"/>
      <c r="FR26" s="18"/>
      <c r="FS26" s="84"/>
      <c r="FT26" s="18"/>
      <c r="FU26" s="18"/>
      <c r="FV26" s="18"/>
      <c r="FW26" s="18"/>
      <c r="FX26" s="18"/>
      <c r="FY26" s="18"/>
      <c r="FZ26" s="18"/>
      <c r="GA26" s="18"/>
      <c r="GB26" s="84"/>
      <c r="GC26" s="18"/>
      <c r="GD26" s="18"/>
      <c r="GE26" s="26">
        <v>1.0</v>
      </c>
      <c r="GF26" s="18"/>
      <c r="GG26" s="84"/>
      <c r="GH26" s="26">
        <v>1.0</v>
      </c>
      <c r="GI26" s="18"/>
      <c r="GJ26" s="18"/>
      <c r="GK26" s="18"/>
      <c r="GL26" s="18"/>
      <c r="GM26" s="18"/>
      <c r="GN26" s="18"/>
      <c r="GO26" s="83"/>
      <c r="GP26" s="18"/>
      <c r="GQ26" s="18"/>
      <c r="GR26" s="26"/>
      <c r="GS26" s="18"/>
      <c r="GT26" s="18"/>
      <c r="GU26" s="26">
        <v>1.0</v>
      </c>
      <c r="GV26" s="84"/>
      <c r="GW26" s="26">
        <v>1.0</v>
      </c>
      <c r="GX26" s="18"/>
      <c r="GY26" s="18"/>
      <c r="GZ26" s="18"/>
      <c r="HA26" s="18"/>
      <c r="HB26" s="18"/>
      <c r="HC26" s="18"/>
      <c r="HD26" s="18"/>
      <c r="HE26" s="18"/>
      <c r="HF26" s="18"/>
      <c r="HG26" s="18"/>
      <c r="HH26" s="26">
        <v>1.0</v>
      </c>
      <c r="HI26" s="18"/>
      <c r="HJ26" s="18"/>
      <c r="HK26" s="18"/>
      <c r="HL26" s="18"/>
      <c r="HM26" s="18"/>
      <c r="HN26" s="26"/>
      <c r="HO26" s="26">
        <v>1.0</v>
      </c>
      <c r="HP26" s="18"/>
      <c r="HQ26" s="18"/>
      <c r="HR26" s="18"/>
      <c r="HS26" s="18"/>
      <c r="HT26" s="18"/>
      <c r="HU26" s="18"/>
      <c r="HV26" s="18"/>
      <c r="HW26" s="18"/>
      <c r="HX26" s="18"/>
      <c r="HY26" s="18"/>
      <c r="HZ26" s="18"/>
      <c r="IA26" s="18"/>
      <c r="IB26" s="18"/>
      <c r="IC26" s="18"/>
      <c r="ID26" s="18"/>
      <c r="IE26" s="18"/>
      <c r="IF26" s="18"/>
      <c r="IG26" s="18"/>
      <c r="IH26" s="18"/>
      <c r="II26" s="18"/>
      <c r="IJ26" s="18"/>
      <c r="IK26" s="18"/>
      <c r="IL26" s="83"/>
      <c r="IM26" s="18"/>
      <c r="IN26" s="83"/>
      <c r="IO26" s="18"/>
      <c r="IP26" s="18"/>
      <c r="IQ26" s="18"/>
      <c r="IR26" s="18"/>
      <c r="IS26" s="18"/>
      <c r="IT26" s="18"/>
      <c r="IU26" s="18"/>
      <c r="IV26" s="18"/>
      <c r="IW26" s="18"/>
      <c r="IX26" s="18"/>
      <c r="IY26" s="18"/>
      <c r="IZ26" s="18"/>
      <c r="JA26" s="18"/>
      <c r="JB26" s="18"/>
      <c r="JC26" s="18"/>
      <c r="JD26" s="18"/>
      <c r="JE26" s="18"/>
      <c r="JF26" s="18"/>
      <c r="JG26" s="18"/>
      <c r="JH26" s="18"/>
      <c r="JI26" s="18"/>
      <c r="JJ26" s="18"/>
      <c r="JK26" s="18"/>
      <c r="JL26" s="18"/>
      <c r="JM26" s="18"/>
      <c r="JN26" s="18"/>
      <c r="JO26" s="18"/>
      <c r="JP26" s="18"/>
      <c r="JQ26" s="18"/>
      <c r="JR26" s="18"/>
      <c r="JS26" s="18"/>
      <c r="JT26" s="18"/>
      <c r="JU26" s="18"/>
      <c r="JV26" s="18"/>
      <c r="JW26" s="18"/>
      <c r="JX26" s="18"/>
      <c r="JY26" s="18"/>
      <c r="JZ26" s="18"/>
      <c r="KA26" s="18"/>
      <c r="KB26" s="18"/>
      <c r="KC26" s="18"/>
      <c r="KD26" s="18"/>
      <c r="KE26" s="18"/>
      <c r="KF26" s="18"/>
      <c r="KG26" s="18"/>
      <c r="KH26" s="18"/>
      <c r="KI26" s="18"/>
      <c r="KJ26" s="18"/>
      <c r="KK26" s="18"/>
      <c r="KL26" s="18"/>
      <c r="KM26" s="18"/>
      <c r="KN26" s="18"/>
      <c r="KO26" s="18"/>
      <c r="KP26" s="18"/>
      <c r="KQ26" s="18"/>
      <c r="KR26" s="83"/>
      <c r="KS26" s="18"/>
      <c r="KT26" s="18"/>
      <c r="KU26" s="18"/>
      <c r="KV26" s="18"/>
      <c r="KW26" s="18"/>
    </row>
    <row r="27">
      <c r="A27" s="89">
        <v>28.0</v>
      </c>
      <c r="B27" s="28">
        <f t="shared" si="1"/>
        <v>13</v>
      </c>
      <c r="C27" s="28" t="s">
        <v>2332</v>
      </c>
      <c r="D27" s="29" t="s">
        <v>2507</v>
      </c>
      <c r="E27" s="30"/>
      <c r="F27" s="29" t="s">
        <v>2508</v>
      </c>
      <c r="G27" s="42" t="s">
        <v>2509</v>
      </c>
      <c r="H27" s="18"/>
      <c r="I27" s="18"/>
      <c r="J27" s="18"/>
      <c r="K27" s="26"/>
      <c r="L27" s="18"/>
      <c r="M27" s="83"/>
      <c r="N27" s="83"/>
      <c r="O27" s="83"/>
      <c r="P27" s="18"/>
      <c r="Q27" s="18"/>
      <c r="R27" s="18"/>
      <c r="S27" s="18"/>
      <c r="T27" s="18"/>
      <c r="U27" s="18"/>
      <c r="V27" s="18"/>
      <c r="W27" s="18"/>
      <c r="X27" s="18"/>
      <c r="Y27" s="18"/>
      <c r="Z27" s="18"/>
      <c r="AA27" s="18"/>
      <c r="AB27" s="18"/>
      <c r="AC27" s="26">
        <v>1.0</v>
      </c>
      <c r="AD27" s="18"/>
      <c r="AE27" s="18"/>
      <c r="AF27" s="18"/>
      <c r="AG27" s="18"/>
      <c r="AH27" s="26"/>
      <c r="AI27" s="18"/>
      <c r="AJ27" s="83"/>
      <c r="AK27" s="18"/>
      <c r="AL27" s="83"/>
      <c r="AM27" s="18"/>
      <c r="AN27" s="18"/>
      <c r="AO27" s="18"/>
      <c r="AP27" s="18"/>
      <c r="AQ27" s="18"/>
      <c r="AR27" s="18"/>
      <c r="AS27" s="18"/>
      <c r="AT27" s="18"/>
      <c r="AU27" s="18"/>
      <c r="AV27" s="18"/>
      <c r="AW27" s="83"/>
      <c r="AX27" s="83"/>
      <c r="AY27" s="18"/>
      <c r="AZ27" s="18"/>
      <c r="BA27" s="18"/>
      <c r="BB27" s="18"/>
      <c r="BC27" s="18"/>
      <c r="BD27" s="26">
        <v>1.0</v>
      </c>
      <c r="BE27" s="18"/>
      <c r="BF27" s="18"/>
      <c r="BG27" s="18"/>
      <c r="BH27" s="18"/>
      <c r="BI27" s="18"/>
      <c r="BJ27" s="83"/>
      <c r="BK27" s="18"/>
      <c r="BL27" s="18"/>
      <c r="BM27" s="18"/>
      <c r="BN27" s="83"/>
      <c r="BO27" s="83"/>
      <c r="BP27" s="18"/>
      <c r="BQ27" s="18"/>
      <c r="BR27" s="18"/>
      <c r="BS27" s="18"/>
      <c r="BT27" s="18"/>
      <c r="BU27" s="18"/>
      <c r="BV27" s="18"/>
      <c r="BW27" s="18"/>
      <c r="BX27" s="18"/>
      <c r="BY27" s="18"/>
      <c r="BZ27" s="83"/>
      <c r="CA27" s="18"/>
      <c r="CB27" s="18"/>
      <c r="CC27" s="18"/>
      <c r="CD27" s="18"/>
      <c r="CE27" s="83"/>
      <c r="CF27" s="18"/>
      <c r="CG27" s="18"/>
      <c r="CH27" s="18"/>
      <c r="CI27" s="18"/>
      <c r="CJ27" s="18"/>
      <c r="CK27" s="18"/>
      <c r="CL27" s="18"/>
      <c r="CM27" s="18"/>
      <c r="CN27" s="18"/>
      <c r="CO27" s="18"/>
      <c r="CP27" s="18"/>
      <c r="CQ27" s="18"/>
      <c r="CR27" s="18"/>
      <c r="CT27" s="18"/>
      <c r="CU27" s="18"/>
      <c r="CV27" s="18"/>
      <c r="CW27" s="18"/>
      <c r="CX27" s="18"/>
      <c r="CY27" s="18"/>
      <c r="CZ27" s="18"/>
      <c r="DA27" s="26">
        <v>1.0</v>
      </c>
      <c r="DB27" s="18"/>
      <c r="DC27" s="18"/>
      <c r="DD27" s="18"/>
      <c r="DE27" s="83"/>
      <c r="DF27" s="83"/>
      <c r="DG27" s="83"/>
      <c r="DH27" s="83"/>
      <c r="DI27" s="83"/>
      <c r="DJ27" s="83"/>
      <c r="DK27" s="18"/>
      <c r="DL27" s="18"/>
      <c r="DM27" s="26">
        <v>1.0</v>
      </c>
      <c r="DN27" s="83"/>
      <c r="DO27" s="18"/>
      <c r="DP27" s="26">
        <v>1.0</v>
      </c>
      <c r="DQ27" s="18"/>
      <c r="DR27" s="83"/>
      <c r="DS27" s="18"/>
      <c r="DT27" s="18"/>
      <c r="DU27" s="83"/>
      <c r="DV27" s="83"/>
      <c r="DW27" s="18"/>
      <c r="DX27" s="18"/>
      <c r="DY27" s="18"/>
      <c r="DZ27" s="83"/>
      <c r="EA27" s="18"/>
      <c r="EB27" s="83"/>
      <c r="EC27" s="18"/>
      <c r="ED27" s="83"/>
      <c r="EE27" s="18"/>
      <c r="EF27" s="18"/>
      <c r="EG27" s="18"/>
      <c r="EH27" s="18"/>
      <c r="EI27" s="18"/>
      <c r="EJ27" s="18"/>
      <c r="EK27" s="18"/>
      <c r="EL27" s="18"/>
      <c r="EM27" s="18"/>
      <c r="EN27" s="18"/>
      <c r="EO27" s="18"/>
      <c r="EP27" s="26">
        <v>1.0</v>
      </c>
      <c r="EQ27" s="18"/>
      <c r="ER27" s="18"/>
      <c r="ES27" s="18"/>
      <c r="ET27" s="18"/>
      <c r="EU27" s="18"/>
      <c r="EV27" s="26"/>
      <c r="EW27" s="18"/>
      <c r="EX27" s="18"/>
      <c r="EY27" s="18"/>
      <c r="EZ27" s="18"/>
      <c r="FA27" s="18"/>
      <c r="FB27" s="18"/>
      <c r="FC27" s="18"/>
      <c r="FD27" s="18"/>
      <c r="FE27" s="26">
        <v>1.0</v>
      </c>
      <c r="FF27" s="18"/>
      <c r="FG27" s="18"/>
      <c r="FH27" s="18"/>
      <c r="FI27" s="18"/>
      <c r="FJ27" s="18"/>
      <c r="FK27" s="18"/>
      <c r="FL27" s="18"/>
      <c r="FM27" s="18"/>
      <c r="FN27" s="18"/>
      <c r="FO27" s="18"/>
      <c r="FP27" s="18"/>
      <c r="FQ27" s="84"/>
      <c r="FR27" s="18"/>
      <c r="FS27" s="78">
        <v>1.0</v>
      </c>
      <c r="FT27" s="18"/>
      <c r="FU27" s="18"/>
      <c r="FV27" s="18"/>
      <c r="FW27" s="18"/>
      <c r="FX27" s="18"/>
      <c r="FY27" s="18"/>
      <c r="FZ27" s="18"/>
      <c r="GA27" s="18"/>
      <c r="GB27" s="84"/>
      <c r="GC27" s="18"/>
      <c r="GD27" s="18"/>
      <c r="GE27" s="18"/>
      <c r="GF27" s="18"/>
      <c r="GG27" s="84"/>
      <c r="GH27" s="18"/>
      <c r="GI27" s="18"/>
      <c r="GJ27" s="18"/>
      <c r="GK27" s="26">
        <v>1.0</v>
      </c>
      <c r="GL27" s="18"/>
      <c r="GM27" s="18"/>
      <c r="GN27" s="18"/>
      <c r="GO27" s="83"/>
      <c r="GP27" s="26"/>
      <c r="GQ27" s="18"/>
      <c r="GR27" s="18"/>
      <c r="GS27" s="18"/>
      <c r="GT27" s="18"/>
      <c r="GU27" s="18"/>
      <c r="GV27" s="84"/>
      <c r="GW27" s="18"/>
      <c r="GX27" s="18"/>
      <c r="GY27" s="18"/>
      <c r="GZ27" s="18"/>
      <c r="HA27" s="18"/>
      <c r="HB27" s="18"/>
      <c r="HC27" s="18"/>
      <c r="HD27" s="18"/>
      <c r="HE27" s="18"/>
      <c r="HF27" s="18"/>
      <c r="HG27" s="81"/>
      <c r="HH27" s="18"/>
      <c r="HI27" s="18"/>
      <c r="HJ27" s="18"/>
      <c r="HK27" s="18"/>
      <c r="HL27" s="18"/>
      <c r="HM27" s="18"/>
      <c r="HN27" s="18"/>
      <c r="HO27" s="18"/>
      <c r="HP27" s="18"/>
      <c r="HQ27" s="18"/>
      <c r="HR27" s="18"/>
      <c r="HS27" s="18"/>
      <c r="HT27" s="18"/>
      <c r="HU27" s="26"/>
      <c r="HV27" s="26">
        <v>1.0</v>
      </c>
      <c r="HW27" s="18"/>
      <c r="HX27" s="18"/>
      <c r="HY27" s="18"/>
      <c r="HZ27" s="18"/>
      <c r="IA27" s="18"/>
      <c r="IB27" s="18"/>
      <c r="IC27" s="18"/>
      <c r="ID27" s="18"/>
      <c r="IE27" s="18"/>
      <c r="IF27" s="18"/>
      <c r="IG27" s="18"/>
      <c r="IH27" s="18"/>
      <c r="II27" s="18"/>
      <c r="IJ27" s="18"/>
      <c r="IK27" s="18"/>
      <c r="IL27" s="83"/>
      <c r="IM27" s="18"/>
      <c r="IN27" s="83"/>
      <c r="IO27" s="18"/>
      <c r="IP27" s="18"/>
      <c r="IQ27" s="18"/>
      <c r="IR27" s="18"/>
      <c r="IS27" s="18"/>
      <c r="IT27" s="18"/>
      <c r="IU27" s="18"/>
      <c r="IV27" s="18"/>
      <c r="IW27" s="18"/>
      <c r="IX27" s="18"/>
      <c r="IY27" s="18"/>
      <c r="IZ27" s="18"/>
      <c r="JA27" s="18"/>
      <c r="JB27" s="18"/>
      <c r="JC27" s="18"/>
      <c r="JD27" s="18"/>
      <c r="JE27" s="18"/>
      <c r="JF27" s="18"/>
      <c r="JG27" s="18"/>
      <c r="JH27" s="18"/>
      <c r="JI27" s="18"/>
      <c r="JJ27" s="18"/>
      <c r="JK27" s="26">
        <v>1.0</v>
      </c>
      <c r="JL27" s="18"/>
      <c r="JM27" s="18"/>
      <c r="JN27" s="18"/>
      <c r="JO27" s="18"/>
      <c r="JP27" s="18"/>
      <c r="JQ27" s="18"/>
      <c r="JR27" s="18"/>
      <c r="JS27" s="18"/>
      <c r="JT27" s="18"/>
      <c r="JU27" s="18"/>
      <c r="JV27" s="18"/>
      <c r="JW27" s="18"/>
      <c r="JX27" s="18"/>
      <c r="JY27" s="18"/>
      <c r="JZ27" s="18"/>
      <c r="KA27" s="18"/>
      <c r="KB27" s="18"/>
      <c r="KC27" s="18"/>
      <c r="KD27" s="18"/>
      <c r="KE27" s="18"/>
      <c r="KF27" s="18"/>
      <c r="KG27" s="18"/>
      <c r="KH27" s="18"/>
      <c r="KI27" s="18"/>
      <c r="KJ27" s="18"/>
      <c r="KK27" s="18"/>
      <c r="KL27" s="18"/>
      <c r="KM27" s="18"/>
      <c r="KN27" s="26">
        <v>1.0</v>
      </c>
      <c r="KO27" s="18"/>
      <c r="KP27" s="26">
        <v>1.0</v>
      </c>
      <c r="KQ27" s="18"/>
      <c r="KR27" s="83"/>
      <c r="KS27" s="18"/>
      <c r="KT27" s="18"/>
      <c r="KU27" s="18"/>
      <c r="KV27" s="18"/>
      <c r="KW27" s="18"/>
    </row>
    <row r="28">
      <c r="A28" s="28">
        <v>29.0</v>
      </c>
      <c r="B28" s="28">
        <f t="shared" si="1"/>
        <v>11</v>
      </c>
      <c r="C28" s="28" t="s">
        <v>2342</v>
      </c>
      <c r="D28" s="29" t="s">
        <v>2431</v>
      </c>
      <c r="E28" s="30"/>
      <c r="F28" s="29" t="s">
        <v>2514</v>
      </c>
      <c r="G28" s="29" t="s">
        <v>2515</v>
      </c>
      <c r="H28" s="18"/>
      <c r="I28" s="18"/>
      <c r="J28" s="18"/>
      <c r="K28" s="18"/>
      <c r="L28" s="26">
        <v>1.0</v>
      </c>
      <c r="M28" s="83"/>
      <c r="N28" s="83"/>
      <c r="O28" s="83"/>
      <c r="P28" s="18"/>
      <c r="Q28" s="18"/>
      <c r="R28" s="18"/>
      <c r="S28" s="18"/>
      <c r="T28" s="18"/>
      <c r="U28" s="18"/>
      <c r="V28" s="18"/>
      <c r="W28" s="18"/>
      <c r="X28" s="18"/>
      <c r="Y28" s="18"/>
      <c r="Z28" s="18"/>
      <c r="AA28" s="18"/>
      <c r="AB28" s="18"/>
      <c r="AC28" s="18"/>
      <c r="AD28" s="18"/>
      <c r="AE28" s="26">
        <v>1.0</v>
      </c>
      <c r="AF28" s="18"/>
      <c r="AG28" s="18"/>
      <c r="AH28" s="18"/>
      <c r="AI28" s="18"/>
      <c r="AJ28" s="83"/>
      <c r="AK28" s="18"/>
      <c r="AL28" s="83"/>
      <c r="AM28" s="18"/>
      <c r="AN28" s="18"/>
      <c r="AO28" s="18"/>
      <c r="AP28" s="18"/>
      <c r="AQ28" s="18"/>
      <c r="AR28" s="18"/>
      <c r="AS28" s="18"/>
      <c r="AT28" s="18"/>
      <c r="AU28" s="18"/>
      <c r="AV28" s="18"/>
      <c r="AW28" s="83"/>
      <c r="AX28" s="83"/>
      <c r="AY28" s="18"/>
      <c r="AZ28" s="18"/>
      <c r="BA28" s="18"/>
      <c r="BB28" s="18"/>
      <c r="BC28" s="18"/>
      <c r="BD28" s="18"/>
      <c r="BE28" s="18"/>
      <c r="BF28" s="18"/>
      <c r="BG28" s="18"/>
      <c r="BH28" s="26"/>
      <c r="BI28" s="18"/>
      <c r="BJ28" s="83"/>
      <c r="BK28" s="18"/>
      <c r="BL28" s="18"/>
      <c r="BM28" s="18"/>
      <c r="BN28" s="77"/>
      <c r="BO28" s="83"/>
      <c r="BP28" s="18"/>
      <c r="BQ28" s="18"/>
      <c r="BR28" s="18"/>
      <c r="BS28" s="18"/>
      <c r="BT28" s="18"/>
      <c r="BU28" s="18"/>
      <c r="BV28" s="18"/>
      <c r="BW28" s="18"/>
      <c r="BX28" s="18"/>
      <c r="BY28" s="18"/>
      <c r="BZ28" s="83"/>
      <c r="CA28" s="18"/>
      <c r="CB28" s="18"/>
      <c r="CC28" s="18"/>
      <c r="CD28" s="26"/>
      <c r="CE28" s="83"/>
      <c r="CF28" s="18"/>
      <c r="CG28" s="18"/>
      <c r="CH28" s="18"/>
      <c r="CI28" s="18"/>
      <c r="CJ28" s="18"/>
      <c r="CK28" s="18"/>
      <c r="CL28" s="18"/>
      <c r="CM28" s="18"/>
      <c r="CN28" s="18"/>
      <c r="CO28" s="18"/>
      <c r="CP28" s="18"/>
      <c r="CQ28" s="18"/>
      <c r="CR28" s="18"/>
      <c r="CS28" s="26">
        <v>1.0</v>
      </c>
      <c r="CT28" s="18"/>
      <c r="CU28" s="18"/>
      <c r="CV28" s="18"/>
      <c r="CW28" s="18"/>
      <c r="CX28" s="18"/>
      <c r="CY28" s="18"/>
      <c r="CZ28" s="18"/>
      <c r="DA28" s="18"/>
      <c r="DB28" s="18"/>
      <c r="DC28" s="18"/>
      <c r="DD28" s="18"/>
      <c r="DE28" s="83"/>
      <c r="DF28" s="83"/>
      <c r="DG28" s="83"/>
      <c r="DH28" s="83"/>
      <c r="DI28" s="83"/>
      <c r="DJ28" s="83"/>
      <c r="DK28" s="18"/>
      <c r="DL28" s="18"/>
      <c r="DM28" s="18"/>
      <c r="DN28" s="83"/>
      <c r="DO28" s="18"/>
      <c r="DP28" s="18"/>
      <c r="DQ28" s="18"/>
      <c r="DR28" s="83"/>
      <c r="DS28" s="18"/>
      <c r="DT28" s="18"/>
      <c r="DU28" s="83"/>
      <c r="DV28" s="83"/>
      <c r="DW28" s="18"/>
      <c r="DX28" s="26">
        <v>1.0</v>
      </c>
      <c r="DY28" s="18"/>
      <c r="DZ28" s="83"/>
      <c r="EA28" s="18"/>
      <c r="EB28" s="83"/>
      <c r="EC28" s="18"/>
      <c r="ED28" s="83"/>
      <c r="EE28" s="18"/>
      <c r="EF28" s="18"/>
      <c r="EG28" s="18"/>
      <c r="EH28" s="18"/>
      <c r="EI28" s="18"/>
      <c r="EJ28" s="18"/>
      <c r="EK28" s="18"/>
      <c r="EL28" s="26">
        <v>1.0</v>
      </c>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84"/>
      <c r="FR28" s="18"/>
      <c r="FS28" s="84"/>
      <c r="FT28" s="18"/>
      <c r="FU28" s="18"/>
      <c r="FV28" s="18"/>
      <c r="FW28" s="18"/>
      <c r="FX28" s="18"/>
      <c r="FY28" s="18"/>
      <c r="FZ28" s="18"/>
      <c r="GA28" s="18"/>
      <c r="GB28" s="84"/>
      <c r="GC28" s="18"/>
      <c r="GD28" s="18"/>
      <c r="GE28" s="18"/>
      <c r="GF28" s="18"/>
      <c r="GG28" s="84"/>
      <c r="GH28" s="18"/>
      <c r="GI28" s="18"/>
      <c r="GJ28" s="18"/>
      <c r="GK28" s="18"/>
      <c r="GL28" s="18"/>
      <c r="GM28" s="26">
        <v>1.0</v>
      </c>
      <c r="GN28" s="18"/>
      <c r="GO28" s="83"/>
      <c r="GP28" s="18"/>
      <c r="GQ28" s="18"/>
      <c r="GR28" s="18"/>
      <c r="GS28" s="26">
        <v>1.0</v>
      </c>
      <c r="GT28" s="18"/>
      <c r="GU28" s="18"/>
      <c r="GV28" s="84"/>
      <c r="GW28" s="18"/>
      <c r="GX28" s="18"/>
      <c r="GY28" s="26"/>
      <c r="GZ28" s="18"/>
      <c r="HA28" s="18"/>
      <c r="HB28" s="18"/>
      <c r="HC28" s="18"/>
      <c r="HD28" s="18"/>
      <c r="HE28" s="18"/>
      <c r="HF28" s="18"/>
      <c r="HG28" s="18"/>
      <c r="HH28" s="18"/>
      <c r="HI28" s="18"/>
      <c r="HJ28" s="18"/>
      <c r="HK28" s="18"/>
      <c r="HL28" s="18"/>
      <c r="HM28" s="18"/>
      <c r="HN28" s="18"/>
      <c r="HO28" s="18"/>
      <c r="HP28" s="26"/>
      <c r="HQ28" s="26">
        <v>1.0</v>
      </c>
      <c r="HR28" s="18"/>
      <c r="HS28" s="18"/>
      <c r="HT28" s="18"/>
      <c r="HU28" s="18"/>
      <c r="HV28" s="18"/>
      <c r="HW28" s="18"/>
      <c r="HX28" s="18"/>
      <c r="HY28" s="18"/>
      <c r="HZ28" s="18"/>
      <c r="IA28" s="18"/>
      <c r="IB28" s="18"/>
      <c r="IC28" s="18"/>
      <c r="ID28" s="26">
        <v>1.0</v>
      </c>
      <c r="IE28" s="18"/>
      <c r="IF28" s="18"/>
      <c r="IG28" s="18"/>
      <c r="IH28" s="18"/>
      <c r="II28" s="18"/>
      <c r="IJ28" s="18"/>
      <c r="IK28" s="18"/>
      <c r="IL28" s="83"/>
      <c r="IM28" s="18"/>
      <c r="IN28" s="83"/>
      <c r="IO28" s="18"/>
      <c r="IP28" s="18"/>
      <c r="IQ28" s="18"/>
      <c r="IR28" s="18"/>
      <c r="IS28" s="18"/>
      <c r="IT28" s="18"/>
      <c r="IU28" s="18"/>
      <c r="IV28" s="18"/>
      <c r="IW28" s="18"/>
      <c r="IX28" s="26">
        <v>1.0</v>
      </c>
      <c r="IY28" s="18"/>
      <c r="IZ28" s="18"/>
      <c r="JA28" s="18"/>
      <c r="JB28" s="18"/>
      <c r="JC28" s="18"/>
      <c r="JD28" s="18"/>
      <c r="JE28" s="18"/>
      <c r="JF28" s="18"/>
      <c r="JG28" s="18"/>
      <c r="JH28" s="18"/>
      <c r="JI28" s="18"/>
      <c r="JJ28" s="18"/>
      <c r="JK28" s="18"/>
      <c r="JL28" s="18"/>
      <c r="JM28" s="18"/>
      <c r="JN28" s="18"/>
      <c r="JO28" s="18"/>
      <c r="JP28" s="26">
        <v>1.0</v>
      </c>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26"/>
      <c r="KP28" s="18"/>
      <c r="KQ28" s="18"/>
      <c r="KR28" s="83"/>
      <c r="KS28" s="18"/>
      <c r="KT28" s="18"/>
      <c r="KU28" s="18"/>
      <c r="KV28" s="18"/>
      <c r="KW28" s="18"/>
    </row>
    <row r="29">
      <c r="A29" s="89">
        <v>30.0</v>
      </c>
      <c r="B29" s="28">
        <f t="shared" si="1"/>
        <v>14</v>
      </c>
      <c r="C29" s="28" t="s">
        <v>2342</v>
      </c>
      <c r="D29" s="42" t="s">
        <v>2519</v>
      </c>
      <c r="E29" s="30"/>
      <c r="F29" s="41" t="s">
        <v>2520</v>
      </c>
      <c r="G29" s="29" t="s">
        <v>2474</v>
      </c>
      <c r="H29" s="26">
        <v>1.0</v>
      </c>
      <c r="I29" s="18"/>
      <c r="J29" s="18"/>
      <c r="K29" s="18"/>
      <c r="L29" s="18"/>
      <c r="M29" s="83"/>
      <c r="N29" s="83"/>
      <c r="O29" s="83"/>
      <c r="P29" s="18"/>
      <c r="Q29" s="18"/>
      <c r="R29" s="18"/>
      <c r="S29" s="18"/>
      <c r="T29" s="18"/>
      <c r="U29" s="18"/>
      <c r="V29" s="18"/>
      <c r="W29" s="18"/>
      <c r="X29" s="18"/>
      <c r="Y29" s="18"/>
      <c r="Z29" s="18"/>
      <c r="AA29" s="18"/>
      <c r="AB29" s="18"/>
      <c r="AC29" s="18"/>
      <c r="AD29" s="18"/>
      <c r="AE29" s="18"/>
      <c r="AF29" s="18"/>
      <c r="AG29" s="26"/>
      <c r="AH29" s="18"/>
      <c r="AI29" s="18"/>
      <c r="AJ29" s="83"/>
      <c r="AK29" s="18"/>
      <c r="AL29" s="83"/>
      <c r="AM29" s="18"/>
      <c r="AN29" s="18"/>
      <c r="AO29" s="18"/>
      <c r="AP29" s="18"/>
      <c r="AQ29" s="18"/>
      <c r="AR29" s="18"/>
      <c r="AS29" s="18"/>
      <c r="AT29" s="18"/>
      <c r="AU29" s="18"/>
      <c r="AV29" s="18"/>
      <c r="AW29" s="83"/>
      <c r="AX29" s="83"/>
      <c r="AY29" s="26"/>
      <c r="AZ29" s="18"/>
      <c r="BA29" s="26">
        <v>1.0</v>
      </c>
      <c r="BB29" s="18"/>
      <c r="BC29" s="18"/>
      <c r="BD29" s="18"/>
      <c r="BE29" s="18"/>
      <c r="BF29" s="18"/>
      <c r="BG29" s="18"/>
      <c r="BH29" s="18"/>
      <c r="BI29" s="18"/>
      <c r="BJ29" s="83"/>
      <c r="BK29" s="18"/>
      <c r="BL29" s="18"/>
      <c r="BM29" s="18"/>
      <c r="BN29" s="83"/>
      <c r="BO29" s="83"/>
      <c r="BP29" s="18"/>
      <c r="BQ29" s="18"/>
      <c r="BR29" s="18"/>
      <c r="BS29" s="18"/>
      <c r="BT29" s="18"/>
      <c r="BU29" s="18"/>
      <c r="BV29" s="18"/>
      <c r="BW29" s="18"/>
      <c r="BX29" s="18"/>
      <c r="BY29" s="18"/>
      <c r="BZ29" s="83"/>
      <c r="CA29" s="18"/>
      <c r="CB29" s="18"/>
      <c r="CC29" s="18"/>
      <c r="CD29" s="18"/>
      <c r="CE29" s="83"/>
      <c r="CF29" s="18"/>
      <c r="CG29" s="18"/>
      <c r="CH29" s="18"/>
      <c r="CI29" s="18"/>
      <c r="CJ29" s="18"/>
      <c r="CK29" s="18"/>
      <c r="CL29" s="18"/>
      <c r="CM29" s="18"/>
      <c r="CN29" s="26">
        <v>1.0</v>
      </c>
      <c r="CO29" s="18"/>
      <c r="CP29" s="18"/>
      <c r="CQ29" s="18"/>
      <c r="CR29" s="18"/>
      <c r="CT29" s="18"/>
      <c r="CU29" s="18"/>
      <c r="CV29" s="18"/>
      <c r="CW29" s="18"/>
      <c r="CX29" s="18"/>
      <c r="CY29" s="26">
        <v>1.0</v>
      </c>
      <c r="CZ29" s="18"/>
      <c r="DA29" s="18"/>
      <c r="DB29" s="18"/>
      <c r="DC29" s="18"/>
      <c r="DD29" s="18"/>
      <c r="DE29" s="83"/>
      <c r="DF29" s="83"/>
      <c r="DG29" s="83"/>
      <c r="DH29" s="83"/>
      <c r="DI29" s="83"/>
      <c r="DJ29" s="83"/>
      <c r="DK29" s="18"/>
      <c r="DL29" s="18"/>
      <c r="DM29" s="18"/>
      <c r="DN29" s="83"/>
      <c r="DO29" s="18"/>
      <c r="DP29" s="26">
        <v>1.0</v>
      </c>
      <c r="DQ29" s="18"/>
      <c r="DR29" s="83"/>
      <c r="DS29" s="18"/>
      <c r="DT29" s="18"/>
      <c r="DU29" s="83"/>
      <c r="DV29" s="83"/>
      <c r="DW29" s="18"/>
      <c r="DX29" s="18"/>
      <c r="DY29" s="18"/>
      <c r="DZ29" s="83"/>
      <c r="EA29" s="18"/>
      <c r="EB29" s="83"/>
      <c r="EC29" s="18"/>
      <c r="ED29" s="83"/>
      <c r="EE29" s="18"/>
      <c r="EF29" s="18"/>
      <c r="EG29" s="18"/>
      <c r="EH29" s="18"/>
      <c r="EI29" s="18"/>
      <c r="EJ29" s="18"/>
      <c r="EK29" s="18"/>
      <c r="EL29" s="18"/>
      <c r="EM29" s="18"/>
      <c r="EN29" s="18"/>
      <c r="EO29" s="18"/>
      <c r="EP29" s="18"/>
      <c r="EQ29" s="18"/>
      <c r="ER29" s="18"/>
      <c r="ES29" s="26">
        <v>1.0</v>
      </c>
      <c r="ET29" s="18"/>
      <c r="EU29" s="18"/>
      <c r="EV29" s="18"/>
      <c r="EW29" s="18"/>
      <c r="EX29" s="18"/>
      <c r="EY29" s="26">
        <v>1.0</v>
      </c>
      <c r="EZ29" s="18"/>
      <c r="FA29" s="18"/>
      <c r="FB29" s="18"/>
      <c r="FC29" s="18"/>
      <c r="FD29" s="18"/>
      <c r="FE29" s="18"/>
      <c r="FF29" s="18"/>
      <c r="FG29" s="18"/>
      <c r="FH29" s="18"/>
      <c r="FI29" s="18"/>
      <c r="FJ29" s="18"/>
      <c r="FK29" s="18"/>
      <c r="FL29" s="18"/>
      <c r="FM29" s="18"/>
      <c r="FN29" s="18"/>
      <c r="FO29" s="18"/>
      <c r="FP29" s="18"/>
      <c r="FQ29" s="84"/>
      <c r="FR29" s="18"/>
      <c r="FS29" s="84"/>
      <c r="FT29" s="18"/>
      <c r="FU29" s="18"/>
      <c r="FV29" s="18"/>
      <c r="FW29" s="18"/>
      <c r="FX29" s="18"/>
      <c r="FY29" s="18"/>
      <c r="FZ29" s="18"/>
      <c r="GA29" s="18"/>
      <c r="GB29" s="84"/>
      <c r="GC29" s="18"/>
      <c r="GD29" s="18"/>
      <c r="GE29" s="18"/>
      <c r="GF29" s="18"/>
      <c r="GG29" s="84"/>
      <c r="GH29" s="18"/>
      <c r="GI29" s="18"/>
      <c r="GJ29" s="26"/>
      <c r="GK29" s="18"/>
      <c r="GL29" s="26"/>
      <c r="GM29" s="18"/>
      <c r="GN29" s="18"/>
      <c r="GO29" s="83"/>
      <c r="GP29" s="18"/>
      <c r="GQ29" s="26"/>
      <c r="GS29" s="18"/>
      <c r="GT29" s="18"/>
      <c r="GU29" s="18"/>
      <c r="GV29" s="84"/>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26">
        <v>1.0</v>
      </c>
      <c r="HY29" s="18"/>
      <c r="HZ29" s="18"/>
      <c r="IA29" s="18"/>
      <c r="IB29" s="18"/>
      <c r="IC29" s="18"/>
      <c r="ID29" s="18"/>
      <c r="IE29" s="18"/>
      <c r="IF29" s="18"/>
      <c r="IG29" s="18"/>
      <c r="IH29" s="18"/>
      <c r="II29" s="18"/>
      <c r="IJ29" s="18"/>
      <c r="IK29" s="18"/>
      <c r="IL29" s="83"/>
      <c r="IM29" s="18"/>
      <c r="IN29" s="83"/>
      <c r="IO29" s="18"/>
      <c r="IP29" s="18"/>
      <c r="IQ29" s="18"/>
      <c r="IR29" s="18"/>
      <c r="IS29" s="18"/>
      <c r="IT29" s="18"/>
      <c r="IU29" s="18"/>
      <c r="IV29" s="18"/>
      <c r="IW29" s="18"/>
      <c r="IX29" s="18"/>
      <c r="IY29" s="26">
        <v>1.0</v>
      </c>
      <c r="IZ29" s="18"/>
      <c r="JA29" s="26">
        <v>1.0</v>
      </c>
      <c r="JB29" s="18"/>
      <c r="JC29" s="18"/>
      <c r="JD29" s="26">
        <v>1.0</v>
      </c>
      <c r="JE29" s="18"/>
      <c r="JF29" s="18"/>
      <c r="JG29" s="26">
        <v>1.0</v>
      </c>
      <c r="JH29" s="18"/>
      <c r="JI29" s="18"/>
      <c r="JJ29" s="18"/>
      <c r="JK29" s="18"/>
      <c r="JL29" s="18"/>
      <c r="JM29" s="18"/>
      <c r="JN29" s="18"/>
      <c r="JO29" s="18"/>
      <c r="JP29" s="18"/>
      <c r="JQ29" s="18"/>
      <c r="JR29" s="18"/>
      <c r="JS29" s="18"/>
      <c r="JT29" s="18"/>
      <c r="JU29" s="18"/>
      <c r="JV29" s="18"/>
      <c r="JW29" s="26">
        <v>1.0</v>
      </c>
      <c r="JX29" s="18"/>
      <c r="JY29" s="26">
        <v>1.0</v>
      </c>
      <c r="JZ29" s="18"/>
      <c r="KA29" s="18"/>
      <c r="KB29" s="18"/>
      <c r="KC29" s="18"/>
      <c r="KD29" s="18"/>
      <c r="KE29" s="18"/>
      <c r="KF29" s="18"/>
      <c r="KG29" s="18"/>
      <c r="KH29" s="18"/>
      <c r="KI29" s="18"/>
      <c r="KJ29" s="18"/>
      <c r="KK29" s="18"/>
      <c r="KL29" s="18"/>
      <c r="KM29" s="18"/>
      <c r="KN29" s="18"/>
      <c r="KO29" s="18"/>
      <c r="KP29" s="18"/>
      <c r="KQ29" s="18"/>
      <c r="KR29" s="83"/>
      <c r="KS29" s="18"/>
      <c r="KT29" s="18"/>
      <c r="KU29" s="18"/>
      <c r="KV29" s="18"/>
      <c r="KW29" s="18"/>
    </row>
    <row r="30">
      <c r="A30" s="53">
        <v>31.0</v>
      </c>
      <c r="B30" s="53">
        <f t="shared" si="1"/>
        <v>0</v>
      </c>
      <c r="C30" s="53" t="s">
        <v>2342</v>
      </c>
      <c r="D30" s="54" t="s">
        <v>2524</v>
      </c>
      <c r="E30" s="55"/>
      <c r="F30" s="54" t="s">
        <v>2525</v>
      </c>
      <c r="G30" s="56" t="s">
        <v>2265</v>
      </c>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1"/>
      <c r="CT30" s="90"/>
      <c r="CU30" s="90"/>
      <c r="CV30" s="90"/>
      <c r="CW30" s="90"/>
      <c r="CX30" s="90"/>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90"/>
      <c r="DW30" s="90"/>
      <c r="DX30" s="90"/>
      <c r="DY30" s="90"/>
      <c r="DZ30" s="90"/>
      <c r="EA30" s="90"/>
      <c r="EB30" s="90"/>
      <c r="EC30" s="90"/>
      <c r="ED30" s="90"/>
      <c r="EE30" s="90"/>
      <c r="EF30" s="90"/>
      <c r="EG30" s="90"/>
      <c r="EH30" s="90"/>
      <c r="EI30" s="90"/>
      <c r="EJ30" s="90"/>
      <c r="EK30" s="90"/>
      <c r="EL30" s="90"/>
      <c r="EM30" s="90"/>
      <c r="EN30" s="90"/>
      <c r="EO30" s="90"/>
      <c r="EP30" s="90"/>
      <c r="EQ30" s="90"/>
      <c r="ER30" s="90"/>
      <c r="ES30" s="90"/>
      <c r="ET30" s="90"/>
      <c r="EU30" s="90"/>
      <c r="EV30" s="90"/>
      <c r="EW30" s="90"/>
      <c r="EX30" s="90"/>
      <c r="EY30" s="90"/>
      <c r="EZ30" s="90"/>
      <c r="FA30" s="90"/>
      <c r="FB30" s="90"/>
      <c r="FC30" s="90"/>
      <c r="FD30" s="90"/>
      <c r="FE30" s="90"/>
      <c r="FF30" s="90"/>
      <c r="FG30" s="90"/>
      <c r="FH30" s="90"/>
      <c r="FI30" s="90"/>
      <c r="FJ30" s="90"/>
      <c r="FK30" s="90"/>
      <c r="FL30" s="90"/>
      <c r="FM30" s="90"/>
      <c r="FN30" s="90"/>
      <c r="FO30" s="90"/>
      <c r="FP30" s="90"/>
      <c r="FQ30" s="90"/>
      <c r="FR30" s="90"/>
      <c r="FS30" s="90"/>
      <c r="FT30" s="90"/>
      <c r="FU30" s="90"/>
      <c r="FV30" s="90"/>
      <c r="FW30" s="90"/>
      <c r="FX30" s="90"/>
      <c r="FY30" s="90"/>
      <c r="FZ30" s="90"/>
      <c r="GA30" s="90"/>
      <c r="GB30" s="90"/>
      <c r="GC30" s="90"/>
      <c r="GD30" s="90"/>
      <c r="GE30" s="90"/>
      <c r="GF30" s="90"/>
      <c r="GG30" s="92"/>
      <c r="GH30" s="90"/>
      <c r="GI30" s="90"/>
      <c r="GJ30" s="90"/>
      <c r="GK30" s="90"/>
      <c r="GL30" s="90"/>
      <c r="GM30" s="90"/>
      <c r="GN30" s="90"/>
      <c r="GO30" s="90"/>
      <c r="GP30" s="90"/>
      <c r="GQ30" s="90"/>
      <c r="GR30" s="90"/>
      <c r="GS30" s="90"/>
      <c r="GT30" s="90"/>
      <c r="GU30" s="90"/>
      <c r="GV30" s="90"/>
      <c r="GW30" s="90"/>
      <c r="GX30" s="90"/>
      <c r="GY30" s="90"/>
      <c r="GZ30" s="90"/>
      <c r="HA30" s="90"/>
      <c r="HB30" s="90"/>
      <c r="HC30" s="90"/>
      <c r="HD30" s="90"/>
      <c r="HE30" s="90"/>
      <c r="HF30" s="90"/>
      <c r="HG30" s="90"/>
      <c r="HH30" s="90"/>
      <c r="HI30" s="90"/>
      <c r="HJ30" s="90"/>
      <c r="HK30" s="90"/>
      <c r="HL30" s="90"/>
      <c r="HM30" s="90"/>
      <c r="HN30" s="90"/>
      <c r="HO30" s="90"/>
      <c r="HP30" s="90"/>
      <c r="HQ30" s="90"/>
      <c r="HR30" s="90"/>
      <c r="HS30" s="90"/>
      <c r="HT30" s="90"/>
      <c r="HU30" s="90"/>
      <c r="HV30" s="90"/>
      <c r="HW30" s="90"/>
      <c r="HX30" s="90"/>
      <c r="HY30" s="90"/>
      <c r="HZ30" s="90"/>
      <c r="IA30" s="90"/>
      <c r="IB30" s="90"/>
      <c r="IC30" s="90"/>
      <c r="ID30" s="90"/>
      <c r="IE30" s="90"/>
      <c r="IF30" s="90"/>
      <c r="IG30" s="90"/>
      <c r="IH30" s="90"/>
      <c r="II30" s="90"/>
      <c r="IJ30" s="90"/>
      <c r="IK30" s="90"/>
      <c r="IL30" s="90"/>
      <c r="IM30" s="90"/>
      <c r="IN30" s="90"/>
      <c r="IO30" s="90"/>
      <c r="IP30" s="90"/>
      <c r="IQ30" s="90"/>
      <c r="IR30" s="90"/>
      <c r="IS30" s="90"/>
      <c r="IT30" s="90"/>
      <c r="IU30" s="90"/>
      <c r="IV30" s="90"/>
      <c r="IW30" s="90"/>
      <c r="IX30" s="90"/>
      <c r="IY30" s="90"/>
      <c r="IZ30" s="90"/>
      <c r="JA30" s="90"/>
      <c r="JB30" s="90"/>
      <c r="JC30" s="90"/>
      <c r="JD30" s="90"/>
      <c r="JE30" s="90"/>
      <c r="JF30" s="90"/>
      <c r="JG30" s="90"/>
      <c r="JH30" s="90"/>
      <c r="JI30" s="90"/>
      <c r="JJ30" s="90"/>
      <c r="JK30" s="90"/>
      <c r="JL30" s="90"/>
      <c r="JM30" s="90"/>
      <c r="JN30" s="90"/>
      <c r="JO30" s="90"/>
      <c r="JP30" s="90"/>
      <c r="JQ30" s="90"/>
      <c r="JR30" s="90"/>
      <c r="JS30" s="90"/>
      <c r="JT30" s="90"/>
      <c r="JU30" s="90"/>
      <c r="JV30" s="90"/>
      <c r="JW30" s="90"/>
      <c r="JX30" s="90"/>
      <c r="JY30" s="90"/>
      <c r="JZ30" s="90"/>
      <c r="KA30" s="90"/>
      <c r="KB30" s="90"/>
      <c r="KC30" s="90"/>
      <c r="KD30" s="90"/>
      <c r="KE30" s="90"/>
      <c r="KF30" s="90"/>
      <c r="KG30" s="90"/>
      <c r="KH30" s="90"/>
      <c r="KI30" s="90"/>
      <c r="KJ30" s="90"/>
      <c r="KK30" s="90"/>
      <c r="KL30" s="90"/>
      <c r="KM30" s="90"/>
      <c r="KN30" s="90"/>
      <c r="KO30" s="90"/>
      <c r="KP30" s="90"/>
      <c r="KQ30" s="90"/>
      <c r="KR30" s="90"/>
      <c r="KS30" s="90"/>
      <c r="KT30" s="90"/>
      <c r="KU30" s="90"/>
      <c r="KV30" s="90"/>
      <c r="KW30" s="90"/>
      <c r="KX30" s="91"/>
    </row>
    <row r="31">
      <c r="A31" s="28">
        <v>32.0</v>
      </c>
      <c r="B31" s="28">
        <f t="shared" si="1"/>
        <v>10</v>
      </c>
      <c r="C31" s="28" t="s">
        <v>2342</v>
      </c>
      <c r="D31" s="29" t="s">
        <v>2528</v>
      </c>
      <c r="E31" s="30"/>
      <c r="F31" s="29" t="s">
        <v>2529</v>
      </c>
      <c r="G31" s="42" t="s">
        <v>2530</v>
      </c>
      <c r="H31" s="18"/>
      <c r="I31" s="18"/>
      <c r="J31" s="18"/>
      <c r="K31" s="18"/>
      <c r="L31" s="18"/>
      <c r="M31" s="83"/>
      <c r="N31" s="83"/>
      <c r="O31" s="83"/>
      <c r="P31" s="18"/>
      <c r="Q31" s="18"/>
      <c r="R31" s="26">
        <v>1.0</v>
      </c>
      <c r="S31" s="18"/>
      <c r="T31" s="18"/>
      <c r="U31" s="18"/>
      <c r="V31" s="18"/>
      <c r="W31" s="18"/>
      <c r="X31" s="18"/>
      <c r="Y31" s="18"/>
      <c r="Z31" s="18"/>
      <c r="AA31" s="26">
        <v>1.0</v>
      </c>
      <c r="AB31" s="18"/>
      <c r="AC31" s="18"/>
      <c r="AD31" s="18"/>
      <c r="AE31" s="18"/>
      <c r="AF31" s="18"/>
      <c r="AG31" s="18"/>
      <c r="AH31" s="18"/>
      <c r="AI31" s="18"/>
      <c r="AJ31" s="83"/>
      <c r="AK31" s="18"/>
      <c r="AL31" s="83"/>
      <c r="AM31" s="18"/>
      <c r="AN31" s="18"/>
      <c r="AO31" s="18"/>
      <c r="AP31" s="18"/>
      <c r="AQ31" s="26">
        <v>1.0</v>
      </c>
      <c r="AR31" s="18"/>
      <c r="AS31" s="18"/>
      <c r="AT31" s="18"/>
      <c r="AU31" s="18"/>
      <c r="AV31" s="18"/>
      <c r="AW31" s="83"/>
      <c r="AX31" s="83"/>
      <c r="AY31" s="18"/>
      <c r="AZ31" s="18"/>
      <c r="BA31" s="18"/>
      <c r="BB31" s="18"/>
      <c r="BC31" s="18"/>
      <c r="BD31" s="18"/>
      <c r="BE31" s="18"/>
      <c r="BF31" s="18"/>
      <c r="BG31" s="18"/>
      <c r="BH31" s="18"/>
      <c r="BI31" s="18"/>
      <c r="BJ31" s="83"/>
      <c r="BK31" s="18"/>
      <c r="BL31" s="18"/>
      <c r="BM31" s="18"/>
      <c r="BN31" s="83"/>
      <c r="BO31" s="83"/>
      <c r="BP31" s="18"/>
      <c r="BQ31" s="18"/>
      <c r="BR31" s="18"/>
      <c r="BS31" s="18"/>
      <c r="BT31" s="26">
        <v>1.0</v>
      </c>
      <c r="BU31" s="18"/>
      <c r="BV31" s="18"/>
      <c r="BW31" s="18"/>
      <c r="BX31" s="18"/>
      <c r="BY31" s="18"/>
      <c r="BZ31" s="83"/>
      <c r="CA31" s="18"/>
      <c r="CB31" s="18"/>
      <c r="CC31" s="18"/>
      <c r="CD31" s="18"/>
      <c r="CE31" s="83"/>
      <c r="CF31" s="18"/>
      <c r="CG31" s="18"/>
      <c r="CH31" s="18"/>
      <c r="CI31" s="18"/>
      <c r="CJ31" s="18"/>
      <c r="CK31" s="18"/>
      <c r="CL31" s="18"/>
      <c r="CM31" s="18"/>
      <c r="CN31" s="18"/>
      <c r="CO31" s="18"/>
      <c r="CP31" s="26">
        <v>1.0</v>
      </c>
      <c r="CQ31" s="18"/>
      <c r="CR31" s="18"/>
      <c r="CT31" s="18"/>
      <c r="CU31" s="18"/>
      <c r="CV31" s="18"/>
      <c r="CW31" s="18"/>
      <c r="CX31" s="18"/>
      <c r="CY31" s="18"/>
      <c r="CZ31" s="18"/>
      <c r="DA31" s="18"/>
      <c r="DB31" s="18"/>
      <c r="DC31" s="18"/>
      <c r="DD31" s="18"/>
      <c r="DE31" s="83"/>
      <c r="DF31" s="83"/>
      <c r="DG31" s="83"/>
      <c r="DH31" s="83"/>
      <c r="DI31" s="83"/>
      <c r="DJ31" s="83"/>
      <c r="DK31" s="18"/>
      <c r="DL31" s="18"/>
      <c r="DM31" s="18"/>
      <c r="DN31" s="83"/>
      <c r="DO31" s="18"/>
      <c r="DP31" s="18"/>
      <c r="DQ31" s="18"/>
      <c r="DR31" s="83"/>
      <c r="DS31" s="18"/>
      <c r="DT31" s="18"/>
      <c r="DU31" s="83"/>
      <c r="DV31" s="83"/>
      <c r="DW31" s="18"/>
      <c r="DX31" s="18"/>
      <c r="DY31" s="18"/>
      <c r="DZ31" s="83"/>
      <c r="EA31" s="18"/>
      <c r="EB31" s="83"/>
      <c r="EC31" s="18"/>
      <c r="ED31" s="83"/>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26">
        <v>1.0</v>
      </c>
      <c r="FK31" s="18"/>
      <c r="FL31" s="18"/>
      <c r="FM31" s="18"/>
      <c r="FN31" s="18"/>
      <c r="FO31" s="18"/>
      <c r="FP31" s="18"/>
      <c r="FQ31" s="84"/>
      <c r="FR31" s="18"/>
      <c r="FS31" s="78">
        <v>1.0</v>
      </c>
      <c r="FT31" s="18"/>
      <c r="FU31" s="18"/>
      <c r="FV31" s="18"/>
      <c r="FW31" s="18"/>
      <c r="FX31" s="18"/>
      <c r="FY31" s="18"/>
      <c r="FZ31" s="18"/>
      <c r="GA31" s="18"/>
      <c r="GB31" s="84"/>
      <c r="GC31" s="18"/>
      <c r="GD31" s="26">
        <v>1.0</v>
      </c>
      <c r="GE31" s="18"/>
      <c r="GF31" s="18"/>
      <c r="GG31" s="84"/>
      <c r="GH31" s="18"/>
      <c r="GI31" s="18"/>
      <c r="GJ31" s="18"/>
      <c r="GK31" s="18"/>
      <c r="GL31" s="18"/>
      <c r="GM31" s="18"/>
      <c r="GN31" s="18"/>
      <c r="GO31" s="83"/>
      <c r="GP31" s="18"/>
      <c r="GQ31" s="18"/>
      <c r="GR31" s="18"/>
      <c r="GS31" s="18"/>
      <c r="GT31" s="18"/>
      <c r="GU31" s="18"/>
      <c r="GV31" s="84"/>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26">
        <v>1.0</v>
      </c>
      <c r="HW31" s="18"/>
      <c r="HX31" s="18"/>
      <c r="HY31" s="18"/>
      <c r="HZ31" s="18"/>
      <c r="IA31" s="18"/>
      <c r="IB31" s="18"/>
      <c r="IC31" s="18"/>
      <c r="ID31" s="18"/>
      <c r="IE31" s="18"/>
      <c r="IF31" s="18"/>
      <c r="IG31" s="18"/>
      <c r="IH31" s="18"/>
      <c r="II31" s="18"/>
      <c r="IJ31" s="18"/>
      <c r="IK31" s="18"/>
      <c r="IL31" s="83"/>
      <c r="IM31" s="18"/>
      <c r="IN31" s="83"/>
      <c r="IO31" s="18"/>
      <c r="IP31" s="18"/>
      <c r="IQ31" s="18"/>
      <c r="IR31" s="18"/>
      <c r="IS31" s="26">
        <v>1.0</v>
      </c>
      <c r="IT31" s="18"/>
      <c r="IU31" s="18"/>
      <c r="IV31" s="18"/>
      <c r="IW31" s="18"/>
      <c r="IX31" s="18"/>
      <c r="IY31" s="18"/>
      <c r="IZ31" s="18"/>
      <c r="JA31" s="18"/>
      <c r="JB31" s="18"/>
      <c r="JC31" s="18"/>
      <c r="JD31" s="18"/>
      <c r="JE31" s="18"/>
      <c r="JF31" s="18"/>
      <c r="JG31" s="18"/>
      <c r="JH31" s="18"/>
      <c r="JI31" s="18"/>
      <c r="JJ31" s="18"/>
      <c r="JK31" s="18"/>
      <c r="JL31" s="18"/>
      <c r="JM31" s="18"/>
      <c r="JN31" s="18"/>
      <c r="JO31" s="18"/>
      <c r="JP31" s="18"/>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83"/>
      <c r="KS31" s="18"/>
      <c r="KT31" s="18"/>
      <c r="KU31" s="18"/>
      <c r="KV31" s="18"/>
      <c r="KW31" s="18"/>
    </row>
    <row r="32">
      <c r="A32" s="28">
        <v>33.0</v>
      </c>
      <c r="B32" s="28">
        <f t="shared" si="1"/>
        <v>9</v>
      </c>
      <c r="C32" s="28" t="s">
        <v>2342</v>
      </c>
      <c r="D32" s="29" t="s">
        <v>2535</v>
      </c>
      <c r="E32" s="30"/>
      <c r="F32" s="29" t="s">
        <v>2536</v>
      </c>
      <c r="G32" s="42" t="s">
        <v>2537</v>
      </c>
      <c r="H32" s="18"/>
      <c r="I32" s="18"/>
      <c r="J32" s="18"/>
      <c r="K32" s="18"/>
      <c r="L32" s="18"/>
      <c r="M32" s="83"/>
      <c r="N32" s="83"/>
      <c r="O32" s="83"/>
      <c r="P32" s="18"/>
      <c r="Q32" s="18"/>
      <c r="R32" s="18"/>
      <c r="S32" s="18"/>
      <c r="T32" s="18"/>
      <c r="U32" s="18"/>
      <c r="V32" s="18"/>
      <c r="W32" s="18"/>
      <c r="X32" s="18"/>
      <c r="Y32" s="18"/>
      <c r="Z32" s="18"/>
      <c r="AA32" s="18"/>
      <c r="AB32" s="18"/>
      <c r="AC32" s="18"/>
      <c r="AD32" s="18"/>
      <c r="AE32" s="18"/>
      <c r="AF32" s="18"/>
      <c r="AG32" s="18"/>
      <c r="AH32" s="18"/>
      <c r="AI32" s="18"/>
      <c r="AJ32" s="83"/>
      <c r="AK32" s="18"/>
      <c r="AL32" s="83"/>
      <c r="AM32" s="18"/>
      <c r="AN32" s="18"/>
      <c r="AO32" s="18"/>
      <c r="AP32" s="18"/>
      <c r="AQ32" s="18"/>
      <c r="AR32" s="18"/>
      <c r="AS32" s="18"/>
      <c r="AT32" s="18"/>
      <c r="AU32" s="18"/>
      <c r="AV32" s="18"/>
      <c r="AW32" s="83"/>
      <c r="AX32" s="83"/>
      <c r="AY32" s="18"/>
      <c r="AZ32" s="18"/>
      <c r="BA32" s="18"/>
      <c r="BB32" s="18"/>
      <c r="BC32" s="18"/>
      <c r="BD32" s="18"/>
      <c r="BE32" s="18"/>
      <c r="BF32" s="18"/>
      <c r="BG32" s="18"/>
      <c r="BH32" s="18"/>
      <c r="BI32" s="18"/>
      <c r="BJ32" s="83"/>
      <c r="BK32" s="18"/>
      <c r="BL32" s="18"/>
      <c r="BM32" s="18"/>
      <c r="BN32" s="83"/>
      <c r="BO32" s="83"/>
      <c r="BP32" s="18"/>
      <c r="BQ32" s="18"/>
      <c r="BR32" s="18"/>
      <c r="BS32" s="18"/>
      <c r="BT32" s="18"/>
      <c r="BU32" s="18"/>
      <c r="BV32" s="18"/>
      <c r="BW32" s="18"/>
      <c r="BX32" s="18"/>
      <c r="BY32" s="18"/>
      <c r="BZ32" s="83"/>
      <c r="CA32" s="18"/>
      <c r="CB32" s="18"/>
      <c r="CC32" s="18"/>
      <c r="CD32" s="18"/>
      <c r="CE32" s="83"/>
      <c r="CF32" s="18"/>
      <c r="CG32" s="18"/>
      <c r="CH32" s="26">
        <v>1.0</v>
      </c>
      <c r="CI32" s="26">
        <v>1.0</v>
      </c>
      <c r="CJ32" s="18"/>
      <c r="CK32" s="18"/>
      <c r="CL32" s="18"/>
      <c r="CM32" s="18"/>
      <c r="CN32" s="18"/>
      <c r="CO32" s="18"/>
      <c r="CP32" s="18"/>
      <c r="CQ32" s="18"/>
      <c r="CR32" s="18"/>
      <c r="CT32" s="18"/>
      <c r="CU32" s="18"/>
      <c r="CV32" s="18"/>
      <c r="CW32" s="18"/>
      <c r="CX32" s="18"/>
      <c r="CY32" s="18"/>
      <c r="CZ32" s="18"/>
      <c r="DA32" s="18"/>
      <c r="DB32" s="18"/>
      <c r="DC32" s="18"/>
      <c r="DD32" s="18"/>
      <c r="DE32" s="83"/>
      <c r="DF32" s="83"/>
      <c r="DG32" s="83"/>
      <c r="DH32" s="83"/>
      <c r="DI32" s="83"/>
      <c r="DJ32" s="83"/>
      <c r="DK32" s="18"/>
      <c r="DL32" s="18"/>
      <c r="DM32" s="18"/>
      <c r="DN32" s="83"/>
      <c r="DO32" s="18"/>
      <c r="DP32" s="18"/>
      <c r="DQ32" s="18"/>
      <c r="DR32" s="83"/>
      <c r="DS32" s="18"/>
      <c r="DT32" s="18"/>
      <c r="DU32" s="83"/>
      <c r="DV32" s="83"/>
      <c r="DW32" s="18"/>
      <c r="DX32" s="18"/>
      <c r="DY32" s="18"/>
      <c r="DZ32" s="83"/>
      <c r="EA32" s="26">
        <v>1.0</v>
      </c>
      <c r="EB32" s="83"/>
      <c r="EC32" s="26">
        <v>1.0</v>
      </c>
      <c r="ED32" s="83"/>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26">
        <v>1.0</v>
      </c>
      <c r="FF32" s="18"/>
      <c r="FG32" s="18"/>
      <c r="FH32" s="18"/>
      <c r="FI32" s="18"/>
      <c r="FJ32" s="18"/>
      <c r="FK32" s="18"/>
      <c r="FL32" s="18"/>
      <c r="FM32" s="18"/>
      <c r="FN32" s="26">
        <v>1.0</v>
      </c>
      <c r="FO32" s="18"/>
      <c r="FP32" s="18"/>
      <c r="FQ32" s="84"/>
      <c r="FR32" s="18"/>
      <c r="FS32" s="84"/>
      <c r="FT32" s="18"/>
      <c r="FU32" s="18"/>
      <c r="FV32" s="18"/>
      <c r="FW32" s="18"/>
      <c r="FX32" s="18"/>
      <c r="FY32" s="18"/>
      <c r="FZ32" s="18"/>
      <c r="GA32" s="18"/>
      <c r="GB32" s="84"/>
      <c r="GC32" s="18"/>
      <c r="GD32" s="18"/>
      <c r="GE32" s="18"/>
      <c r="GF32" s="18"/>
      <c r="GG32" s="84"/>
      <c r="GH32" s="18"/>
      <c r="GI32" s="18"/>
      <c r="GJ32" s="18"/>
      <c r="GK32" s="18"/>
      <c r="GL32" s="18"/>
      <c r="GM32" s="18"/>
      <c r="GN32" s="18"/>
      <c r="GO32" s="83"/>
      <c r="GP32" s="18"/>
      <c r="GQ32" s="18"/>
      <c r="GR32" s="18"/>
      <c r="GS32" s="18"/>
      <c r="GT32" s="18"/>
      <c r="GU32" s="18"/>
      <c r="GV32" s="84"/>
      <c r="GW32" s="18"/>
      <c r="GX32" s="18"/>
      <c r="GY32" s="18"/>
      <c r="GZ32" s="18"/>
      <c r="HA32" s="18"/>
      <c r="HB32" s="18"/>
      <c r="HC32" s="18"/>
      <c r="HD32" s="18"/>
      <c r="HE32" s="18"/>
      <c r="HF32" s="18"/>
      <c r="HG32" s="18"/>
      <c r="HH32" s="18"/>
      <c r="HI32" s="18"/>
      <c r="HJ32" s="18"/>
      <c r="HK32" s="18"/>
      <c r="HL32" s="18"/>
      <c r="HM32" s="18"/>
      <c r="HN32" s="18"/>
      <c r="HO32" s="26">
        <v>1.0</v>
      </c>
      <c r="HP32" s="18"/>
      <c r="HQ32" s="18"/>
      <c r="HR32" s="18"/>
      <c r="HS32" s="18"/>
      <c r="HT32" s="18"/>
      <c r="HU32" s="18"/>
      <c r="HV32" s="18"/>
      <c r="HW32" s="18"/>
      <c r="HX32" s="18"/>
      <c r="HY32" s="18"/>
      <c r="HZ32" s="18"/>
      <c r="IA32" s="18"/>
      <c r="IB32" s="18"/>
      <c r="IC32" s="18"/>
      <c r="ID32" s="18"/>
      <c r="IE32" s="18"/>
      <c r="IF32" s="18"/>
      <c r="IG32" s="18"/>
      <c r="IH32" s="18"/>
      <c r="II32" s="18"/>
      <c r="IJ32" s="18"/>
      <c r="IK32" s="18"/>
      <c r="IL32" s="83"/>
      <c r="IM32" s="18"/>
      <c r="IN32" s="83"/>
      <c r="IO32" s="18"/>
      <c r="IP32" s="18"/>
      <c r="IQ32" s="18"/>
      <c r="IR32" s="18"/>
      <c r="IS32" s="18"/>
      <c r="IT32" s="18"/>
      <c r="IU32" s="18"/>
      <c r="IV32" s="18"/>
      <c r="IW32" s="18"/>
      <c r="IX32" s="18"/>
      <c r="IY32" s="18"/>
      <c r="IZ32" s="18"/>
      <c r="JA32" s="18"/>
      <c r="JB32" s="18"/>
      <c r="JC32" s="18"/>
      <c r="JD32" s="18"/>
      <c r="JE32" s="18"/>
      <c r="JF32" s="18"/>
      <c r="JG32" s="18"/>
      <c r="JH32" s="18"/>
      <c r="JI32" s="18"/>
      <c r="JJ32" s="18"/>
      <c r="JK32" s="18"/>
      <c r="JL32" s="18"/>
      <c r="JM32" s="18"/>
      <c r="JN32" s="18"/>
      <c r="JO32" s="18"/>
      <c r="JP32" s="18"/>
      <c r="JQ32" s="18"/>
      <c r="JR32" s="18"/>
      <c r="JS32" s="18"/>
      <c r="JT32" s="26">
        <v>1.0</v>
      </c>
      <c r="JU32" s="18"/>
      <c r="JV32" s="18"/>
      <c r="JW32" s="18"/>
      <c r="JX32" s="18"/>
      <c r="JY32" s="18"/>
      <c r="JZ32" s="18"/>
      <c r="KA32" s="26">
        <v>1.0</v>
      </c>
      <c r="KB32" s="18"/>
      <c r="KC32" s="18"/>
      <c r="KD32" s="18"/>
      <c r="KE32" s="18"/>
      <c r="KF32" s="18"/>
      <c r="KG32" s="18"/>
      <c r="KH32" s="18"/>
      <c r="KI32" s="18"/>
      <c r="KJ32" s="18"/>
      <c r="KK32" s="18"/>
      <c r="KL32" s="18"/>
      <c r="KM32" s="18"/>
      <c r="KN32" s="18"/>
      <c r="KO32" s="18"/>
      <c r="KP32" s="18"/>
      <c r="KQ32" s="18"/>
      <c r="KR32" s="83"/>
      <c r="KS32" s="18"/>
      <c r="KT32" s="18"/>
      <c r="KU32" s="18"/>
      <c r="KV32" s="18"/>
      <c r="KW32" s="18"/>
    </row>
    <row r="33">
      <c r="A33" s="28">
        <v>34.0</v>
      </c>
      <c r="B33" s="28">
        <f t="shared" si="1"/>
        <v>9</v>
      </c>
      <c r="C33" s="28" t="s">
        <v>2342</v>
      </c>
      <c r="D33" s="29" t="s">
        <v>2543</v>
      </c>
      <c r="E33" s="30"/>
      <c r="F33" s="29" t="s">
        <v>2544</v>
      </c>
      <c r="G33" s="29" t="s">
        <v>2474</v>
      </c>
      <c r="H33" s="18"/>
      <c r="I33" s="18"/>
      <c r="J33" s="18"/>
      <c r="K33" s="18"/>
      <c r="L33" s="18"/>
      <c r="M33" s="83"/>
      <c r="N33" s="83"/>
      <c r="O33" s="83"/>
      <c r="P33" s="18"/>
      <c r="Q33" s="18"/>
      <c r="R33" s="18"/>
      <c r="S33" s="18"/>
      <c r="T33" s="26">
        <v>1.0</v>
      </c>
      <c r="U33" s="18"/>
      <c r="V33" s="18"/>
      <c r="W33" s="18"/>
      <c r="X33" s="18"/>
      <c r="Y33" s="18"/>
      <c r="Z33" s="18"/>
      <c r="AA33" s="18"/>
      <c r="AB33" s="18"/>
      <c r="AC33" s="18"/>
      <c r="AD33" s="18"/>
      <c r="AE33" s="18"/>
      <c r="AF33" s="18"/>
      <c r="AG33" s="18"/>
      <c r="AH33" s="18"/>
      <c r="AI33" s="18"/>
      <c r="AJ33" s="83"/>
      <c r="AK33" s="18"/>
      <c r="AL33" s="83"/>
      <c r="AM33" s="18"/>
      <c r="AN33" s="18"/>
      <c r="AO33" s="18"/>
      <c r="AP33" s="18"/>
      <c r="AQ33" s="18"/>
      <c r="AR33" s="18"/>
      <c r="AS33" s="26"/>
      <c r="AT33" s="18"/>
      <c r="AU33" s="18"/>
      <c r="AV33" s="18"/>
      <c r="AW33" s="77"/>
      <c r="AX33" s="77"/>
      <c r="AY33" s="26"/>
      <c r="AZ33" s="18"/>
      <c r="BA33" s="18"/>
      <c r="BB33" s="26">
        <v>1.0</v>
      </c>
      <c r="BC33" s="18"/>
      <c r="BD33" s="18"/>
      <c r="BE33" s="18"/>
      <c r="BF33" s="18"/>
      <c r="BG33" s="18"/>
      <c r="BH33" s="18"/>
      <c r="BI33" s="18"/>
      <c r="BJ33" s="83"/>
      <c r="BK33" s="18"/>
      <c r="BL33" s="18"/>
      <c r="BM33" s="18"/>
      <c r="BN33" s="83"/>
      <c r="BO33" s="83"/>
      <c r="BP33" s="18"/>
      <c r="BQ33" s="18"/>
      <c r="BR33" s="18"/>
      <c r="BS33" s="18"/>
      <c r="BT33" s="18"/>
      <c r="BU33" s="18"/>
      <c r="BV33" s="18"/>
      <c r="BW33" s="18"/>
      <c r="BX33" s="18"/>
      <c r="BY33" s="18"/>
      <c r="BZ33" s="83"/>
      <c r="CA33" s="18"/>
      <c r="CB33" s="18"/>
      <c r="CC33" s="18"/>
      <c r="CD33" s="18"/>
      <c r="CE33" s="83"/>
      <c r="CF33" s="18"/>
      <c r="CG33" s="18"/>
      <c r="CH33" s="18"/>
      <c r="CI33" s="18"/>
      <c r="CJ33" s="26">
        <v>1.0</v>
      </c>
      <c r="CK33" s="18"/>
      <c r="CL33" s="26">
        <v>1.0</v>
      </c>
      <c r="CM33" s="26">
        <v>1.0</v>
      </c>
      <c r="CN33" s="18"/>
      <c r="CO33" s="18"/>
      <c r="CP33" s="18"/>
      <c r="CQ33" s="18"/>
      <c r="CR33" s="18"/>
      <c r="CT33" s="18"/>
      <c r="CU33" s="18"/>
      <c r="CV33" s="18"/>
      <c r="CW33" s="18"/>
      <c r="CX33" s="18"/>
      <c r="CY33" s="18"/>
      <c r="CZ33" s="18"/>
      <c r="DA33" s="18"/>
      <c r="DB33" s="26">
        <v>1.0</v>
      </c>
      <c r="DC33" s="18"/>
      <c r="DD33" s="18"/>
      <c r="DE33" s="83"/>
      <c r="DF33" s="83"/>
      <c r="DG33" s="83"/>
      <c r="DH33" s="83"/>
      <c r="DI33" s="83"/>
      <c r="DJ33" s="83"/>
      <c r="DK33" s="18"/>
      <c r="DL33" s="18"/>
      <c r="DM33" s="18"/>
      <c r="DN33" s="83"/>
      <c r="DO33" s="18"/>
      <c r="DP33" s="18"/>
      <c r="DQ33" s="18"/>
      <c r="DR33" s="83"/>
      <c r="DS33" s="18"/>
      <c r="DT33" s="18"/>
      <c r="DU33" s="83"/>
      <c r="DV33" s="83"/>
      <c r="DW33" s="18"/>
      <c r="DX33" s="18"/>
      <c r="DY33" s="18"/>
      <c r="DZ33" s="83"/>
      <c r="EA33" s="18"/>
      <c r="EB33" s="83"/>
      <c r="EC33" s="18"/>
      <c r="ED33" s="83"/>
      <c r="EE33" s="26">
        <v>1.0</v>
      </c>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84"/>
      <c r="FR33" s="18"/>
      <c r="FS33" s="84"/>
      <c r="FT33" s="18"/>
      <c r="FU33" s="18"/>
      <c r="FV33" s="18"/>
      <c r="FW33" s="18"/>
      <c r="FX33" s="18"/>
      <c r="FY33" s="18"/>
      <c r="FZ33" s="18"/>
      <c r="GA33" s="18"/>
      <c r="GB33" s="84"/>
      <c r="GC33" s="18"/>
      <c r="GD33" s="18"/>
      <c r="GE33" s="18"/>
      <c r="GF33" s="18"/>
      <c r="GG33" s="84"/>
      <c r="GH33" s="18"/>
      <c r="GI33" s="18"/>
      <c r="GJ33" s="18"/>
      <c r="GK33" s="18"/>
      <c r="GL33" s="18"/>
      <c r="GM33" s="18"/>
      <c r="GN33" s="18"/>
      <c r="GO33" s="83"/>
      <c r="GP33" s="18"/>
      <c r="GQ33" s="18"/>
      <c r="GR33" s="18"/>
      <c r="GS33" s="18"/>
      <c r="GT33" s="18"/>
      <c r="GU33" s="18"/>
      <c r="GV33" s="84"/>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83"/>
      <c r="IM33" s="18"/>
      <c r="IN33" s="83"/>
      <c r="IO33" s="18"/>
      <c r="IP33" s="18"/>
      <c r="IQ33" s="18"/>
      <c r="IR33" s="18"/>
      <c r="IS33" s="18"/>
      <c r="IT33" s="18"/>
      <c r="IU33" s="18"/>
      <c r="IV33" s="18"/>
      <c r="IW33" s="18"/>
      <c r="IX33" s="18"/>
      <c r="IY33" s="18"/>
      <c r="IZ33" s="18"/>
      <c r="JA33" s="18"/>
      <c r="JB33" s="18"/>
      <c r="JC33" s="26">
        <v>1.0</v>
      </c>
      <c r="JD33" s="18"/>
      <c r="JE33" s="18"/>
      <c r="JF33" s="18"/>
      <c r="JG33" s="18"/>
      <c r="JH33" s="18"/>
      <c r="JI33" s="18"/>
      <c r="JJ33" s="18"/>
      <c r="JK33" s="18"/>
      <c r="JL33" s="18"/>
      <c r="JM33" s="18"/>
      <c r="JN33" s="18"/>
      <c r="JO33" s="18"/>
      <c r="JP33" s="18"/>
      <c r="JQ33" s="18"/>
      <c r="JR33" s="18"/>
      <c r="JS33" s="18"/>
      <c r="JT33" s="18"/>
      <c r="JU33" s="18"/>
      <c r="JV33" s="18"/>
      <c r="JW33" s="18"/>
      <c r="JX33" s="18"/>
      <c r="JY33" s="18"/>
      <c r="JZ33" s="18"/>
      <c r="KA33" s="18"/>
      <c r="KB33" s="26">
        <v>1.0</v>
      </c>
      <c r="KC33" s="18"/>
      <c r="KD33" s="18"/>
      <c r="KE33" s="18"/>
      <c r="KF33" s="18"/>
      <c r="KG33" s="18"/>
      <c r="KH33" s="18"/>
      <c r="KI33" s="18"/>
      <c r="KJ33" s="18"/>
      <c r="KK33" s="18"/>
      <c r="KL33" s="18"/>
      <c r="KM33" s="18"/>
      <c r="KN33" s="18"/>
      <c r="KO33" s="18"/>
      <c r="KP33" s="18"/>
      <c r="KQ33" s="18"/>
      <c r="KR33" s="83"/>
      <c r="KS33" s="18"/>
      <c r="KT33" s="18"/>
      <c r="KU33" s="18"/>
      <c r="KV33" s="18"/>
      <c r="KW33" s="18"/>
    </row>
    <row r="34">
      <c r="A34" s="89">
        <v>35.0</v>
      </c>
      <c r="B34" s="28">
        <f t="shared" si="1"/>
        <v>14</v>
      </c>
      <c r="C34" s="28" t="s">
        <v>2342</v>
      </c>
      <c r="D34" s="29" t="s">
        <v>2548</v>
      </c>
      <c r="E34" s="30"/>
      <c r="F34" s="29" t="s">
        <v>2549</v>
      </c>
      <c r="G34" s="29" t="s">
        <v>2550</v>
      </c>
      <c r="H34" s="26">
        <v>1.0</v>
      </c>
      <c r="I34" s="18"/>
      <c r="J34" s="18"/>
      <c r="K34" s="18"/>
      <c r="L34" s="18"/>
      <c r="M34" s="83"/>
      <c r="N34" s="83"/>
      <c r="O34" s="83"/>
      <c r="P34" s="18"/>
      <c r="Q34" s="18"/>
      <c r="R34" s="18"/>
      <c r="S34" s="18"/>
      <c r="T34" s="18"/>
      <c r="U34" s="18"/>
      <c r="V34" s="18"/>
      <c r="W34" s="18"/>
      <c r="X34" s="18"/>
      <c r="Y34" s="18"/>
      <c r="Z34" s="26">
        <v>1.0</v>
      </c>
      <c r="AA34" s="18"/>
      <c r="AB34" s="18"/>
      <c r="AC34" s="18"/>
      <c r="AD34" s="18"/>
      <c r="AE34" s="18"/>
      <c r="AF34" s="18"/>
      <c r="AG34" s="18"/>
      <c r="AH34" s="18"/>
      <c r="AI34" s="18"/>
      <c r="AJ34" s="77"/>
      <c r="AK34" s="26">
        <v>1.0</v>
      </c>
      <c r="AL34" s="83"/>
      <c r="AM34" s="18"/>
      <c r="AN34" s="18"/>
      <c r="AO34" s="18"/>
      <c r="AP34" s="26">
        <v>1.0</v>
      </c>
      <c r="AQ34" s="18"/>
      <c r="AR34" s="18"/>
      <c r="AS34" s="18"/>
      <c r="AT34" s="18"/>
      <c r="AU34" s="18"/>
      <c r="AV34" s="18"/>
      <c r="AW34" s="83"/>
      <c r="AX34" s="83"/>
      <c r="AY34" s="18"/>
      <c r="AZ34" s="18"/>
      <c r="BA34" s="18"/>
      <c r="BB34" s="18"/>
      <c r="BC34" s="18"/>
      <c r="BD34" s="18"/>
      <c r="BE34" s="18"/>
      <c r="BF34" s="18"/>
      <c r="BG34" s="18"/>
      <c r="BH34" s="18"/>
      <c r="BI34" s="18"/>
      <c r="BJ34" s="83"/>
      <c r="BK34" s="18"/>
      <c r="BL34" s="18"/>
      <c r="BM34" s="18"/>
      <c r="BN34" s="83"/>
      <c r="BO34" s="77"/>
      <c r="BP34" s="18"/>
      <c r="BQ34" s="18"/>
      <c r="BR34" s="18"/>
      <c r="BS34" s="18"/>
      <c r="BT34" s="18"/>
      <c r="BU34" s="18"/>
      <c r="BV34" s="18"/>
      <c r="BW34" s="18"/>
      <c r="BX34" s="18"/>
      <c r="BY34" s="18"/>
      <c r="BZ34" s="83"/>
      <c r="CA34" s="18"/>
      <c r="CB34" s="18"/>
      <c r="CC34" s="26">
        <v>1.0</v>
      </c>
      <c r="CD34" s="18"/>
      <c r="CE34" s="83"/>
      <c r="CF34" s="26"/>
      <c r="CG34" s="18"/>
      <c r="CH34" s="18"/>
      <c r="CI34" s="18"/>
      <c r="CJ34" s="18"/>
      <c r="CK34" s="18"/>
      <c r="CL34" s="18"/>
      <c r="CM34" s="18"/>
      <c r="CN34" s="18"/>
      <c r="CO34" s="18"/>
      <c r="CP34" s="18"/>
      <c r="CQ34" s="18"/>
      <c r="CR34" s="18"/>
      <c r="CT34" s="18"/>
      <c r="CU34" s="18"/>
      <c r="CV34" s="18"/>
      <c r="CW34" s="18"/>
      <c r="CX34" s="18"/>
      <c r="CY34" s="18"/>
      <c r="CZ34" s="18"/>
      <c r="DA34" s="18"/>
      <c r="DB34" s="26">
        <v>1.0</v>
      </c>
      <c r="DC34" s="18"/>
      <c r="DD34" s="18"/>
      <c r="DE34" s="83"/>
      <c r="DF34" s="83"/>
      <c r="DG34" s="83"/>
      <c r="DH34" s="83"/>
      <c r="DI34" s="83"/>
      <c r="DJ34" s="83"/>
      <c r="DK34" s="18"/>
      <c r="DL34" s="26">
        <v>1.0</v>
      </c>
      <c r="DM34" s="18"/>
      <c r="DN34" s="83"/>
      <c r="DO34" s="18"/>
      <c r="DP34" s="18"/>
      <c r="DQ34" s="18"/>
      <c r="DR34" s="83"/>
      <c r="DS34" s="18"/>
      <c r="DT34" s="18"/>
      <c r="DU34" s="83"/>
      <c r="DV34" s="83"/>
      <c r="DW34" s="18"/>
      <c r="DX34" s="18"/>
      <c r="DY34" s="18"/>
      <c r="DZ34" s="83"/>
      <c r="EA34" s="18"/>
      <c r="EB34" s="83"/>
      <c r="EC34" s="18"/>
      <c r="ED34" s="83"/>
      <c r="EE34" s="26">
        <v>1.0</v>
      </c>
      <c r="EF34" s="18"/>
      <c r="EG34" s="18"/>
      <c r="EH34" s="18"/>
      <c r="EI34" s="18"/>
      <c r="EJ34" s="18"/>
      <c r="EK34" s="18"/>
      <c r="EL34" s="18"/>
      <c r="EM34" s="26">
        <v>1.0</v>
      </c>
      <c r="EN34" s="18"/>
      <c r="EO34" s="18"/>
      <c r="EP34" s="18"/>
      <c r="EQ34" s="26">
        <v>1.0</v>
      </c>
      <c r="ER34" s="18"/>
      <c r="ES34" s="26">
        <v>1.0</v>
      </c>
      <c r="ET34" s="18"/>
      <c r="EU34" s="18"/>
      <c r="EV34" s="18"/>
      <c r="EW34" s="18"/>
      <c r="EX34" s="18"/>
      <c r="EY34" s="18"/>
      <c r="EZ34" s="26">
        <v>1.0</v>
      </c>
      <c r="FA34" s="18"/>
      <c r="FB34" s="18"/>
      <c r="FC34" s="18"/>
      <c r="FD34" s="18"/>
      <c r="FE34" s="18"/>
      <c r="FF34" s="18"/>
      <c r="FG34" s="18"/>
      <c r="FH34" s="18"/>
      <c r="FI34" s="26"/>
      <c r="FJ34" s="18"/>
      <c r="FK34" s="18"/>
      <c r="FL34" s="18"/>
      <c r="FM34" s="18"/>
      <c r="FN34" s="18"/>
      <c r="FO34" s="18"/>
      <c r="FP34" s="26">
        <v>1.0</v>
      </c>
      <c r="FQ34" s="84"/>
      <c r="FR34" s="18"/>
      <c r="FS34" s="84"/>
      <c r="FT34" s="18"/>
      <c r="FU34" s="18"/>
      <c r="FV34" s="18"/>
      <c r="FW34" s="18"/>
      <c r="FX34" s="18"/>
      <c r="FY34" s="18"/>
      <c r="FZ34" s="18"/>
      <c r="GA34" s="18"/>
      <c r="GB34" s="84"/>
      <c r="GC34" s="18"/>
      <c r="GD34" s="18"/>
      <c r="GE34" s="18"/>
      <c r="GF34" s="18"/>
      <c r="GG34" s="84"/>
      <c r="GH34" s="18"/>
      <c r="GI34" s="18"/>
      <c r="GJ34" s="18"/>
      <c r="GK34" s="18"/>
      <c r="GL34" s="18"/>
      <c r="GM34" s="18"/>
      <c r="GN34" s="18"/>
      <c r="GO34" s="83"/>
      <c r="GP34" s="18"/>
      <c r="GQ34" s="18"/>
      <c r="GR34" s="18"/>
      <c r="GS34" s="18"/>
      <c r="GT34" s="18"/>
      <c r="GU34" s="18"/>
      <c r="GV34" s="84"/>
      <c r="GW34" s="18"/>
      <c r="GX34" s="18"/>
      <c r="GY34" s="18"/>
      <c r="GZ34" s="18"/>
      <c r="HA34" s="18"/>
      <c r="HB34" s="18"/>
      <c r="HC34" s="18"/>
      <c r="HD34" s="18"/>
      <c r="HE34" s="18"/>
      <c r="HF34" s="18"/>
      <c r="HG34" s="18"/>
      <c r="HH34" s="18"/>
      <c r="HI34" s="18"/>
      <c r="HJ34" s="18"/>
      <c r="HK34" s="18"/>
      <c r="HL34" s="26"/>
      <c r="HM34" s="26"/>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83"/>
      <c r="IM34" s="18"/>
      <c r="IN34" s="83"/>
      <c r="IO34" s="18"/>
      <c r="IP34" s="18"/>
      <c r="IQ34" s="18"/>
      <c r="IR34" s="18"/>
      <c r="IS34" s="18"/>
      <c r="IT34" s="18"/>
      <c r="IU34" s="18"/>
      <c r="IV34" s="18"/>
      <c r="IW34" s="18"/>
      <c r="IX34" s="18"/>
      <c r="IY34" s="18"/>
      <c r="IZ34" s="18"/>
      <c r="JA34" s="18"/>
      <c r="JB34" s="18"/>
      <c r="JC34" s="18"/>
      <c r="JD34" s="18"/>
      <c r="JE34" s="18"/>
      <c r="JF34" s="18"/>
      <c r="JG34" s="18"/>
      <c r="JH34" s="18"/>
      <c r="JI34" s="18"/>
      <c r="JJ34" s="18"/>
      <c r="JK34" s="18"/>
      <c r="JL34" s="18"/>
      <c r="JM34" s="18"/>
      <c r="JN34" s="18"/>
      <c r="JO34" s="18"/>
      <c r="JP34" s="18"/>
      <c r="JQ34" s="18"/>
      <c r="JR34" s="18"/>
      <c r="JS34" s="18"/>
      <c r="JT34" s="18"/>
      <c r="JU34" s="18"/>
      <c r="JV34" s="18"/>
      <c r="JW34" s="18"/>
      <c r="JX34" s="26">
        <v>1.0</v>
      </c>
      <c r="JY34" s="18"/>
      <c r="JZ34" s="18"/>
      <c r="KA34" s="18"/>
      <c r="KB34" s="18"/>
      <c r="KC34" s="18"/>
      <c r="KD34" s="18"/>
      <c r="KE34" s="18"/>
      <c r="KF34" s="18"/>
      <c r="KG34" s="18"/>
      <c r="KH34" s="18"/>
      <c r="KI34" s="18"/>
      <c r="KJ34" s="18"/>
      <c r="KK34" s="18"/>
      <c r="KL34" s="18"/>
      <c r="KM34" s="18"/>
      <c r="KN34" s="18"/>
      <c r="KO34" s="18"/>
      <c r="KP34" s="18"/>
      <c r="KQ34" s="18"/>
      <c r="KR34" s="83"/>
      <c r="KS34" s="18"/>
      <c r="KT34" s="18"/>
      <c r="KU34" s="18"/>
      <c r="KV34" s="18"/>
      <c r="KW34" s="18"/>
    </row>
    <row r="35">
      <c r="A35" s="89">
        <v>36.0</v>
      </c>
      <c r="B35" s="28">
        <f t="shared" si="1"/>
        <v>9</v>
      </c>
      <c r="C35" s="28" t="s">
        <v>2342</v>
      </c>
      <c r="D35" s="59" t="s">
        <v>2553</v>
      </c>
      <c r="E35" s="30"/>
      <c r="F35" s="29" t="s">
        <v>2554</v>
      </c>
      <c r="G35" s="29" t="s">
        <v>2555</v>
      </c>
      <c r="H35" s="18"/>
      <c r="I35" s="18"/>
      <c r="J35" s="18"/>
      <c r="K35" s="18"/>
      <c r="L35" s="18"/>
      <c r="M35" s="77"/>
      <c r="N35" s="77"/>
      <c r="O35" s="77"/>
      <c r="P35" s="26"/>
      <c r="Q35" s="18"/>
      <c r="R35" s="18"/>
      <c r="S35" s="26"/>
      <c r="T35" s="18"/>
      <c r="U35" s="18"/>
      <c r="V35" s="26"/>
      <c r="W35" s="26">
        <v>1.0</v>
      </c>
      <c r="X35" s="18"/>
      <c r="Y35" s="18"/>
      <c r="Z35" s="18"/>
      <c r="AA35" s="18"/>
      <c r="AB35" s="18"/>
      <c r="AC35" s="18"/>
      <c r="AD35" s="18"/>
      <c r="AE35" s="18"/>
      <c r="AF35" s="18"/>
      <c r="AG35" s="18"/>
      <c r="AH35" s="18"/>
      <c r="AI35" s="18"/>
      <c r="AJ35" s="83"/>
      <c r="AK35" s="18"/>
      <c r="AL35" s="83"/>
      <c r="AM35" s="18"/>
      <c r="AN35" s="18"/>
      <c r="AO35" s="18"/>
      <c r="AP35" s="18"/>
      <c r="AQ35" s="18"/>
      <c r="AR35" s="18"/>
      <c r="AS35" s="18"/>
      <c r="AT35" s="18"/>
      <c r="AU35" s="18"/>
      <c r="AV35" s="18"/>
      <c r="AW35" s="83"/>
      <c r="AX35" s="83"/>
      <c r="AY35" s="18"/>
      <c r="AZ35" s="18"/>
      <c r="BA35" s="18"/>
      <c r="BB35" s="18"/>
      <c r="BC35" s="18"/>
      <c r="BD35" s="18"/>
      <c r="BE35" s="18"/>
      <c r="BF35" s="18"/>
      <c r="BG35" s="18"/>
      <c r="BH35" s="18"/>
      <c r="BI35" s="18"/>
      <c r="BJ35" s="83"/>
      <c r="BK35" s="18"/>
      <c r="BL35" s="26">
        <v>1.0</v>
      </c>
      <c r="BM35" s="18"/>
      <c r="BN35" s="83"/>
      <c r="BO35" s="83"/>
      <c r="BP35" s="26"/>
      <c r="BQ35" s="18"/>
      <c r="BR35" s="26"/>
      <c r="BS35" s="26"/>
      <c r="BT35" s="18"/>
      <c r="BU35" s="18"/>
      <c r="BV35" s="18"/>
      <c r="BW35" s="18"/>
      <c r="BX35" s="18"/>
      <c r="BY35" s="18"/>
      <c r="BZ35" s="83"/>
      <c r="CA35" s="18"/>
      <c r="CB35" s="18"/>
      <c r="CC35" s="18"/>
      <c r="CD35" s="18"/>
      <c r="CE35" s="83"/>
      <c r="CF35" s="18"/>
      <c r="CG35" s="26"/>
      <c r="CH35" s="18"/>
      <c r="CI35" s="18"/>
      <c r="CJ35" s="18"/>
      <c r="CK35" s="18"/>
      <c r="CL35" s="26">
        <v>1.0</v>
      </c>
      <c r="CM35" s="26"/>
      <c r="CN35" s="18"/>
      <c r="CO35" s="26">
        <v>1.0</v>
      </c>
      <c r="CP35" s="18"/>
      <c r="CQ35" s="18"/>
      <c r="CR35" s="18"/>
      <c r="CT35" s="18"/>
      <c r="CU35" s="18"/>
      <c r="CV35" s="18"/>
      <c r="CW35" s="18"/>
      <c r="CX35" s="18"/>
      <c r="CY35" s="18"/>
      <c r="CZ35" s="18"/>
      <c r="DA35" s="18"/>
      <c r="DC35" s="18"/>
      <c r="DD35" s="18"/>
      <c r="DE35" s="83"/>
      <c r="DF35" s="83"/>
      <c r="DG35" s="83"/>
      <c r="DH35" s="83"/>
      <c r="DI35" s="83"/>
      <c r="DJ35" s="83"/>
      <c r="DK35" s="18"/>
      <c r="DL35" s="18"/>
      <c r="DM35" s="18"/>
      <c r="DN35" s="83"/>
      <c r="DO35" s="18"/>
      <c r="DP35" s="18"/>
      <c r="DQ35" s="18"/>
      <c r="DR35" s="83"/>
      <c r="DS35" s="18"/>
      <c r="DT35" s="18"/>
      <c r="DU35" s="83"/>
      <c r="DV35" s="83"/>
      <c r="DW35" s="18"/>
      <c r="DX35" s="18"/>
      <c r="DY35" s="18"/>
      <c r="DZ35" s="83"/>
      <c r="EA35" s="18"/>
      <c r="EB35" s="83"/>
      <c r="EC35" s="26"/>
      <c r="ED35" s="83"/>
      <c r="EE35" s="18"/>
      <c r="EF35" s="18"/>
      <c r="EG35" s="18"/>
      <c r="EH35" s="18"/>
      <c r="EI35" s="18"/>
      <c r="EJ35" s="18"/>
      <c r="EK35" s="18"/>
      <c r="EL35" s="18"/>
      <c r="EM35" s="18"/>
      <c r="EN35" s="18"/>
      <c r="EO35" s="18"/>
      <c r="EP35" s="18"/>
      <c r="EQ35" s="18"/>
      <c r="ER35" s="18"/>
      <c r="ES35" s="18"/>
      <c r="ET35" s="18"/>
      <c r="EU35" s="18"/>
      <c r="EV35" s="18"/>
      <c r="EW35" s="18"/>
      <c r="EX35" s="18"/>
      <c r="EY35" s="18"/>
      <c r="EZ35" s="26">
        <v>1.0</v>
      </c>
      <c r="FA35" s="18"/>
      <c r="FB35" s="18"/>
      <c r="FC35" s="26"/>
      <c r="FD35" s="18"/>
      <c r="FE35" s="18"/>
      <c r="FF35" s="18"/>
      <c r="FG35" s="18"/>
      <c r="FH35" s="18"/>
      <c r="FI35" s="18"/>
      <c r="FJ35" s="18"/>
      <c r="FK35" s="18"/>
      <c r="FL35" s="18"/>
      <c r="FM35" s="18"/>
      <c r="FN35" s="18"/>
      <c r="FO35" s="18"/>
      <c r="FP35" s="18"/>
      <c r="FQ35" s="84"/>
      <c r="FR35" s="18"/>
      <c r="FS35" s="84"/>
      <c r="FT35" s="18"/>
      <c r="FU35" s="18"/>
      <c r="FV35" s="18"/>
      <c r="FW35" s="18"/>
      <c r="FX35" s="18"/>
      <c r="FY35" s="18"/>
      <c r="FZ35" s="26"/>
      <c r="GA35" s="18"/>
      <c r="GB35" s="84"/>
      <c r="GC35" s="18"/>
      <c r="GD35" s="18"/>
      <c r="GE35" s="18"/>
      <c r="GF35" s="18"/>
      <c r="GG35" s="84"/>
      <c r="GH35" s="18"/>
      <c r="GI35" s="18"/>
      <c r="GJ35" s="18"/>
      <c r="GK35" s="18"/>
      <c r="GL35" s="18"/>
      <c r="GM35" s="18"/>
      <c r="GN35" s="18"/>
      <c r="GO35" s="83"/>
      <c r="GP35" s="18"/>
      <c r="GQ35" s="18"/>
      <c r="GR35" s="18"/>
      <c r="GS35" s="18"/>
      <c r="GT35" s="18"/>
      <c r="GU35" s="18"/>
      <c r="GV35" s="84"/>
      <c r="GW35" s="18"/>
      <c r="GX35" s="18"/>
      <c r="GY35" s="18"/>
      <c r="GZ35" s="18"/>
      <c r="HA35" s="18"/>
      <c r="HB35" s="18"/>
      <c r="HC35" s="18"/>
      <c r="HD35" s="18"/>
      <c r="HE35" s="18"/>
      <c r="HF35" s="18"/>
      <c r="HG35" s="81"/>
      <c r="HH35" s="18"/>
      <c r="HI35" s="18"/>
      <c r="HJ35" s="18"/>
      <c r="HK35" s="18"/>
      <c r="HL35" s="18"/>
      <c r="HM35" s="18"/>
      <c r="HN35" s="18"/>
      <c r="HO35" s="18"/>
      <c r="HP35" s="18"/>
      <c r="HQ35" s="18"/>
      <c r="HR35" s="18"/>
      <c r="HS35" s="18"/>
      <c r="HT35" s="18"/>
      <c r="HU35" s="18"/>
      <c r="HV35" s="18"/>
      <c r="HW35" s="18"/>
      <c r="HX35" s="18"/>
      <c r="HY35" s="18"/>
      <c r="HZ35" s="18"/>
      <c r="IA35" s="18"/>
      <c r="IB35" s="18"/>
      <c r="IC35" s="81"/>
      <c r="ID35" s="18"/>
      <c r="IE35" s="18"/>
      <c r="IF35" s="26"/>
      <c r="IG35" s="18"/>
      <c r="IH35" s="26"/>
      <c r="II35" s="18"/>
      <c r="IJ35" s="18"/>
      <c r="IK35" s="26">
        <v>1.0</v>
      </c>
      <c r="IL35" s="83"/>
      <c r="IM35" s="18"/>
      <c r="IN35" s="83"/>
      <c r="IO35" s="18"/>
      <c r="IP35" s="18"/>
      <c r="IQ35" s="18"/>
      <c r="IR35" s="18"/>
      <c r="IS35" s="18"/>
      <c r="IT35" s="18"/>
      <c r="IU35" s="18"/>
      <c r="IV35" s="18"/>
      <c r="IW35" s="18"/>
      <c r="IX35" s="18"/>
      <c r="IY35" s="18"/>
      <c r="IZ35" s="18"/>
      <c r="JA35" s="18"/>
      <c r="JB35" s="18"/>
      <c r="JC35" s="18"/>
      <c r="JD35" s="18"/>
      <c r="JE35" s="18"/>
      <c r="JF35" s="18"/>
      <c r="JG35" s="18"/>
      <c r="JH35" s="18"/>
      <c r="JI35" s="18"/>
      <c r="JJ35" s="18"/>
      <c r="JK35" s="18"/>
      <c r="JL35" s="18"/>
      <c r="JM35" s="18"/>
      <c r="JN35" s="18"/>
      <c r="JO35" s="18"/>
      <c r="JP35" s="18"/>
      <c r="JQ35" s="18"/>
      <c r="JR35" s="18"/>
      <c r="JS35" s="18"/>
      <c r="JT35" s="18"/>
      <c r="JU35" s="18"/>
      <c r="JV35" s="26">
        <v>1.0</v>
      </c>
      <c r="JW35" s="18"/>
      <c r="JX35" s="18"/>
      <c r="JY35" s="18"/>
      <c r="JZ35" s="18"/>
      <c r="KA35" s="18"/>
      <c r="KB35" s="18"/>
      <c r="KC35" s="26"/>
      <c r="KD35" s="26">
        <v>1.0</v>
      </c>
      <c r="KE35" s="18"/>
      <c r="KF35" s="18"/>
      <c r="KG35" s="18"/>
      <c r="KH35" s="18"/>
      <c r="KI35" s="18"/>
      <c r="KJ35" s="18"/>
      <c r="KK35" s="18"/>
      <c r="KL35" s="18"/>
      <c r="KM35" s="18"/>
      <c r="KN35" s="18"/>
      <c r="KO35" s="18"/>
      <c r="KP35" s="18"/>
      <c r="KQ35" s="18"/>
      <c r="KR35" s="83"/>
      <c r="KS35" s="26">
        <v>1.0</v>
      </c>
      <c r="KT35" s="18"/>
      <c r="KU35" s="18"/>
      <c r="KV35" s="18"/>
      <c r="KW35" s="18"/>
    </row>
    <row r="36">
      <c r="A36" s="89">
        <v>37.0</v>
      </c>
      <c r="B36" s="28">
        <f t="shared" si="1"/>
        <v>14</v>
      </c>
      <c r="C36" s="28" t="s">
        <v>2342</v>
      </c>
      <c r="D36" s="29" t="s">
        <v>2559</v>
      </c>
      <c r="E36" s="30"/>
      <c r="F36" s="29" t="s">
        <v>2560</v>
      </c>
      <c r="G36" s="29" t="s">
        <v>2561</v>
      </c>
      <c r="H36" s="18"/>
      <c r="I36" s="18"/>
      <c r="J36" s="26"/>
      <c r="K36" s="18"/>
      <c r="L36" s="18"/>
      <c r="M36" s="83"/>
      <c r="N36" s="83"/>
      <c r="O36" s="83"/>
      <c r="P36" s="18"/>
      <c r="Q36" s="18"/>
      <c r="R36" s="18"/>
      <c r="S36" s="18"/>
      <c r="T36" s="18"/>
      <c r="U36" s="18"/>
      <c r="V36" s="18"/>
      <c r="W36" s="18"/>
      <c r="X36" s="18"/>
      <c r="Y36" s="18"/>
      <c r="Z36" s="18"/>
      <c r="AA36" s="18"/>
      <c r="AB36" s="18"/>
      <c r="AC36" s="18"/>
      <c r="AD36" s="18"/>
      <c r="AE36" s="18"/>
      <c r="AF36" s="18"/>
      <c r="AG36" s="18"/>
      <c r="AH36" s="26"/>
      <c r="AI36" s="18"/>
      <c r="AJ36" s="83"/>
      <c r="AK36" s="18"/>
      <c r="AL36" s="83"/>
      <c r="AM36" s="18"/>
      <c r="AN36" s="18"/>
      <c r="AO36" s="18"/>
      <c r="AP36" s="18"/>
      <c r="AQ36" s="18"/>
      <c r="AR36" s="18"/>
      <c r="AS36" s="18"/>
      <c r="AT36" s="18"/>
      <c r="AU36" s="26"/>
      <c r="AV36" s="18"/>
      <c r="AW36" s="83"/>
      <c r="AX36" s="83"/>
      <c r="AY36" s="18"/>
      <c r="AZ36" s="18"/>
      <c r="BA36" s="18"/>
      <c r="BB36" s="18"/>
      <c r="BC36" s="18"/>
      <c r="BD36" s="18"/>
      <c r="BE36" s="18"/>
      <c r="BF36" s="26"/>
      <c r="BG36" s="26"/>
      <c r="BH36" s="18"/>
      <c r="BI36" s="18"/>
      <c r="BJ36" s="83"/>
      <c r="BK36" s="18"/>
      <c r="BL36" s="18"/>
      <c r="BM36" s="18"/>
      <c r="BN36" s="83"/>
      <c r="BO36" s="83"/>
      <c r="BP36" s="18"/>
      <c r="BQ36" s="18"/>
      <c r="BR36" s="18"/>
      <c r="BS36" s="18"/>
      <c r="BT36" s="18"/>
      <c r="BU36" s="18"/>
      <c r="BV36" s="18"/>
      <c r="BW36" s="18"/>
      <c r="BX36" s="18"/>
      <c r="BY36" s="26">
        <v>1.0</v>
      </c>
      <c r="BZ36" s="77"/>
      <c r="CA36" s="26">
        <v>1.0</v>
      </c>
      <c r="CB36" s="18"/>
      <c r="CC36" s="18"/>
      <c r="CD36" s="18"/>
      <c r="CE36" s="83"/>
      <c r="CF36" s="18"/>
      <c r="CG36" s="18"/>
      <c r="CH36" s="18"/>
      <c r="CI36" s="18"/>
      <c r="CJ36" s="18"/>
      <c r="CK36" s="18"/>
      <c r="CL36" s="18"/>
      <c r="CM36" s="18"/>
      <c r="CN36" s="18"/>
      <c r="CO36" s="18"/>
      <c r="CP36" s="18"/>
      <c r="CQ36" s="18"/>
      <c r="CR36" s="18"/>
      <c r="CT36" s="26">
        <v>1.0</v>
      </c>
      <c r="CU36" s="18"/>
      <c r="CV36" s="18"/>
      <c r="CW36" s="18"/>
      <c r="CX36" s="18"/>
      <c r="CY36" s="18"/>
      <c r="CZ36" s="18"/>
      <c r="DA36" s="18"/>
      <c r="DB36" s="18"/>
      <c r="DC36" s="18"/>
      <c r="DD36" s="18"/>
      <c r="DE36" s="83"/>
      <c r="DF36" s="83"/>
      <c r="DG36" s="83"/>
      <c r="DH36" s="83"/>
      <c r="DI36" s="83"/>
      <c r="DJ36" s="83"/>
      <c r="DK36" s="18"/>
      <c r="DL36" s="18"/>
      <c r="DM36" s="18"/>
      <c r="DN36" s="83"/>
      <c r="DO36" s="26">
        <v>1.0</v>
      </c>
      <c r="DP36" s="18"/>
      <c r="DQ36" s="18"/>
      <c r="DR36" s="83"/>
      <c r="DS36" s="18"/>
      <c r="DT36" s="18"/>
      <c r="DU36" s="83"/>
      <c r="DV36" s="83"/>
      <c r="DW36" s="18"/>
      <c r="DX36" s="18"/>
      <c r="DY36" s="18"/>
      <c r="DZ36" s="83"/>
      <c r="EA36" s="18"/>
      <c r="EB36" s="83"/>
      <c r="EC36" s="18"/>
      <c r="ED36" s="83"/>
      <c r="EE36" s="18"/>
      <c r="EF36" s="18"/>
      <c r="EG36" s="26">
        <v>1.0</v>
      </c>
      <c r="EH36" s="18"/>
      <c r="EI36" s="26">
        <v>1.0</v>
      </c>
      <c r="EJ36" s="18"/>
      <c r="EK36" s="18"/>
      <c r="EL36" s="18"/>
      <c r="EM36" s="18"/>
      <c r="EN36" s="26">
        <v>1.0</v>
      </c>
      <c r="EO36" s="18"/>
      <c r="EP36" s="18"/>
      <c r="EQ36" s="18"/>
      <c r="ER36" s="26">
        <v>1.0</v>
      </c>
      <c r="ES36" s="18"/>
      <c r="ET36" s="18"/>
      <c r="EU36" s="18"/>
      <c r="EV36" s="18"/>
      <c r="EW36" s="18"/>
      <c r="EX36" s="18"/>
      <c r="EY36" s="18"/>
      <c r="EZ36" s="18"/>
      <c r="FA36" s="18"/>
      <c r="FB36" s="18"/>
      <c r="FC36" s="18"/>
      <c r="FD36" s="18"/>
      <c r="FE36" s="18"/>
      <c r="FF36" s="18"/>
      <c r="FG36" s="18"/>
      <c r="FH36" s="18"/>
      <c r="FI36" s="18"/>
      <c r="FJ36" s="18"/>
      <c r="FK36" s="26"/>
      <c r="FL36" s="18"/>
      <c r="FM36" s="18"/>
      <c r="FN36" s="18"/>
      <c r="FO36" s="18"/>
      <c r="FP36" s="18"/>
      <c r="FQ36" s="84"/>
      <c r="FR36" s="18"/>
      <c r="FS36" s="84"/>
      <c r="FT36" s="18"/>
      <c r="FU36" s="18"/>
      <c r="FV36" s="18"/>
      <c r="FW36" s="18"/>
      <c r="FX36" s="18"/>
      <c r="FY36" s="18"/>
      <c r="FZ36" s="18"/>
      <c r="GA36" s="18"/>
      <c r="GB36" s="84"/>
      <c r="GC36" s="18"/>
      <c r="GD36" s="18"/>
      <c r="GE36" s="18"/>
      <c r="GF36" s="18"/>
      <c r="GG36" s="84"/>
      <c r="GH36" s="18"/>
      <c r="GI36" s="18"/>
      <c r="GJ36" s="18"/>
      <c r="GK36" s="18"/>
      <c r="GL36" s="18"/>
      <c r="GM36" s="26">
        <v>1.0</v>
      </c>
      <c r="GN36" s="18"/>
      <c r="GO36" s="83"/>
      <c r="GP36" s="18"/>
      <c r="GQ36" s="18"/>
      <c r="GR36" s="18"/>
      <c r="GS36" s="26">
        <v>1.0</v>
      </c>
      <c r="GT36" s="18"/>
      <c r="GU36" s="18"/>
      <c r="GV36" s="84"/>
      <c r="GW36" s="18"/>
      <c r="GX36" s="18"/>
      <c r="GY36" s="18"/>
      <c r="GZ36" s="26">
        <v>1.0</v>
      </c>
      <c r="HA36" s="26"/>
      <c r="HB36" s="26"/>
      <c r="HC36" s="26"/>
      <c r="HD36" s="18"/>
      <c r="HE36" s="18"/>
      <c r="HF36" s="18"/>
      <c r="HG36" s="18"/>
      <c r="HH36" s="18"/>
      <c r="HI36" s="18"/>
      <c r="HJ36" s="18"/>
      <c r="HK36" s="18"/>
      <c r="HL36" s="18"/>
      <c r="HM36" s="18"/>
      <c r="HN36" s="18"/>
      <c r="HO36" s="18"/>
      <c r="HP36" s="18"/>
      <c r="HQ36" s="18"/>
      <c r="HR36" s="18"/>
      <c r="HS36" s="18"/>
      <c r="HT36" s="18"/>
      <c r="HU36" s="18"/>
      <c r="HV36" s="18"/>
      <c r="HW36" s="18"/>
      <c r="HX36" s="18"/>
      <c r="HY36" s="18"/>
      <c r="HZ36" s="26">
        <v>1.0</v>
      </c>
      <c r="IA36" s="18"/>
      <c r="IB36" s="18"/>
      <c r="IC36" s="18"/>
      <c r="ID36" s="18"/>
      <c r="IE36" s="18"/>
      <c r="IF36" s="18"/>
      <c r="IG36" s="18"/>
      <c r="IH36" s="18"/>
      <c r="II36" s="18"/>
      <c r="IJ36" s="18"/>
      <c r="IK36" s="18"/>
      <c r="IL36" s="83"/>
      <c r="IM36" s="18"/>
      <c r="IN36" s="83"/>
      <c r="IO36" s="18"/>
      <c r="IP36" s="18"/>
      <c r="IQ36" s="18"/>
      <c r="IR36" s="18"/>
      <c r="IS36" s="18"/>
      <c r="IT36" s="18"/>
      <c r="IU36" s="18"/>
      <c r="IV36" s="18"/>
      <c r="IW36" s="18"/>
      <c r="IX36" s="26">
        <v>1.0</v>
      </c>
      <c r="IY36" s="18"/>
      <c r="IZ36" s="18"/>
      <c r="JA36" s="18"/>
      <c r="JB36" s="18"/>
      <c r="JC36" s="18"/>
      <c r="JD36" s="18"/>
      <c r="JE36" s="18"/>
      <c r="JF36" s="18"/>
      <c r="JG36" s="18"/>
      <c r="JH36" s="18"/>
      <c r="JI36" s="18"/>
      <c r="JJ36" s="18"/>
      <c r="JK36" s="18"/>
      <c r="JL36" s="18"/>
      <c r="JM36" s="18"/>
      <c r="JN36" s="18"/>
      <c r="JO36" s="26">
        <v>1.0</v>
      </c>
      <c r="JP36" s="18"/>
      <c r="JQ36" s="18"/>
      <c r="JR36" s="18"/>
      <c r="JS36" s="18"/>
      <c r="JT36" s="18"/>
      <c r="JU36" s="18"/>
      <c r="JV36" s="18"/>
      <c r="JW36" s="18"/>
      <c r="JX36" s="18"/>
      <c r="JY36" s="18"/>
      <c r="JZ36" s="18"/>
      <c r="KA36" s="18"/>
      <c r="KB36" s="18"/>
      <c r="KC36" s="18"/>
      <c r="KD36" s="18"/>
      <c r="KE36" s="18"/>
      <c r="KF36" s="18"/>
      <c r="KG36" s="18"/>
      <c r="KH36" s="18"/>
      <c r="KI36" s="18"/>
      <c r="KJ36" s="18"/>
      <c r="KK36" s="18"/>
      <c r="KL36" s="18"/>
      <c r="KM36" s="18"/>
      <c r="KN36" s="18"/>
      <c r="KO36" s="18"/>
      <c r="KP36" s="18"/>
      <c r="KQ36" s="18"/>
      <c r="KR36" s="83"/>
      <c r="KS36" s="18"/>
      <c r="KT36" s="18"/>
      <c r="KU36" s="18"/>
      <c r="KV36" s="18"/>
      <c r="KW36" s="18"/>
    </row>
    <row r="37">
      <c r="A37" s="28">
        <v>38.0</v>
      </c>
      <c r="B37" s="28">
        <f t="shared" si="1"/>
        <v>12</v>
      </c>
      <c r="C37" s="28" t="s">
        <v>2342</v>
      </c>
      <c r="D37" s="29" t="s">
        <v>2565</v>
      </c>
      <c r="E37" s="30"/>
      <c r="F37" s="41" t="s">
        <v>2647</v>
      </c>
      <c r="G37" s="29" t="s">
        <v>2382</v>
      </c>
      <c r="H37" s="26"/>
      <c r="I37" s="18"/>
      <c r="J37" s="18"/>
      <c r="K37" s="26">
        <v>1.0</v>
      </c>
      <c r="L37" s="18"/>
      <c r="M37" s="83"/>
      <c r="N37" s="83"/>
      <c r="O37" s="83"/>
      <c r="P37" s="18"/>
      <c r="Q37" s="18"/>
      <c r="R37" s="18"/>
      <c r="S37" s="18"/>
      <c r="T37" s="18"/>
      <c r="U37" s="18"/>
      <c r="V37" s="18"/>
      <c r="W37" s="18"/>
      <c r="X37" s="18"/>
      <c r="Y37" s="18"/>
      <c r="Z37" s="18"/>
      <c r="AA37" s="18"/>
      <c r="AB37" s="18"/>
      <c r="AC37" s="18"/>
      <c r="AD37" s="18"/>
      <c r="AE37" s="18"/>
      <c r="AF37" s="18"/>
      <c r="AG37" s="18"/>
      <c r="AH37" s="18"/>
      <c r="AI37" s="18"/>
      <c r="AJ37" s="83"/>
      <c r="AK37" s="18"/>
      <c r="AL37" s="83"/>
      <c r="AM37" s="18"/>
      <c r="AN37" s="26">
        <v>1.0</v>
      </c>
      <c r="AO37" s="18"/>
      <c r="AP37" s="18"/>
      <c r="AQ37" s="18"/>
      <c r="AR37" s="18"/>
      <c r="AS37" s="18"/>
      <c r="AT37" s="18"/>
      <c r="AU37" s="18"/>
      <c r="AV37" s="18"/>
      <c r="AW37" s="83"/>
      <c r="AX37" s="83"/>
      <c r="AY37" s="18"/>
      <c r="AZ37" s="18"/>
      <c r="BA37" s="18"/>
      <c r="BB37" s="18"/>
      <c r="BC37" s="18"/>
      <c r="BD37" s="18"/>
      <c r="BE37" s="18"/>
      <c r="BF37" s="18"/>
      <c r="BG37" s="18"/>
      <c r="BH37" s="18"/>
      <c r="BI37" s="18"/>
      <c r="BJ37" s="83"/>
      <c r="BK37" s="18"/>
      <c r="BL37" s="18"/>
      <c r="BM37" s="18"/>
      <c r="BN37" s="83"/>
      <c r="BO37" s="83"/>
      <c r="BP37" s="18"/>
      <c r="BQ37" s="18"/>
      <c r="BR37" s="18"/>
      <c r="BS37" s="18"/>
      <c r="BT37" s="18"/>
      <c r="BU37" s="18"/>
      <c r="BV37" s="18"/>
      <c r="BW37" s="18"/>
      <c r="BX37" s="18"/>
      <c r="BY37" s="18"/>
      <c r="BZ37" s="83"/>
      <c r="CA37" s="18"/>
      <c r="CB37" s="18"/>
      <c r="CC37" s="18"/>
      <c r="CD37" s="18"/>
      <c r="CE37" s="83"/>
      <c r="CF37" s="18"/>
      <c r="CG37" s="18"/>
      <c r="CH37" s="18"/>
      <c r="CI37" s="18"/>
      <c r="CJ37" s="18"/>
      <c r="CK37" s="18"/>
      <c r="CL37" s="18"/>
      <c r="CM37" s="18"/>
      <c r="CN37" s="18"/>
      <c r="CO37" s="18"/>
      <c r="CP37" s="18"/>
      <c r="CQ37" s="18"/>
      <c r="CR37" s="18"/>
      <c r="CS37" s="18"/>
      <c r="CU37" s="18"/>
      <c r="CV37" s="74">
        <v>1.0</v>
      </c>
      <c r="CW37" s="18"/>
      <c r="CX37" s="18"/>
      <c r="CY37" s="18"/>
      <c r="CZ37" s="18"/>
      <c r="DA37" s="18"/>
      <c r="DB37" s="18"/>
      <c r="DC37" s="18"/>
      <c r="DD37" s="18"/>
      <c r="DE37" s="83"/>
      <c r="DF37" s="83"/>
      <c r="DG37" s="83"/>
      <c r="DH37" s="83"/>
      <c r="DI37" s="83"/>
      <c r="DJ37" s="83"/>
      <c r="DK37" s="18"/>
      <c r="DL37" s="18"/>
      <c r="DM37" s="18"/>
      <c r="DN37" s="83"/>
      <c r="DO37" s="18"/>
      <c r="DP37" s="18"/>
      <c r="DQ37" s="18"/>
      <c r="DR37" s="83"/>
      <c r="DS37" s="18"/>
      <c r="DT37" s="18"/>
      <c r="DU37" s="83"/>
      <c r="DV37" s="83"/>
      <c r="DW37" s="18"/>
      <c r="DX37" s="18"/>
      <c r="DY37" s="18"/>
      <c r="DZ37" s="83"/>
      <c r="EA37" s="18"/>
      <c r="EB37" s="83"/>
      <c r="EC37" s="18"/>
      <c r="ED37" s="83"/>
      <c r="EE37" s="18"/>
      <c r="EF37" s="18"/>
      <c r="EG37" s="18"/>
      <c r="EH37" s="18"/>
      <c r="EI37" s="18"/>
      <c r="EJ37" s="18"/>
      <c r="EK37" s="18"/>
      <c r="EL37" s="18"/>
      <c r="EM37" s="18"/>
      <c r="EN37" s="18"/>
      <c r="EO37" s="18"/>
      <c r="EP37" s="18"/>
      <c r="EQ37" s="18"/>
      <c r="ER37" s="18"/>
      <c r="ES37" s="18"/>
      <c r="ET37" s="18"/>
      <c r="EU37" s="18"/>
      <c r="EV37" s="18"/>
      <c r="EW37" s="26">
        <v>1.0</v>
      </c>
      <c r="EX37" s="26">
        <v>1.0</v>
      </c>
      <c r="EY37" s="18"/>
      <c r="EZ37" s="18"/>
      <c r="FA37" s="18"/>
      <c r="FB37" s="18"/>
      <c r="FC37" s="18"/>
      <c r="FD37" s="18"/>
      <c r="FE37" s="18"/>
      <c r="FF37" s="18"/>
      <c r="FG37" s="18"/>
      <c r="FH37" s="18"/>
      <c r="FI37" s="18"/>
      <c r="FJ37" s="18"/>
      <c r="FK37" s="26">
        <v>1.0</v>
      </c>
      <c r="FL37" s="18"/>
      <c r="FM37" s="18"/>
      <c r="FN37" s="18"/>
      <c r="FO37" s="18"/>
      <c r="FP37" s="18"/>
      <c r="FQ37" s="84"/>
      <c r="FR37" s="18"/>
      <c r="FS37" s="84"/>
      <c r="FT37" s="18"/>
      <c r="FU37" s="18"/>
      <c r="FV37" s="18"/>
      <c r="FW37" s="18"/>
      <c r="FX37" s="18"/>
      <c r="FY37" s="18"/>
      <c r="FZ37" s="18"/>
      <c r="GA37" s="18"/>
      <c r="GB37" s="84"/>
      <c r="GC37" s="18"/>
      <c r="GD37" s="18"/>
      <c r="GE37" s="18"/>
      <c r="GF37" s="18"/>
      <c r="GG37" s="84"/>
      <c r="GH37" s="18"/>
      <c r="GI37" s="18"/>
      <c r="GJ37" s="18"/>
      <c r="GK37" s="18"/>
      <c r="GL37" s="18"/>
      <c r="GM37" s="18"/>
      <c r="GN37" s="18"/>
      <c r="GO37" s="83"/>
      <c r="GP37" s="18"/>
      <c r="GQ37" s="18"/>
      <c r="GR37" s="18"/>
      <c r="GS37" s="18"/>
      <c r="GT37" s="18"/>
      <c r="GU37" s="18"/>
      <c r="GV37" s="84"/>
      <c r="GW37" s="18"/>
      <c r="GX37" s="18"/>
      <c r="GY37" s="18"/>
      <c r="GZ37" s="26">
        <v>1.0</v>
      </c>
      <c r="HA37" s="26">
        <v>1.0</v>
      </c>
      <c r="HB37" s="18"/>
      <c r="HC37" s="18"/>
      <c r="HD37" s="18"/>
      <c r="HE37" s="18"/>
      <c r="HF37" s="26"/>
      <c r="HG37" s="81">
        <v>1.0</v>
      </c>
      <c r="HH37" s="18"/>
      <c r="HI37" s="18"/>
      <c r="HJ37" s="26"/>
      <c r="HK37" s="26"/>
      <c r="HL37" s="18"/>
      <c r="HM37" s="18"/>
      <c r="HN37" s="26">
        <v>1.0</v>
      </c>
      <c r="HO37" s="18"/>
      <c r="HP37" s="18"/>
      <c r="HQ37" s="18"/>
      <c r="HR37" s="18"/>
      <c r="HS37" s="18"/>
      <c r="HT37" s="18"/>
      <c r="HU37" s="18"/>
      <c r="HV37" s="18"/>
      <c r="HW37" s="18"/>
      <c r="HX37" s="18"/>
      <c r="HY37" s="18"/>
      <c r="HZ37" s="18"/>
      <c r="IA37" s="18"/>
      <c r="IB37" s="18"/>
      <c r="IC37" s="81">
        <v>1.0</v>
      </c>
      <c r="ID37" s="18"/>
      <c r="IE37" s="18"/>
      <c r="IF37" s="18"/>
      <c r="IG37" s="18"/>
      <c r="IH37" s="18"/>
      <c r="II37" s="18"/>
      <c r="IJ37" s="18"/>
      <c r="IK37" s="18"/>
      <c r="IL37" s="83"/>
      <c r="IM37" s="18"/>
      <c r="IN37" s="83"/>
      <c r="IO37" s="18"/>
      <c r="IP37" s="18"/>
      <c r="IQ37" s="18"/>
      <c r="IR37" s="18"/>
      <c r="IS37" s="18"/>
      <c r="IT37" s="18"/>
      <c r="IU37" s="18"/>
      <c r="IV37" s="18"/>
      <c r="IW37" s="18"/>
      <c r="IX37" s="26"/>
      <c r="IY37" s="18"/>
      <c r="IZ37" s="18"/>
      <c r="JA37" s="18"/>
      <c r="JB37" s="18"/>
      <c r="JC37" s="18"/>
      <c r="JD37" s="18"/>
      <c r="JE37" s="18"/>
      <c r="JF37" s="18"/>
      <c r="JG37" s="18"/>
      <c r="JH37" s="18"/>
      <c r="JI37" s="18"/>
      <c r="JJ37" s="26">
        <v>1.0</v>
      </c>
      <c r="JK37" s="18"/>
      <c r="JL37" s="18"/>
      <c r="JM37" s="18"/>
      <c r="JN37" s="18"/>
      <c r="JO37" s="18"/>
      <c r="JP37" s="18"/>
      <c r="JQ37" s="18"/>
      <c r="JR37" s="18"/>
      <c r="JS37" s="18"/>
      <c r="JT37" s="18"/>
      <c r="JU37" s="18"/>
      <c r="JV37" s="18"/>
      <c r="JW37" s="18"/>
      <c r="JX37" s="18"/>
      <c r="JY37" s="18"/>
      <c r="JZ37" s="18"/>
      <c r="KA37" s="18"/>
      <c r="KB37" s="18"/>
      <c r="KC37" s="18"/>
      <c r="KD37" s="18"/>
      <c r="KE37" s="18"/>
      <c r="KF37" s="18"/>
      <c r="KG37" s="18"/>
      <c r="KH37" s="18"/>
      <c r="KI37" s="18"/>
      <c r="KJ37" s="18"/>
      <c r="KK37" s="18"/>
      <c r="KL37" s="18"/>
      <c r="KM37" s="18"/>
      <c r="KN37" s="18"/>
      <c r="KO37" s="18"/>
      <c r="KP37" s="18"/>
      <c r="KQ37" s="18"/>
      <c r="KR37" s="83"/>
      <c r="KS37" s="18"/>
      <c r="KT37" s="18"/>
      <c r="KU37" s="18"/>
      <c r="KV37" s="18"/>
      <c r="KW37" s="18"/>
    </row>
    <row r="38">
      <c r="A38" s="27">
        <v>39.0</v>
      </c>
      <c r="B38" s="28">
        <f t="shared" si="1"/>
        <v>13</v>
      </c>
      <c r="C38" s="28" t="s">
        <v>2332</v>
      </c>
      <c r="D38" s="30"/>
      <c r="E38" s="30"/>
      <c r="F38" s="41" t="s">
        <v>2571</v>
      </c>
      <c r="G38" s="88"/>
      <c r="H38" s="18"/>
      <c r="I38" s="18"/>
      <c r="J38" s="18"/>
      <c r="K38" s="18"/>
      <c r="L38" s="18"/>
      <c r="M38" s="83"/>
      <c r="N38" s="83"/>
      <c r="O38" s="83"/>
      <c r="P38" s="18"/>
      <c r="Q38" s="18"/>
      <c r="R38" s="18"/>
      <c r="S38" s="26">
        <v>1.0</v>
      </c>
      <c r="T38" s="18"/>
      <c r="U38" s="18"/>
      <c r="V38" s="18"/>
      <c r="W38" s="18"/>
      <c r="X38" s="18"/>
      <c r="Y38" s="18"/>
      <c r="Z38" s="18"/>
      <c r="AA38" s="18"/>
      <c r="AB38" s="18"/>
      <c r="AC38" s="18"/>
      <c r="AD38" s="18"/>
      <c r="AE38" s="18"/>
      <c r="AF38" s="18"/>
      <c r="AG38" s="18"/>
      <c r="AH38" s="18"/>
      <c r="AI38" s="18"/>
      <c r="AJ38" s="83"/>
      <c r="AK38" s="18"/>
      <c r="AL38" s="83"/>
      <c r="AM38" s="18"/>
      <c r="AN38" s="18"/>
      <c r="AO38" s="26">
        <v>1.0</v>
      </c>
      <c r="AP38" s="18"/>
      <c r="AQ38" s="18"/>
      <c r="AR38" s="18"/>
      <c r="AS38" s="18"/>
      <c r="AT38" s="18"/>
      <c r="AU38" s="26">
        <v>1.0</v>
      </c>
      <c r="AV38" s="18"/>
      <c r="AW38" s="83"/>
      <c r="AX38" s="83"/>
      <c r="AY38" s="18"/>
      <c r="AZ38" s="18"/>
      <c r="BA38" s="18"/>
      <c r="BB38" s="18"/>
      <c r="BC38" s="26">
        <v>1.0</v>
      </c>
      <c r="BD38" s="18"/>
      <c r="BE38" s="18"/>
      <c r="BF38" s="18"/>
      <c r="BG38" s="18"/>
      <c r="BH38" s="18"/>
      <c r="BI38" s="18"/>
      <c r="BJ38" s="83"/>
      <c r="BK38" s="18"/>
      <c r="BL38" s="18"/>
      <c r="BM38" s="26">
        <v>1.0</v>
      </c>
      <c r="BN38" s="77"/>
      <c r="BO38" s="83"/>
      <c r="BP38" s="18"/>
      <c r="BQ38" s="18"/>
      <c r="BR38" s="18"/>
      <c r="BS38" s="18"/>
      <c r="BT38" s="18"/>
      <c r="BU38" s="18"/>
      <c r="BV38" s="18"/>
      <c r="BW38" s="18"/>
      <c r="BX38" s="18"/>
      <c r="BY38" s="18"/>
      <c r="BZ38" s="83"/>
      <c r="CA38" s="18"/>
      <c r="CB38" s="18"/>
      <c r="CC38" s="18"/>
      <c r="CD38" s="18"/>
      <c r="CE38" s="83"/>
      <c r="CF38" s="18"/>
      <c r="CG38" s="18"/>
      <c r="CH38" s="18"/>
      <c r="CI38" s="26"/>
      <c r="CJ38" s="18"/>
      <c r="CK38" s="18"/>
      <c r="CL38" s="18"/>
      <c r="CM38" s="18"/>
      <c r="CN38" s="18"/>
      <c r="CO38" s="18"/>
      <c r="CP38" s="18"/>
      <c r="CQ38" s="18"/>
      <c r="CR38" s="18"/>
      <c r="CS38" s="26"/>
      <c r="CT38" s="18"/>
      <c r="CU38" s="18"/>
      <c r="CW38" s="18"/>
      <c r="CX38" s="18"/>
      <c r="CY38" s="18"/>
      <c r="CZ38" s="26"/>
      <c r="DA38" s="18"/>
      <c r="DB38" s="18"/>
      <c r="DC38" s="18"/>
      <c r="DD38" s="18"/>
      <c r="DE38" s="77"/>
      <c r="DF38" s="77"/>
      <c r="DG38" s="77"/>
      <c r="DH38" s="77"/>
      <c r="DI38" s="77"/>
      <c r="DJ38" s="77"/>
      <c r="DK38" s="26"/>
      <c r="DL38" s="18"/>
      <c r="DM38" s="18"/>
      <c r="DN38" s="77"/>
      <c r="DO38" s="18"/>
      <c r="DP38" s="18"/>
      <c r="DQ38" s="18"/>
      <c r="DR38" s="77"/>
      <c r="DS38" s="26"/>
      <c r="DT38" s="26"/>
      <c r="DU38" s="77"/>
      <c r="DV38" s="77"/>
      <c r="DW38" s="18"/>
      <c r="DX38" s="18"/>
      <c r="DY38" s="26"/>
      <c r="DZ38" s="77"/>
      <c r="EA38" s="18"/>
      <c r="EB38" s="77"/>
      <c r="EC38" s="18"/>
      <c r="ED38" s="77"/>
      <c r="EE38" s="26"/>
      <c r="EF38" s="18"/>
      <c r="EG38" s="18"/>
      <c r="EH38" s="18"/>
      <c r="EI38" s="18"/>
      <c r="EJ38" s="18"/>
      <c r="EK38" s="18"/>
      <c r="EL38" s="26"/>
      <c r="EM38" s="18"/>
      <c r="EN38" s="18"/>
      <c r="EO38" s="18"/>
      <c r="EP38" s="18"/>
      <c r="EQ38" s="18"/>
      <c r="ER38" s="18"/>
      <c r="ES38" s="18"/>
      <c r="ET38" s="26"/>
      <c r="EU38" s="18"/>
      <c r="EV38" s="18"/>
      <c r="EW38" s="18"/>
      <c r="EX38" s="18"/>
      <c r="EY38" s="18"/>
      <c r="EZ38" s="18"/>
      <c r="FA38" s="18"/>
      <c r="FB38" s="18"/>
      <c r="FC38" s="18"/>
      <c r="FD38" s="18"/>
      <c r="FE38" s="18"/>
      <c r="FF38" s="18"/>
      <c r="FG38" s="18"/>
      <c r="FH38" s="18"/>
      <c r="FI38" s="18"/>
      <c r="FJ38" s="18"/>
      <c r="FK38" s="18"/>
      <c r="FL38" s="26"/>
      <c r="FM38" s="18"/>
      <c r="FN38" s="18"/>
      <c r="FO38" s="18"/>
      <c r="FP38" s="18"/>
      <c r="FQ38" s="26">
        <v>1.0</v>
      </c>
      <c r="FR38" s="18"/>
      <c r="FS38" s="18"/>
      <c r="FT38" s="26">
        <v>1.0</v>
      </c>
      <c r="FU38" s="18"/>
      <c r="FV38" s="18"/>
      <c r="FW38" s="18"/>
      <c r="FX38" s="18"/>
      <c r="FY38" s="18"/>
      <c r="FZ38" s="18"/>
      <c r="GA38" s="18"/>
      <c r="GB38" s="84"/>
      <c r="GC38" s="18"/>
      <c r="GD38" s="18"/>
      <c r="GE38" s="18"/>
      <c r="GF38" s="18"/>
      <c r="GG38" s="84"/>
      <c r="GH38" s="18"/>
      <c r="GI38" s="18"/>
      <c r="GJ38" s="18"/>
      <c r="GK38" s="18"/>
      <c r="GL38" s="18"/>
      <c r="GM38" s="18"/>
      <c r="GN38" s="18"/>
      <c r="GO38" s="83"/>
      <c r="GP38" s="18"/>
      <c r="GQ38" s="18"/>
      <c r="GR38" s="18"/>
      <c r="GS38" s="18"/>
      <c r="GT38" s="18"/>
      <c r="GU38" s="18"/>
      <c r="GV38" s="84"/>
      <c r="GW38" s="18"/>
      <c r="GX38" s="26"/>
      <c r="GY38" s="18"/>
      <c r="GZ38" s="18"/>
      <c r="HA38" s="18"/>
      <c r="HB38" s="18"/>
      <c r="HC38" s="26"/>
      <c r="HD38" s="18"/>
      <c r="HE38" s="18"/>
      <c r="HF38" s="18"/>
      <c r="HG38" s="18"/>
      <c r="HH38" s="18"/>
      <c r="HI38" s="18"/>
      <c r="HJ38" s="18"/>
      <c r="HK38" s="26">
        <v>1.0</v>
      </c>
      <c r="HL38" s="18"/>
      <c r="HM38" s="18"/>
      <c r="HN38" s="26"/>
      <c r="HO38" s="18"/>
      <c r="HP38" s="18"/>
      <c r="HQ38" s="26"/>
      <c r="HR38" s="18"/>
      <c r="HS38" s="26"/>
      <c r="HT38" s="18"/>
      <c r="HU38" s="18"/>
      <c r="HV38" s="18"/>
      <c r="HW38" s="18"/>
      <c r="HX38" s="18"/>
      <c r="HY38" s="18"/>
      <c r="HZ38" s="18"/>
      <c r="IA38" s="18"/>
      <c r="IB38" s="18"/>
      <c r="IC38" s="18"/>
      <c r="ID38" s="26"/>
      <c r="IE38" s="18"/>
      <c r="IF38" s="18"/>
      <c r="IG38" s="26"/>
      <c r="IH38" s="26"/>
      <c r="II38" s="18"/>
      <c r="IJ38" s="18"/>
      <c r="IK38" s="18"/>
      <c r="IL38" s="77"/>
      <c r="IM38" s="18"/>
      <c r="IN38" s="77"/>
      <c r="IO38" s="18"/>
      <c r="IP38" s="18"/>
      <c r="IQ38" s="18"/>
      <c r="IR38" s="18"/>
      <c r="IS38" s="18"/>
      <c r="IT38" s="18"/>
      <c r="IU38" s="18"/>
      <c r="IV38" s="18"/>
      <c r="IW38" s="18"/>
      <c r="IX38" s="18"/>
      <c r="IY38" s="18"/>
      <c r="IZ38" s="18"/>
      <c r="JA38" s="18"/>
      <c r="JB38" s="18"/>
      <c r="JC38" s="18"/>
      <c r="JD38" s="18"/>
      <c r="JE38" s="26"/>
      <c r="JF38" s="18"/>
      <c r="JG38" s="18"/>
      <c r="JH38" s="18"/>
      <c r="JI38" s="18"/>
      <c r="JJ38" s="18"/>
      <c r="JK38" s="18"/>
      <c r="JL38" s="18"/>
      <c r="JM38" s="26">
        <v>1.0</v>
      </c>
      <c r="JN38" s="26">
        <v>1.0</v>
      </c>
      <c r="JO38" s="18"/>
      <c r="JP38" s="18"/>
      <c r="JQ38" s="18"/>
      <c r="JR38" s="18"/>
      <c r="JS38" s="18"/>
      <c r="JT38" s="18"/>
      <c r="JU38" s="18"/>
      <c r="JV38" s="18"/>
      <c r="JW38" s="18"/>
      <c r="JX38" s="18"/>
      <c r="JY38" s="18"/>
      <c r="JZ38" s="18"/>
      <c r="KA38" s="26">
        <v>1.0</v>
      </c>
      <c r="KB38" s="18"/>
      <c r="KC38" s="26">
        <v>1.0</v>
      </c>
      <c r="KD38" s="18"/>
      <c r="KE38" s="18"/>
      <c r="KF38" s="26"/>
      <c r="KG38" s="26"/>
      <c r="KH38" s="26"/>
      <c r="KI38" s="26">
        <v>1.0</v>
      </c>
      <c r="KJ38" s="18"/>
      <c r="KK38" s="26"/>
      <c r="KL38" s="18"/>
      <c r="KM38" s="18"/>
      <c r="KN38" s="26"/>
      <c r="KO38" s="26"/>
      <c r="KP38" s="18"/>
      <c r="KQ38" s="26"/>
      <c r="KR38" s="77"/>
      <c r="KS38" s="18"/>
      <c r="KT38" s="18"/>
      <c r="KU38" s="26"/>
      <c r="KV38" s="18"/>
      <c r="KW38" s="18"/>
    </row>
    <row r="39">
      <c r="A39" s="28">
        <v>40.0</v>
      </c>
      <c r="B39" s="28">
        <f t="shared" ref="B39:B50" si="2">SUM(H39:KW39)
</f>
        <v>8</v>
      </c>
      <c r="C39" s="28"/>
      <c r="D39" s="30"/>
      <c r="E39" s="30"/>
      <c r="F39" s="41" t="s">
        <v>2580</v>
      </c>
      <c r="G39" s="88"/>
      <c r="H39" s="18"/>
      <c r="I39" s="18"/>
      <c r="J39" s="18"/>
      <c r="K39" s="18"/>
      <c r="L39" s="18"/>
      <c r="M39" s="83"/>
      <c r="N39" s="83"/>
      <c r="O39" s="83"/>
      <c r="P39" s="26">
        <v>1.0</v>
      </c>
      <c r="Q39" s="18"/>
      <c r="R39" s="18"/>
      <c r="S39" s="18"/>
      <c r="T39" s="18"/>
      <c r="U39" s="18"/>
      <c r="V39" s="18"/>
      <c r="W39" s="18"/>
      <c r="X39" s="18"/>
      <c r="Y39" s="18"/>
      <c r="Z39" s="18"/>
      <c r="AA39" s="18"/>
      <c r="AB39" s="18"/>
      <c r="AC39" s="18"/>
      <c r="AD39" s="18"/>
      <c r="AE39" s="18"/>
      <c r="AF39" s="18"/>
      <c r="AG39" s="18"/>
      <c r="AH39" s="18"/>
      <c r="AI39" s="18"/>
      <c r="AJ39" s="83"/>
      <c r="AK39" s="18"/>
      <c r="AL39" s="83"/>
      <c r="AM39" s="18"/>
      <c r="AN39" s="18"/>
      <c r="AO39" s="18"/>
      <c r="AP39" s="18"/>
      <c r="AQ39" s="18"/>
      <c r="AR39" s="18"/>
      <c r="AS39" s="18"/>
      <c r="AT39" s="18"/>
      <c r="AU39" s="18"/>
      <c r="AV39" s="18"/>
      <c r="AW39" s="83"/>
      <c r="AX39" s="83"/>
      <c r="AY39" s="18"/>
      <c r="AZ39" s="18"/>
      <c r="BA39" s="18"/>
      <c r="BB39" s="18"/>
      <c r="BC39" s="18"/>
      <c r="BD39" s="18"/>
      <c r="BE39" s="18"/>
      <c r="BF39" s="18"/>
      <c r="BG39" s="26">
        <v>1.0</v>
      </c>
      <c r="BH39" s="18"/>
      <c r="BI39" s="18"/>
      <c r="BJ39" s="83"/>
      <c r="BK39" s="18"/>
      <c r="BL39" s="18"/>
      <c r="BM39" s="18"/>
      <c r="BN39" s="77"/>
      <c r="BO39" s="83"/>
      <c r="BP39" s="18"/>
      <c r="BQ39" s="18"/>
      <c r="BR39" s="18"/>
      <c r="BS39" s="18"/>
      <c r="BT39" s="18"/>
      <c r="BU39" s="18"/>
      <c r="BV39" s="18"/>
      <c r="BW39" s="18"/>
      <c r="BX39" s="18"/>
      <c r="BY39" s="18"/>
      <c r="BZ39" s="83"/>
      <c r="CA39" s="18"/>
      <c r="CB39" s="18"/>
      <c r="CC39" s="18"/>
      <c r="CD39" s="18"/>
      <c r="CE39" s="83"/>
      <c r="CF39" s="18"/>
      <c r="CG39" s="18"/>
      <c r="CH39" s="18"/>
      <c r="CI39" s="26"/>
      <c r="CJ39" s="18"/>
      <c r="CK39" s="18"/>
      <c r="CL39" s="18"/>
      <c r="CM39" s="18"/>
      <c r="CN39" s="18"/>
      <c r="CO39" s="18"/>
      <c r="CP39" s="18"/>
      <c r="CQ39" s="18"/>
      <c r="CR39" s="18"/>
      <c r="CS39" s="26"/>
      <c r="CT39" s="18"/>
      <c r="CU39" s="18"/>
      <c r="CV39" s="26"/>
      <c r="CW39" s="18"/>
      <c r="CX39" s="18"/>
      <c r="CY39" s="18"/>
      <c r="CZ39" s="26"/>
      <c r="DA39" s="18"/>
      <c r="DB39" s="18"/>
      <c r="DC39" s="18"/>
      <c r="DD39" s="18"/>
      <c r="DE39" s="77"/>
      <c r="DF39" s="77"/>
      <c r="DG39" s="77"/>
      <c r="DH39" s="77"/>
      <c r="DI39" s="77"/>
      <c r="DJ39" s="77"/>
      <c r="DK39" s="26"/>
      <c r="DL39" s="18"/>
      <c r="DM39" s="18"/>
      <c r="DN39" s="77"/>
      <c r="DO39" s="18"/>
      <c r="DP39" s="18"/>
      <c r="DQ39" s="18"/>
      <c r="DR39" s="77"/>
      <c r="DS39" s="26"/>
      <c r="DT39" s="26"/>
      <c r="DU39" s="77"/>
      <c r="DV39" s="77"/>
      <c r="DW39" s="18"/>
      <c r="DX39" s="18"/>
      <c r="DY39" s="26"/>
      <c r="DZ39" s="77"/>
      <c r="EA39" s="18"/>
      <c r="EB39" s="77"/>
      <c r="EC39" s="18"/>
      <c r="ED39" s="77"/>
      <c r="EE39" s="26"/>
      <c r="EF39" s="18"/>
      <c r="EG39" s="18"/>
      <c r="EH39" s="18"/>
      <c r="EI39" s="18"/>
      <c r="EJ39" s="18"/>
      <c r="EK39" s="18"/>
      <c r="EL39" s="26"/>
      <c r="EM39" s="18"/>
      <c r="EN39" s="18"/>
      <c r="EO39" s="18"/>
      <c r="EP39" s="18"/>
      <c r="EQ39" s="18"/>
      <c r="ER39" s="18"/>
      <c r="ES39" s="18"/>
      <c r="ET39" s="26"/>
      <c r="EU39" s="18"/>
      <c r="EV39" s="18"/>
      <c r="EW39" s="18"/>
      <c r="EX39" s="18"/>
      <c r="EY39" s="18"/>
      <c r="EZ39" s="18"/>
      <c r="FA39" s="18"/>
      <c r="FB39" s="18"/>
      <c r="FC39" s="18"/>
      <c r="FD39" s="18"/>
      <c r="FE39" s="18"/>
      <c r="FF39" s="18"/>
      <c r="FG39" s="18"/>
      <c r="FH39" s="18"/>
      <c r="FI39" s="26">
        <v>1.0</v>
      </c>
      <c r="FJ39" s="18"/>
      <c r="FK39" s="18"/>
      <c r="FL39" s="26"/>
      <c r="FM39" s="18"/>
      <c r="FN39" s="18"/>
      <c r="FO39" s="18"/>
      <c r="FP39" s="18"/>
      <c r="FQ39" s="84"/>
      <c r="FR39" s="18"/>
      <c r="FS39" s="84"/>
      <c r="FT39" s="18"/>
      <c r="FU39" s="18"/>
      <c r="FV39" s="18"/>
      <c r="FW39" s="18"/>
      <c r="FX39" s="18"/>
      <c r="FY39" s="18"/>
      <c r="FZ39" s="18"/>
      <c r="GA39" s="18"/>
      <c r="GB39" s="84"/>
      <c r="GC39" s="18"/>
      <c r="GD39" s="18"/>
      <c r="GE39" s="18"/>
      <c r="GF39" s="18"/>
      <c r="GG39" s="84"/>
      <c r="GH39" s="18"/>
      <c r="GI39" s="18"/>
      <c r="GJ39" s="18"/>
      <c r="GK39" s="18"/>
      <c r="GL39" s="18"/>
      <c r="GM39" s="18"/>
      <c r="GN39" s="18"/>
      <c r="GO39" s="83"/>
      <c r="GP39" s="18"/>
      <c r="GQ39" s="18"/>
      <c r="GR39" s="18"/>
      <c r="GS39" s="18"/>
      <c r="GT39" s="18"/>
      <c r="GU39" s="18"/>
      <c r="GV39" s="84"/>
      <c r="GW39" s="18"/>
      <c r="GX39" s="26"/>
      <c r="GY39" s="18"/>
      <c r="GZ39" s="18"/>
      <c r="HA39" s="18"/>
      <c r="HB39" s="18"/>
      <c r="HC39" s="26"/>
      <c r="HD39" s="18"/>
      <c r="HE39" s="18"/>
      <c r="HF39" s="18"/>
      <c r="HG39" s="18"/>
      <c r="HH39" s="18"/>
      <c r="HI39" s="26">
        <v>1.0</v>
      </c>
      <c r="HJ39" s="18"/>
      <c r="HK39" s="26">
        <v>1.0</v>
      </c>
      <c r="HL39" s="18"/>
      <c r="HM39" s="18"/>
      <c r="HN39" s="26"/>
      <c r="HO39" s="18"/>
      <c r="HP39" s="18"/>
      <c r="HQ39" s="26"/>
      <c r="HR39" s="18"/>
      <c r="HS39" s="26"/>
      <c r="HT39" s="18"/>
      <c r="HU39" s="18"/>
      <c r="HV39" s="18"/>
      <c r="HW39" s="18"/>
      <c r="HX39" s="18"/>
      <c r="HY39" s="18"/>
      <c r="HZ39" s="18"/>
      <c r="IA39" s="18"/>
      <c r="IB39" s="18"/>
      <c r="IC39" s="18"/>
      <c r="ID39" s="26"/>
      <c r="IE39" s="26">
        <v>1.0</v>
      </c>
      <c r="IF39" s="18"/>
      <c r="IG39" s="26"/>
      <c r="IH39" s="26"/>
      <c r="II39" s="26">
        <v>1.0</v>
      </c>
      <c r="IJ39" s="18"/>
      <c r="IK39" s="18"/>
      <c r="IL39" s="77"/>
      <c r="IM39" s="18"/>
      <c r="IN39" s="77"/>
      <c r="IO39" s="18"/>
      <c r="IP39" s="18"/>
      <c r="IQ39" s="18"/>
      <c r="IR39" s="18"/>
      <c r="IS39" s="18"/>
      <c r="IT39" s="18"/>
      <c r="IU39" s="18"/>
      <c r="IV39" s="18"/>
      <c r="IW39" s="18"/>
      <c r="IX39" s="18"/>
      <c r="IY39" s="18"/>
      <c r="IZ39" s="18"/>
      <c r="JA39" s="18"/>
      <c r="JB39" s="18"/>
      <c r="JC39" s="18"/>
      <c r="JD39" s="18"/>
      <c r="JE39" s="26"/>
      <c r="JF39" s="18"/>
      <c r="JG39" s="18"/>
      <c r="JH39" s="18"/>
      <c r="JI39" s="18"/>
      <c r="JJ39" s="18"/>
      <c r="JK39" s="18"/>
      <c r="JL39" s="18"/>
      <c r="JM39" s="26"/>
      <c r="JN39" s="18"/>
      <c r="JO39" s="18"/>
      <c r="JP39" s="18"/>
      <c r="JQ39" s="18"/>
      <c r="JR39" s="18"/>
      <c r="JS39" s="18"/>
      <c r="JT39" s="18"/>
      <c r="JU39" s="18"/>
      <c r="JV39" s="18"/>
      <c r="JW39" s="18"/>
      <c r="JX39" s="18"/>
      <c r="JY39" s="18"/>
      <c r="JZ39" s="18"/>
      <c r="KA39" s="18"/>
      <c r="KB39" s="18"/>
      <c r="KC39" s="18"/>
      <c r="KD39" s="18"/>
      <c r="KE39" s="18"/>
      <c r="KF39" s="26"/>
      <c r="KG39" s="26"/>
      <c r="KH39" s="18"/>
      <c r="KI39" s="26"/>
      <c r="KJ39" s="18"/>
      <c r="KK39" s="26"/>
      <c r="KL39" s="18"/>
      <c r="KM39" s="18"/>
      <c r="KN39" s="26"/>
      <c r="KO39" s="26"/>
      <c r="KP39" s="18"/>
      <c r="KQ39" s="26"/>
      <c r="KR39" s="77"/>
      <c r="KS39" s="18"/>
      <c r="KT39" s="18"/>
      <c r="KU39" s="26"/>
      <c r="KV39" s="26">
        <v>1.0</v>
      </c>
      <c r="KW39" s="18"/>
    </row>
    <row r="40">
      <c r="A40" s="27">
        <v>41.0</v>
      </c>
      <c r="B40" s="28">
        <f t="shared" si="2"/>
        <v>4</v>
      </c>
      <c r="C40" s="28"/>
      <c r="D40" s="30"/>
      <c r="E40" s="30"/>
      <c r="F40" s="41" t="s">
        <v>2586</v>
      </c>
      <c r="G40" s="88"/>
      <c r="H40" s="18"/>
      <c r="I40" s="18"/>
      <c r="J40" s="18"/>
      <c r="K40" s="18"/>
      <c r="L40" s="18"/>
      <c r="M40" s="83"/>
      <c r="N40" s="83"/>
      <c r="O40" s="83"/>
      <c r="P40" s="18"/>
      <c r="Q40" s="18"/>
      <c r="R40" s="18"/>
      <c r="S40" s="18"/>
      <c r="T40" s="18"/>
      <c r="U40" s="18"/>
      <c r="V40" s="26">
        <v>1.0</v>
      </c>
      <c r="W40" s="18"/>
      <c r="X40" s="18"/>
      <c r="Y40" s="18"/>
      <c r="Z40" s="18"/>
      <c r="AA40" s="18"/>
      <c r="AB40" s="18"/>
      <c r="AC40" s="18"/>
      <c r="AD40" s="18"/>
      <c r="AE40" s="18"/>
      <c r="AF40" s="18"/>
      <c r="AG40" s="18"/>
      <c r="AH40" s="18"/>
      <c r="AI40" s="18"/>
      <c r="AJ40" s="83"/>
      <c r="AK40" s="18"/>
      <c r="AL40" s="83"/>
      <c r="AM40" s="18"/>
      <c r="AN40" s="18"/>
      <c r="AO40" s="18"/>
      <c r="AP40" s="18"/>
      <c r="AQ40" s="18"/>
      <c r="AR40" s="18"/>
      <c r="AS40" s="18"/>
      <c r="AT40" s="18"/>
      <c r="AU40" s="18"/>
      <c r="AV40" s="18"/>
      <c r="AW40" s="83"/>
      <c r="AX40" s="83"/>
      <c r="AY40" s="18"/>
      <c r="AZ40" s="18"/>
      <c r="BA40" s="18"/>
      <c r="BB40" s="18"/>
      <c r="BC40" s="18"/>
      <c r="BD40" s="18"/>
      <c r="BE40" s="18"/>
      <c r="BF40" s="18"/>
      <c r="BG40" s="18"/>
      <c r="BH40" s="18"/>
      <c r="BI40" s="18"/>
      <c r="BJ40" s="83"/>
      <c r="BK40" s="18"/>
      <c r="BL40" s="18"/>
      <c r="BM40" s="18"/>
      <c r="BN40" s="77"/>
      <c r="BO40" s="83"/>
      <c r="BP40" s="18"/>
      <c r="BQ40" s="18"/>
      <c r="BR40" s="18"/>
      <c r="BS40" s="18"/>
      <c r="BT40" s="18"/>
      <c r="BU40" s="18"/>
      <c r="BV40" s="18"/>
      <c r="BW40" s="18"/>
      <c r="BX40" s="18"/>
      <c r="BY40" s="18"/>
      <c r="BZ40" s="83"/>
      <c r="CA40" s="18"/>
      <c r="CB40" s="18"/>
      <c r="CC40" s="18"/>
      <c r="CD40" s="18"/>
      <c r="CE40" s="83"/>
      <c r="CF40" s="18"/>
      <c r="CG40" s="18"/>
      <c r="CH40" s="18"/>
      <c r="CI40" s="26"/>
      <c r="CJ40" s="18"/>
      <c r="CK40" s="18"/>
      <c r="CL40" s="18"/>
      <c r="CM40" s="18"/>
      <c r="CN40" s="18"/>
      <c r="CO40" s="18"/>
      <c r="CP40" s="18"/>
      <c r="CQ40" s="18"/>
      <c r="CR40" s="18"/>
      <c r="CS40" s="26"/>
      <c r="CT40" s="18"/>
      <c r="CU40" s="18"/>
      <c r="CW40" s="18"/>
      <c r="CX40" s="18"/>
      <c r="CY40" s="18"/>
      <c r="CZ40" s="26"/>
      <c r="DA40" s="18"/>
      <c r="DB40" s="18"/>
      <c r="DC40" s="18"/>
      <c r="DD40" s="18"/>
      <c r="DE40" s="77"/>
      <c r="DF40" s="77"/>
      <c r="DG40" s="77"/>
      <c r="DH40" s="77"/>
      <c r="DI40" s="77"/>
      <c r="DJ40" s="77"/>
      <c r="DK40" s="26">
        <v>1.0</v>
      </c>
      <c r="DL40" s="18"/>
      <c r="DM40" s="18"/>
      <c r="DN40" s="77"/>
      <c r="DO40" s="18"/>
      <c r="DP40" s="18"/>
      <c r="DQ40" s="18"/>
      <c r="DR40" s="77"/>
      <c r="DS40" s="26"/>
      <c r="DT40" s="26"/>
      <c r="DU40" s="77"/>
      <c r="DV40" s="77"/>
      <c r="DW40" s="18"/>
      <c r="DX40" s="18"/>
      <c r="DY40" s="26"/>
      <c r="DZ40" s="77"/>
      <c r="EA40" s="18"/>
      <c r="EB40" s="77"/>
      <c r="EC40" s="18"/>
      <c r="ED40" s="77"/>
      <c r="EE40" s="26"/>
      <c r="EF40" s="18"/>
      <c r="EG40" s="18"/>
      <c r="EH40" s="18"/>
      <c r="EI40" s="18"/>
      <c r="EJ40" s="18"/>
      <c r="EK40" s="18"/>
      <c r="EL40" s="26"/>
      <c r="EM40" s="18"/>
      <c r="EN40" s="18"/>
      <c r="EO40" s="18"/>
      <c r="EP40" s="18"/>
      <c r="EQ40" s="18"/>
      <c r="ER40" s="18"/>
      <c r="ES40" s="18"/>
      <c r="ET40" s="26"/>
      <c r="EU40" s="18"/>
      <c r="EV40" s="18"/>
      <c r="EW40" s="18"/>
      <c r="EX40" s="18"/>
      <c r="EY40" s="18"/>
      <c r="EZ40" s="18"/>
      <c r="FA40" s="18"/>
      <c r="FB40" s="18"/>
      <c r="FC40" s="18"/>
      <c r="FD40" s="18"/>
      <c r="FE40" s="18"/>
      <c r="FF40" s="18"/>
      <c r="FG40" s="18"/>
      <c r="FH40" s="18"/>
      <c r="FI40" s="18"/>
      <c r="FJ40" s="18"/>
      <c r="FK40" s="18"/>
      <c r="FL40" s="26"/>
      <c r="FM40" s="18"/>
      <c r="FN40" s="18"/>
      <c r="FO40" s="18"/>
      <c r="FP40" s="18"/>
      <c r="FQ40" s="84"/>
      <c r="FR40" s="18"/>
      <c r="FS40" s="84"/>
      <c r="FT40" s="18"/>
      <c r="FU40" s="18"/>
      <c r="FV40" s="18"/>
      <c r="FW40" s="18"/>
      <c r="FX40" s="18"/>
      <c r="FY40" s="18"/>
      <c r="FZ40" s="18"/>
      <c r="GA40" s="18"/>
      <c r="GB40" s="84"/>
      <c r="GC40" s="18"/>
      <c r="GD40" s="18"/>
      <c r="GE40" s="18"/>
      <c r="GF40" s="18"/>
      <c r="GG40" s="84"/>
      <c r="GH40" s="18"/>
      <c r="GI40" s="18"/>
      <c r="GJ40" s="18"/>
      <c r="GK40" s="18"/>
      <c r="GL40" s="18"/>
      <c r="GM40" s="18"/>
      <c r="GN40" s="18"/>
      <c r="GO40" s="83"/>
      <c r="GP40" s="18"/>
      <c r="GQ40" s="18"/>
      <c r="GR40" s="18"/>
      <c r="GS40" s="18"/>
      <c r="GT40" s="18"/>
      <c r="GU40" s="18"/>
      <c r="GV40" s="84"/>
      <c r="GW40" s="18"/>
      <c r="GX40" s="26"/>
      <c r="GY40" s="18"/>
      <c r="GZ40" s="18"/>
      <c r="HA40" s="18"/>
      <c r="HB40" s="18"/>
      <c r="HC40" s="26"/>
      <c r="HD40" s="18"/>
      <c r="HE40" s="18"/>
      <c r="HF40" s="18"/>
      <c r="HG40" s="18"/>
      <c r="HH40" s="18"/>
      <c r="HI40" s="18"/>
      <c r="HJ40" s="18"/>
      <c r="HK40" s="26"/>
      <c r="HL40" s="18"/>
      <c r="HM40" s="18"/>
      <c r="HN40" s="26"/>
      <c r="HO40" s="18"/>
      <c r="HP40" s="26">
        <v>1.0</v>
      </c>
      <c r="HQ40" s="26"/>
      <c r="HR40" s="18"/>
      <c r="HS40" s="26"/>
      <c r="HT40" s="18"/>
      <c r="HU40" s="18"/>
      <c r="HV40" s="18"/>
      <c r="HW40" s="18"/>
      <c r="HX40" s="18"/>
      <c r="HY40" s="18"/>
      <c r="HZ40" s="18"/>
      <c r="IA40" s="18"/>
      <c r="IB40" s="18"/>
      <c r="IC40" s="18"/>
      <c r="ID40" s="26"/>
      <c r="IE40" s="18"/>
      <c r="IF40" s="18"/>
      <c r="IG40" s="26"/>
      <c r="IH40" s="26"/>
      <c r="II40" s="18"/>
      <c r="IJ40" s="18"/>
      <c r="IK40" s="18"/>
      <c r="IL40" s="77"/>
      <c r="IM40" s="18"/>
      <c r="IN40" s="77"/>
      <c r="IO40" s="18"/>
      <c r="IP40" s="18"/>
      <c r="IQ40" s="18"/>
      <c r="IR40" s="18"/>
      <c r="IS40" s="18"/>
      <c r="IT40" s="18"/>
      <c r="IU40" s="18"/>
      <c r="IV40" s="18"/>
      <c r="IW40" s="18"/>
      <c r="IX40" s="18"/>
      <c r="IY40" s="18"/>
      <c r="IZ40" s="18"/>
      <c r="JA40" s="18"/>
      <c r="JB40" s="18"/>
      <c r="JC40" s="18"/>
      <c r="JD40" s="18"/>
      <c r="JE40" s="26"/>
      <c r="JF40" s="18"/>
      <c r="JG40" s="18"/>
      <c r="JH40" s="18"/>
      <c r="JI40" s="18"/>
      <c r="JJ40" s="18"/>
      <c r="JK40" s="18"/>
      <c r="JL40" s="18"/>
      <c r="JM40" s="26"/>
      <c r="JN40" s="26">
        <v>1.0</v>
      </c>
      <c r="JO40" s="18"/>
      <c r="JP40" s="18"/>
      <c r="JQ40" s="18"/>
      <c r="JR40" s="18"/>
      <c r="JS40" s="18"/>
      <c r="JT40" s="18"/>
      <c r="JU40" s="18"/>
      <c r="JV40" s="18"/>
      <c r="JW40" s="18"/>
      <c r="JX40" s="18"/>
      <c r="JY40" s="18"/>
      <c r="JZ40" s="18"/>
      <c r="KA40" s="18"/>
      <c r="KB40" s="18"/>
      <c r="KC40" s="18"/>
      <c r="KD40" s="18"/>
      <c r="KE40" s="18"/>
      <c r="KF40" s="26"/>
      <c r="KG40" s="26"/>
      <c r="KH40" s="18"/>
      <c r="KI40" s="26"/>
      <c r="KJ40" s="18"/>
      <c r="KK40" s="26"/>
      <c r="KL40" s="18"/>
      <c r="KM40" s="18"/>
      <c r="KN40" s="26"/>
      <c r="KO40" s="26"/>
      <c r="KP40" s="18"/>
      <c r="KQ40" s="26"/>
      <c r="KR40" s="77"/>
      <c r="KS40" s="18"/>
      <c r="KT40" s="18"/>
      <c r="KU40" s="26"/>
      <c r="KV40" s="18"/>
      <c r="KW40" s="18"/>
    </row>
    <row r="41">
      <c r="A41" s="28">
        <v>42.0</v>
      </c>
      <c r="B41" s="28">
        <f t="shared" si="2"/>
        <v>10</v>
      </c>
      <c r="C41" s="28"/>
      <c r="D41" s="30"/>
      <c r="E41" s="30"/>
      <c r="F41" s="41" t="s">
        <v>2592</v>
      </c>
      <c r="G41" s="88"/>
      <c r="H41" s="18"/>
      <c r="I41" s="18"/>
      <c r="J41" s="18"/>
      <c r="K41" s="18"/>
      <c r="L41" s="18"/>
      <c r="M41" s="83"/>
      <c r="N41" s="83"/>
      <c r="O41" s="83"/>
      <c r="P41" s="18"/>
      <c r="Q41" s="26">
        <v>1.0</v>
      </c>
      <c r="R41" s="18"/>
      <c r="S41" s="18"/>
      <c r="T41" s="18"/>
      <c r="U41" s="18"/>
      <c r="V41" s="18"/>
      <c r="W41" s="18"/>
      <c r="X41" s="18"/>
      <c r="Y41" s="18"/>
      <c r="Z41" s="18"/>
      <c r="AA41" s="18"/>
      <c r="AB41" s="18"/>
      <c r="AC41" s="18"/>
      <c r="AD41" s="18"/>
      <c r="AE41" s="18"/>
      <c r="AF41" s="18"/>
      <c r="AG41" s="18"/>
      <c r="AH41" s="26">
        <v>1.0</v>
      </c>
      <c r="AI41" s="26">
        <v>1.0</v>
      </c>
      <c r="AJ41" s="83"/>
      <c r="AK41" s="18"/>
      <c r="AL41" s="83"/>
      <c r="AM41" s="18"/>
      <c r="AN41" s="18"/>
      <c r="AO41" s="18"/>
      <c r="AP41" s="18"/>
      <c r="AQ41" s="18"/>
      <c r="AR41" s="18"/>
      <c r="AS41" s="18"/>
      <c r="AT41" s="18"/>
      <c r="AU41" s="18"/>
      <c r="AV41" s="18"/>
      <c r="AW41" s="83"/>
      <c r="AX41" s="83"/>
      <c r="AY41" s="18"/>
      <c r="AZ41" s="18"/>
      <c r="BA41" s="18"/>
      <c r="BB41" s="18"/>
      <c r="BC41" s="18"/>
      <c r="BD41" s="18"/>
      <c r="BE41" s="18"/>
      <c r="BF41" s="18"/>
      <c r="BG41" s="18"/>
      <c r="BH41" s="18"/>
      <c r="BI41" s="18"/>
      <c r="BJ41" s="83"/>
      <c r="BK41" s="18"/>
      <c r="BL41" s="18"/>
      <c r="BM41" s="18"/>
      <c r="BN41" s="77"/>
      <c r="BO41" s="83"/>
      <c r="BP41" s="18"/>
      <c r="BQ41" s="18"/>
      <c r="BR41" s="18"/>
      <c r="BS41" s="18"/>
      <c r="BT41" s="18"/>
      <c r="BU41" s="18"/>
      <c r="BV41" s="18"/>
      <c r="BW41" s="18"/>
      <c r="BX41" s="18"/>
      <c r="BY41" s="18"/>
      <c r="BZ41" s="83"/>
      <c r="CA41" s="18"/>
      <c r="CB41" s="18"/>
      <c r="CC41" s="18"/>
      <c r="CD41" s="18"/>
      <c r="CE41" s="83"/>
      <c r="CF41" s="18"/>
      <c r="CG41" s="18"/>
      <c r="CH41" s="18"/>
      <c r="CI41" s="26"/>
      <c r="CJ41" s="18"/>
      <c r="CK41" s="18"/>
      <c r="CL41" s="18"/>
      <c r="CM41" s="18"/>
      <c r="CN41" s="18"/>
      <c r="CO41" s="18"/>
      <c r="CP41" s="18"/>
      <c r="CQ41" s="18"/>
      <c r="CR41" s="18"/>
      <c r="CS41" s="26"/>
      <c r="CT41" s="18"/>
      <c r="CU41" s="18"/>
      <c r="CW41" s="18"/>
      <c r="CX41" s="18"/>
      <c r="CY41" s="18"/>
      <c r="CZ41" s="26"/>
      <c r="DA41" s="18"/>
      <c r="DB41" s="18"/>
      <c r="DC41" s="18"/>
      <c r="DD41" s="18"/>
      <c r="DE41" s="77"/>
      <c r="DF41" s="77"/>
      <c r="DG41" s="77"/>
      <c r="DH41" s="77"/>
      <c r="DI41" s="77"/>
      <c r="DJ41" s="77"/>
      <c r="DK41" s="26"/>
      <c r="DL41" s="18"/>
      <c r="DM41" s="18"/>
      <c r="DN41" s="77"/>
      <c r="DO41" s="18"/>
      <c r="DP41" s="18"/>
      <c r="DQ41" s="18"/>
      <c r="DR41" s="77"/>
      <c r="DS41" s="26"/>
      <c r="DT41" s="26"/>
      <c r="DU41" s="77"/>
      <c r="DV41" s="77"/>
      <c r="DW41" s="18"/>
      <c r="DX41" s="18"/>
      <c r="DY41" s="26"/>
      <c r="DZ41" s="77"/>
      <c r="EA41" s="18"/>
      <c r="EB41" s="77"/>
      <c r="EC41" s="18"/>
      <c r="ED41" s="77"/>
      <c r="EE41" s="26"/>
      <c r="EF41" s="18"/>
      <c r="EG41" s="18"/>
      <c r="EH41" s="26">
        <v>1.0</v>
      </c>
      <c r="EI41" s="18"/>
      <c r="EJ41" s="18"/>
      <c r="EK41" s="18"/>
      <c r="EL41" s="26"/>
      <c r="EM41" s="18"/>
      <c r="EN41" s="18"/>
      <c r="EO41" s="18"/>
      <c r="EP41" s="18"/>
      <c r="EQ41" s="18"/>
      <c r="ER41" s="18"/>
      <c r="ES41" s="18"/>
      <c r="ET41" s="26"/>
      <c r="EU41" s="18"/>
      <c r="EV41" s="18"/>
      <c r="EW41" s="18"/>
      <c r="EX41" s="18"/>
      <c r="EY41" s="18"/>
      <c r="EZ41" s="18"/>
      <c r="FA41" s="18"/>
      <c r="FB41" s="18"/>
      <c r="FC41" s="18"/>
      <c r="FD41" s="18"/>
      <c r="FE41" s="18"/>
      <c r="FF41" s="18"/>
      <c r="FG41" s="18"/>
      <c r="FH41" s="18"/>
      <c r="FI41" s="18"/>
      <c r="FJ41" s="18"/>
      <c r="FK41" s="18"/>
      <c r="FL41" s="26"/>
      <c r="FM41" s="18"/>
      <c r="FN41" s="18"/>
      <c r="FO41" s="18"/>
      <c r="FP41" s="18"/>
      <c r="FQ41" s="84"/>
      <c r="FR41" s="18"/>
      <c r="FS41" s="84"/>
      <c r="FT41" s="18"/>
      <c r="FU41" s="18"/>
      <c r="FV41" s="18"/>
      <c r="FW41" s="18"/>
      <c r="FX41" s="18"/>
      <c r="FY41" s="18"/>
      <c r="FZ41" s="18"/>
      <c r="GA41" s="18"/>
      <c r="GB41" s="78"/>
      <c r="GC41" s="18"/>
      <c r="GD41" s="18"/>
      <c r="GE41" s="18"/>
      <c r="GF41" s="18"/>
      <c r="GG41" s="78"/>
      <c r="GH41" s="18"/>
      <c r="GI41" s="18"/>
      <c r="GJ41" s="18"/>
      <c r="GK41" s="18"/>
      <c r="GL41" s="18"/>
      <c r="GM41" s="18"/>
      <c r="GN41" s="18"/>
      <c r="GO41" s="83"/>
      <c r="GP41" s="18"/>
      <c r="GQ41" s="18"/>
      <c r="GR41" s="18"/>
      <c r="GS41" s="18"/>
      <c r="GT41" s="18"/>
      <c r="GU41" s="18"/>
      <c r="GV41" s="84"/>
      <c r="GW41" s="18"/>
      <c r="GX41" s="26"/>
      <c r="GY41" s="18"/>
      <c r="GZ41" s="18"/>
      <c r="HA41" s="18"/>
      <c r="HB41" s="18"/>
      <c r="HC41" s="26">
        <v>1.0</v>
      </c>
      <c r="HD41" s="18"/>
      <c r="HE41" s="18"/>
      <c r="HF41" s="18"/>
      <c r="HG41" s="18"/>
      <c r="HH41" s="18"/>
      <c r="HI41" s="18"/>
      <c r="HJ41" s="18"/>
      <c r="HK41" s="26"/>
      <c r="HL41" s="18"/>
      <c r="HM41" s="18"/>
      <c r="HN41" s="26"/>
      <c r="HO41" s="18"/>
      <c r="HP41" s="18"/>
      <c r="HQ41" s="26"/>
      <c r="HR41" s="18"/>
      <c r="HS41" s="26"/>
      <c r="HT41" s="18"/>
      <c r="HU41" s="18"/>
      <c r="HV41" s="18"/>
      <c r="HW41" s="18"/>
      <c r="HX41" s="18"/>
      <c r="HY41" s="18"/>
      <c r="HZ41" s="18"/>
      <c r="IA41" s="18"/>
      <c r="IB41" s="18"/>
      <c r="IC41" s="18"/>
      <c r="ID41" s="26"/>
      <c r="IE41" s="18"/>
      <c r="IF41" s="18"/>
      <c r="IG41" s="26"/>
      <c r="IH41" s="26"/>
      <c r="II41" s="18"/>
      <c r="IJ41" s="26">
        <v>1.0</v>
      </c>
      <c r="IK41" s="18"/>
      <c r="IL41" s="77"/>
      <c r="IM41" s="18"/>
      <c r="IN41" s="77"/>
      <c r="IO41" s="18"/>
      <c r="IP41" s="18"/>
      <c r="IQ41" s="18"/>
      <c r="IR41" s="18"/>
      <c r="IS41" s="18"/>
      <c r="IT41" s="18"/>
      <c r="IU41" s="26">
        <v>1.0</v>
      </c>
      <c r="IV41" s="18"/>
      <c r="IW41" s="18"/>
      <c r="IX41" s="18"/>
      <c r="IY41" s="18"/>
      <c r="IZ41" s="18"/>
      <c r="JA41" s="18"/>
      <c r="JB41" s="18"/>
      <c r="JC41" s="18"/>
      <c r="JD41" s="18"/>
      <c r="JE41" s="26"/>
      <c r="JF41" s="18"/>
      <c r="JG41" s="18"/>
      <c r="JH41" s="18"/>
      <c r="JI41" s="18"/>
      <c r="JJ41" s="18"/>
      <c r="JK41" s="18"/>
      <c r="JL41" s="18"/>
      <c r="JM41" s="26"/>
      <c r="JN41" s="18"/>
      <c r="JO41" s="18"/>
      <c r="JP41" s="18"/>
      <c r="JQ41" s="18"/>
      <c r="JR41" s="18"/>
      <c r="JS41" s="18"/>
      <c r="JT41" s="18"/>
      <c r="JU41" s="18"/>
      <c r="JV41" s="18"/>
      <c r="JW41" s="18"/>
      <c r="JX41" s="18"/>
      <c r="JY41" s="18"/>
      <c r="JZ41" s="18"/>
      <c r="KA41" s="18"/>
      <c r="KB41" s="18"/>
      <c r="KC41" s="18"/>
      <c r="KD41" s="18"/>
      <c r="KE41" s="18"/>
      <c r="KF41" s="26"/>
      <c r="KG41" s="26"/>
      <c r="KH41" s="18"/>
      <c r="KI41" s="26"/>
      <c r="KJ41" s="18"/>
      <c r="KK41" s="26"/>
      <c r="KL41" s="18"/>
      <c r="KM41" s="18"/>
      <c r="KN41" s="26">
        <v>1.0</v>
      </c>
      <c r="KO41" s="26">
        <v>1.0</v>
      </c>
      <c r="KP41" s="18"/>
      <c r="KQ41" s="26"/>
      <c r="KR41" s="77"/>
      <c r="KS41" s="18"/>
      <c r="KT41" s="18"/>
      <c r="KU41" s="26"/>
      <c r="KV41" s="26">
        <v>1.0</v>
      </c>
      <c r="KW41" s="18"/>
    </row>
    <row r="42">
      <c r="A42" s="27">
        <v>43.0</v>
      </c>
      <c r="B42" s="28">
        <f t="shared" si="2"/>
        <v>10</v>
      </c>
      <c r="C42" s="28"/>
      <c r="D42" s="30"/>
      <c r="E42" s="30"/>
      <c r="F42" s="41" t="s">
        <v>2597</v>
      </c>
      <c r="G42" s="88"/>
      <c r="H42" s="18"/>
      <c r="I42" s="18"/>
      <c r="J42" s="18"/>
      <c r="K42" s="18"/>
      <c r="L42" s="18"/>
      <c r="M42" s="83"/>
      <c r="N42" s="83"/>
      <c r="O42" s="83"/>
      <c r="P42" s="18"/>
      <c r="Q42" s="18"/>
      <c r="R42" s="18"/>
      <c r="S42" s="18"/>
      <c r="T42" s="18"/>
      <c r="U42" s="18"/>
      <c r="V42" s="18"/>
      <c r="W42" s="18"/>
      <c r="X42" s="18"/>
      <c r="Y42" s="18"/>
      <c r="Z42" s="18"/>
      <c r="AA42" s="18"/>
      <c r="AB42" s="18"/>
      <c r="AC42" s="18"/>
      <c r="AD42" s="18"/>
      <c r="AE42" s="18"/>
      <c r="AF42" s="18"/>
      <c r="AG42" s="18"/>
      <c r="AH42" s="26">
        <v>1.0</v>
      </c>
      <c r="AI42" s="18"/>
      <c r="AJ42" s="83"/>
      <c r="AK42" s="18"/>
      <c r="AL42" s="83"/>
      <c r="AM42" s="18"/>
      <c r="AN42" s="18"/>
      <c r="AO42" s="18"/>
      <c r="AP42" s="18"/>
      <c r="AQ42" s="18"/>
      <c r="AR42" s="18"/>
      <c r="AS42" s="18"/>
      <c r="AT42" s="18"/>
      <c r="AU42" s="18"/>
      <c r="AV42" s="18"/>
      <c r="AW42" s="83"/>
      <c r="AX42" s="83"/>
      <c r="AY42" s="18"/>
      <c r="AZ42" s="18"/>
      <c r="BA42" s="18"/>
      <c r="BB42" s="18"/>
      <c r="BC42" s="18"/>
      <c r="BD42" s="18"/>
      <c r="BE42" s="18"/>
      <c r="BF42" s="18"/>
      <c r="BG42" s="18"/>
      <c r="BH42" s="18"/>
      <c r="BI42" s="18"/>
      <c r="BJ42" s="83"/>
      <c r="BK42" s="18"/>
      <c r="BL42" s="18"/>
      <c r="BM42" s="18"/>
      <c r="BN42" s="77"/>
      <c r="BO42" s="83"/>
      <c r="BP42" s="18"/>
      <c r="BQ42" s="18"/>
      <c r="BR42" s="18"/>
      <c r="BS42" s="18"/>
      <c r="BT42" s="18"/>
      <c r="BU42" s="18"/>
      <c r="BV42" s="18"/>
      <c r="BW42" s="18"/>
      <c r="BX42" s="18"/>
      <c r="BY42" s="18"/>
      <c r="BZ42" s="83"/>
      <c r="CA42" s="26">
        <v>1.0</v>
      </c>
      <c r="CB42" s="18"/>
      <c r="CC42" s="18"/>
      <c r="CD42" s="18"/>
      <c r="CE42" s="83"/>
      <c r="CF42" s="18"/>
      <c r="CG42" s="18"/>
      <c r="CH42" s="18"/>
      <c r="CI42" s="26"/>
      <c r="CJ42" s="18"/>
      <c r="CK42" s="18"/>
      <c r="CL42" s="18"/>
      <c r="CM42" s="18"/>
      <c r="CN42" s="18"/>
      <c r="CO42" s="18"/>
      <c r="CP42" s="18"/>
      <c r="CQ42" s="18"/>
      <c r="CR42" s="18"/>
      <c r="CS42" s="26"/>
      <c r="CT42" s="18"/>
      <c r="CU42" s="18"/>
      <c r="CW42" s="18"/>
      <c r="CX42" s="18"/>
      <c r="CY42" s="18"/>
      <c r="CZ42" s="26"/>
      <c r="DA42" s="18"/>
      <c r="DB42" s="18"/>
      <c r="DC42" s="18"/>
      <c r="DD42" s="18"/>
      <c r="DE42" s="77"/>
      <c r="DF42" s="77"/>
      <c r="DG42" s="77"/>
      <c r="DH42" s="77"/>
      <c r="DI42" s="77"/>
      <c r="DJ42" s="77"/>
      <c r="DK42" s="26"/>
      <c r="DL42" s="18"/>
      <c r="DM42" s="18"/>
      <c r="DN42" s="77"/>
      <c r="DO42" s="18"/>
      <c r="DP42" s="18"/>
      <c r="DQ42" s="18"/>
      <c r="DR42" s="77"/>
      <c r="DS42" s="26"/>
      <c r="DT42" s="26"/>
      <c r="DU42" s="77"/>
      <c r="DV42" s="77"/>
      <c r="DW42" s="18"/>
      <c r="DX42" s="18"/>
      <c r="DY42" s="26"/>
      <c r="DZ42" s="77"/>
      <c r="EA42" s="18"/>
      <c r="EB42" s="77"/>
      <c r="EC42" s="18"/>
      <c r="ED42" s="77"/>
      <c r="EE42" s="26"/>
      <c r="EF42" s="18"/>
      <c r="EG42" s="18"/>
      <c r="EH42" s="26">
        <v>1.0</v>
      </c>
      <c r="EI42" s="18"/>
      <c r="EJ42" s="18"/>
      <c r="EK42" s="18"/>
      <c r="EL42" s="26"/>
      <c r="EM42" s="18"/>
      <c r="EN42" s="18"/>
      <c r="EO42" s="18"/>
      <c r="EP42" s="18"/>
      <c r="EQ42" s="18"/>
      <c r="ER42" s="18"/>
      <c r="ES42" s="18"/>
      <c r="ET42" s="26"/>
      <c r="EU42" s="18"/>
      <c r="EV42" s="18"/>
      <c r="EW42" s="18"/>
      <c r="EX42" s="18"/>
      <c r="EY42" s="18"/>
      <c r="EZ42" s="18"/>
      <c r="FA42" s="18"/>
      <c r="FB42" s="18"/>
      <c r="FC42" s="26">
        <v>1.0</v>
      </c>
      <c r="FD42" s="18"/>
      <c r="FE42" s="18"/>
      <c r="FF42" s="26">
        <v>1.0</v>
      </c>
      <c r="FG42" s="18"/>
      <c r="FH42" s="18"/>
      <c r="FI42" s="18"/>
      <c r="FJ42" s="18"/>
      <c r="FK42" s="18"/>
      <c r="FL42" s="26"/>
      <c r="FM42" s="18"/>
      <c r="FN42" s="18"/>
      <c r="FO42" s="18"/>
      <c r="FP42" s="18"/>
      <c r="FQ42" s="84"/>
      <c r="FR42" s="18"/>
      <c r="FS42" s="84"/>
      <c r="FT42" s="18"/>
      <c r="FU42" s="18"/>
      <c r="FV42" s="18"/>
      <c r="FW42" s="18"/>
      <c r="FX42" s="18"/>
      <c r="FY42" s="18"/>
      <c r="FZ42" s="18"/>
      <c r="GA42" s="18"/>
      <c r="GB42" s="84"/>
      <c r="GC42" s="18"/>
      <c r="GD42" s="18"/>
      <c r="GE42" s="18"/>
      <c r="GF42" s="18"/>
      <c r="GG42" s="84"/>
      <c r="GH42" s="18"/>
      <c r="GI42" s="18"/>
      <c r="GJ42" s="18"/>
      <c r="GK42" s="18"/>
      <c r="GL42" s="18"/>
      <c r="GM42" s="18"/>
      <c r="GN42" s="26">
        <v>1.0</v>
      </c>
      <c r="GO42" s="83"/>
      <c r="GP42" s="18"/>
      <c r="GQ42" s="18"/>
      <c r="GR42" s="18"/>
      <c r="GS42" s="18"/>
      <c r="GT42" s="18"/>
      <c r="GU42" s="18"/>
      <c r="GV42" s="84"/>
      <c r="GW42" s="18"/>
      <c r="GX42" s="26"/>
      <c r="GY42" s="18"/>
      <c r="GZ42" s="18"/>
      <c r="HA42" s="18"/>
      <c r="HB42" s="18"/>
      <c r="HC42" s="26">
        <v>1.0</v>
      </c>
      <c r="HD42" s="18"/>
      <c r="HE42" s="18"/>
      <c r="HF42" s="18"/>
      <c r="HG42" s="18"/>
      <c r="HH42" s="18"/>
      <c r="HI42" s="18"/>
      <c r="HJ42" s="18"/>
      <c r="HK42" s="26"/>
      <c r="HL42" s="18"/>
      <c r="HM42" s="18"/>
      <c r="HN42" s="26"/>
      <c r="HO42" s="18"/>
      <c r="HP42" s="26"/>
      <c r="HQ42" s="26">
        <v>1.0</v>
      </c>
      <c r="HR42" s="18"/>
      <c r="HS42" s="26"/>
      <c r="HT42" s="18"/>
      <c r="HU42" s="18"/>
      <c r="HV42" s="18"/>
      <c r="HW42" s="18"/>
      <c r="HX42" s="18"/>
      <c r="HY42" s="18"/>
      <c r="HZ42" s="26">
        <v>1.0</v>
      </c>
      <c r="IA42" s="18"/>
      <c r="IB42" s="18"/>
      <c r="IC42" s="18"/>
      <c r="ID42" s="26"/>
      <c r="IE42" s="18"/>
      <c r="IF42" s="18"/>
      <c r="IG42" s="26"/>
      <c r="IH42" s="26"/>
      <c r="II42" s="18"/>
      <c r="IJ42" s="18"/>
      <c r="IK42" s="18"/>
      <c r="IL42" s="77"/>
      <c r="IM42" s="18"/>
      <c r="IN42" s="77"/>
      <c r="IO42" s="18"/>
      <c r="IP42" s="18"/>
      <c r="IQ42" s="18"/>
      <c r="IR42" s="18"/>
      <c r="IS42" s="18"/>
      <c r="IT42" s="18"/>
      <c r="IU42" s="18"/>
      <c r="IV42" s="18"/>
      <c r="IW42" s="18"/>
      <c r="IX42" s="18"/>
      <c r="IY42" s="18"/>
      <c r="IZ42" s="18"/>
      <c r="JA42" s="18"/>
      <c r="JB42" s="18"/>
      <c r="JC42" s="18"/>
      <c r="JD42" s="18"/>
      <c r="JE42" s="26"/>
      <c r="JF42" s="18"/>
      <c r="JG42" s="18"/>
      <c r="JH42" s="18"/>
      <c r="JI42" s="18"/>
      <c r="JJ42" s="18"/>
      <c r="JK42" s="18"/>
      <c r="JL42" s="18"/>
      <c r="JM42" s="26"/>
      <c r="JN42" s="18"/>
      <c r="JO42" s="18"/>
      <c r="JP42" s="18"/>
      <c r="JQ42" s="18"/>
      <c r="JR42" s="18"/>
      <c r="JS42" s="18"/>
      <c r="JT42" s="18"/>
      <c r="JU42" s="18"/>
      <c r="JV42" s="18"/>
      <c r="JW42" s="18"/>
      <c r="JX42" s="18"/>
      <c r="JY42" s="18"/>
      <c r="JZ42" s="18"/>
      <c r="KA42" s="18"/>
      <c r="KB42" s="18"/>
      <c r="KC42" s="18"/>
      <c r="KD42" s="18"/>
      <c r="KE42" s="18"/>
      <c r="KF42" s="26"/>
      <c r="KG42" s="26"/>
      <c r="KH42" s="18"/>
      <c r="KI42" s="26"/>
      <c r="KJ42" s="18"/>
      <c r="KK42" s="26"/>
      <c r="KL42" s="18"/>
      <c r="KM42" s="18"/>
      <c r="KN42" s="26"/>
      <c r="KO42" s="26">
        <v>1.0</v>
      </c>
      <c r="KP42" s="18"/>
      <c r="KQ42" s="26"/>
      <c r="KR42" s="77"/>
      <c r="KS42" s="18"/>
      <c r="KT42" s="18"/>
      <c r="KU42" s="26"/>
      <c r="KV42" s="18"/>
      <c r="KW42" s="18"/>
    </row>
    <row r="43">
      <c r="A43" s="28">
        <v>44.0</v>
      </c>
      <c r="B43" s="28">
        <f t="shared" si="2"/>
        <v>13</v>
      </c>
      <c r="C43" s="28"/>
      <c r="D43" s="30"/>
      <c r="E43" s="30"/>
      <c r="F43" s="67" t="s">
        <v>2602</v>
      </c>
      <c r="G43" s="88"/>
      <c r="H43" s="18"/>
      <c r="I43" s="18"/>
      <c r="J43" s="26"/>
      <c r="K43" s="18"/>
      <c r="L43" s="18"/>
      <c r="M43" s="83"/>
      <c r="N43" s="83"/>
      <c r="O43" s="83"/>
      <c r="P43" s="18"/>
      <c r="Q43" s="18"/>
      <c r="R43" s="18"/>
      <c r="S43" s="18"/>
      <c r="T43" s="18"/>
      <c r="U43" s="26">
        <v>1.0</v>
      </c>
      <c r="V43" s="18"/>
      <c r="W43" s="18"/>
      <c r="X43" s="18"/>
      <c r="Y43" s="18"/>
      <c r="Z43" s="18"/>
      <c r="AA43" s="18"/>
      <c r="AB43" s="18"/>
      <c r="AC43" s="18"/>
      <c r="AD43" s="18"/>
      <c r="AE43" s="18"/>
      <c r="AF43" s="18"/>
      <c r="AG43" s="26">
        <v>1.0</v>
      </c>
      <c r="AH43" s="18"/>
      <c r="AI43" s="18"/>
      <c r="AJ43" s="83"/>
      <c r="AK43" s="18"/>
      <c r="AL43" s="83"/>
      <c r="AM43" s="18"/>
      <c r="AN43" s="18"/>
      <c r="AO43" s="18"/>
      <c r="AP43" s="18"/>
      <c r="AQ43" s="18"/>
      <c r="AR43" s="18"/>
      <c r="AS43" s="18"/>
      <c r="AT43" s="18"/>
      <c r="AU43" s="18"/>
      <c r="AV43" s="18"/>
      <c r="AW43" s="83"/>
      <c r="AX43" s="83"/>
      <c r="AY43" s="18"/>
      <c r="AZ43" s="18"/>
      <c r="BA43" s="18"/>
      <c r="BB43" s="18"/>
      <c r="BC43" s="18"/>
      <c r="BD43" s="18"/>
      <c r="BE43" s="18"/>
      <c r="BF43" s="18"/>
      <c r="BG43" s="18"/>
      <c r="BH43" s="18"/>
      <c r="BI43" s="26">
        <v>1.0</v>
      </c>
      <c r="BJ43" s="83"/>
      <c r="BK43" s="18"/>
      <c r="BL43" s="18"/>
      <c r="BM43" s="18"/>
      <c r="BN43" s="77"/>
      <c r="BO43" s="83"/>
      <c r="BP43" s="18"/>
      <c r="BQ43" s="18"/>
      <c r="BR43" s="18"/>
      <c r="BS43" s="18"/>
      <c r="BT43" s="18"/>
      <c r="BU43" s="18"/>
      <c r="BV43" s="18"/>
      <c r="BW43" s="18"/>
      <c r="BX43" s="18"/>
      <c r="BY43" s="18"/>
      <c r="BZ43" s="83"/>
      <c r="CA43" s="18"/>
      <c r="CB43" s="18"/>
      <c r="CC43" s="18"/>
      <c r="CD43" s="18"/>
      <c r="CE43" s="83"/>
      <c r="CF43" s="18"/>
      <c r="CG43" s="18"/>
      <c r="CH43" s="18"/>
      <c r="CI43" s="26"/>
      <c r="CJ43" s="18"/>
      <c r="CK43" s="18"/>
      <c r="CL43" s="18"/>
      <c r="CM43" s="18"/>
      <c r="CN43" s="18"/>
      <c r="CO43" s="18"/>
      <c r="CP43" s="18"/>
      <c r="CQ43" s="18"/>
      <c r="CR43" s="18"/>
      <c r="CS43" s="26"/>
      <c r="CT43" s="18"/>
      <c r="CU43" s="18"/>
      <c r="CW43" s="18"/>
      <c r="CX43" s="18"/>
      <c r="CY43" s="18"/>
      <c r="CZ43" s="26"/>
      <c r="DA43" s="18"/>
      <c r="DB43" s="18"/>
      <c r="DC43" s="18"/>
      <c r="DD43" s="18"/>
      <c r="DE43" s="77"/>
      <c r="DF43" s="77"/>
      <c r="DG43" s="77"/>
      <c r="DH43" s="77"/>
      <c r="DI43" s="77"/>
      <c r="DJ43" s="77"/>
      <c r="DK43" s="26"/>
      <c r="DL43" s="18"/>
      <c r="DM43" s="18"/>
      <c r="DN43" s="77"/>
      <c r="DO43" s="18"/>
      <c r="DP43" s="18"/>
      <c r="DQ43" s="18"/>
      <c r="DR43" s="77"/>
      <c r="DS43" s="26"/>
      <c r="DT43" s="26"/>
      <c r="DU43" s="77"/>
      <c r="DV43" s="77"/>
      <c r="DW43" s="18"/>
      <c r="DX43" s="18"/>
      <c r="DY43" s="26">
        <v>1.0</v>
      </c>
      <c r="DZ43" s="77"/>
      <c r="EA43" s="18"/>
      <c r="EB43" s="77"/>
      <c r="EC43" s="18"/>
      <c r="ED43" s="77"/>
      <c r="EE43" s="26"/>
      <c r="EF43" s="18"/>
      <c r="EG43" s="18"/>
      <c r="EH43" s="18"/>
      <c r="EI43" s="18"/>
      <c r="EJ43" s="18"/>
      <c r="EK43" s="18"/>
      <c r="EL43" s="26"/>
      <c r="EM43" s="18"/>
      <c r="EN43" s="18"/>
      <c r="EO43" s="18"/>
      <c r="EP43" s="18"/>
      <c r="EQ43" s="18"/>
      <c r="ER43" s="18"/>
      <c r="ES43" s="18"/>
      <c r="ET43" s="26"/>
      <c r="EU43" s="18"/>
      <c r="EV43" s="18"/>
      <c r="EW43" s="18"/>
      <c r="EX43" s="18"/>
      <c r="EY43" s="18"/>
      <c r="EZ43" s="18"/>
      <c r="FA43" s="18"/>
      <c r="FB43" s="26">
        <v>1.0</v>
      </c>
      <c r="FC43" s="26">
        <v>1.0</v>
      </c>
      <c r="FD43" s="18"/>
      <c r="FE43" s="18"/>
      <c r="FF43" s="18"/>
      <c r="FG43" s="18"/>
      <c r="FH43" s="18"/>
      <c r="FI43" s="18"/>
      <c r="FJ43" s="18"/>
      <c r="FK43" s="26">
        <v>1.0</v>
      </c>
      <c r="FL43" s="26"/>
      <c r="FM43" s="18"/>
      <c r="FN43" s="18"/>
      <c r="FO43" s="18"/>
      <c r="FP43" s="18"/>
      <c r="FQ43" s="84"/>
      <c r="FR43" s="18"/>
      <c r="FS43" s="84"/>
      <c r="FT43" s="18"/>
      <c r="FU43" s="26">
        <v>1.0</v>
      </c>
      <c r="FV43" s="18"/>
      <c r="FW43" s="18"/>
      <c r="FX43" s="18"/>
      <c r="FY43" s="18"/>
      <c r="FZ43" s="18"/>
      <c r="GA43" s="18"/>
      <c r="GB43" s="84"/>
      <c r="GC43" s="18"/>
      <c r="GD43" s="18"/>
      <c r="GE43" s="18"/>
      <c r="GF43" s="18"/>
      <c r="GG43" s="84"/>
      <c r="GH43" s="18"/>
      <c r="GI43" s="18"/>
      <c r="GJ43" s="18"/>
      <c r="GK43" s="18"/>
      <c r="GL43" s="18"/>
      <c r="GM43" s="18"/>
      <c r="GN43" s="18"/>
      <c r="GO43" s="83"/>
      <c r="GP43" s="26">
        <v>1.0</v>
      </c>
      <c r="GQ43" s="26">
        <v>1.0</v>
      </c>
      <c r="GR43" s="18"/>
      <c r="GS43" s="18"/>
      <c r="GT43" s="18"/>
      <c r="GU43" s="18"/>
      <c r="GV43" s="84"/>
      <c r="GW43" s="18"/>
      <c r="GX43" s="26">
        <v>1.0</v>
      </c>
      <c r="GY43" s="26"/>
      <c r="GZ43" s="18"/>
      <c r="HA43" s="18"/>
      <c r="HB43" s="18"/>
      <c r="HC43" s="26"/>
      <c r="HD43" s="18"/>
      <c r="HE43" s="18"/>
      <c r="HF43" s="18"/>
      <c r="HG43" s="18"/>
      <c r="HH43" s="18"/>
      <c r="HI43" s="18"/>
      <c r="HJ43" s="18"/>
      <c r="HK43" s="26"/>
      <c r="HL43" s="18"/>
      <c r="HM43" s="18"/>
      <c r="HN43" s="26"/>
      <c r="HO43" s="18"/>
      <c r="HP43" s="18"/>
      <c r="HQ43" s="26"/>
      <c r="HR43" s="18"/>
      <c r="HS43" s="26"/>
      <c r="HT43" s="18"/>
      <c r="HU43" s="18"/>
      <c r="HV43" s="18"/>
      <c r="HW43" s="18"/>
      <c r="HX43" s="18"/>
      <c r="HY43" s="18"/>
      <c r="HZ43" s="18"/>
      <c r="IA43" s="18"/>
      <c r="IB43" s="18"/>
      <c r="IC43" s="18"/>
      <c r="ID43" s="26"/>
      <c r="IE43" s="18"/>
      <c r="IF43" s="18"/>
      <c r="IG43" s="26"/>
      <c r="IH43" s="26">
        <v>1.0</v>
      </c>
      <c r="II43" s="18"/>
      <c r="IJ43" s="18"/>
      <c r="IK43" s="18"/>
      <c r="IL43" s="77"/>
      <c r="IM43" s="18"/>
      <c r="IN43" s="77"/>
      <c r="IO43" s="18"/>
      <c r="IP43" s="18"/>
      <c r="IQ43" s="18"/>
      <c r="IR43" s="18"/>
      <c r="IS43" s="18"/>
      <c r="IT43" s="18"/>
      <c r="IU43" s="18"/>
      <c r="IV43" s="26">
        <v>1.0</v>
      </c>
      <c r="IW43" s="18"/>
      <c r="IX43" s="18"/>
      <c r="IY43" s="18"/>
      <c r="IZ43" s="18"/>
      <c r="JA43" s="18"/>
      <c r="JB43" s="18"/>
      <c r="JC43" s="18"/>
      <c r="JD43" s="18"/>
      <c r="JE43" s="26"/>
      <c r="JF43" s="18"/>
      <c r="JG43" s="18"/>
      <c r="JH43" s="18"/>
      <c r="JI43" s="18"/>
      <c r="JJ43" s="18"/>
      <c r="JK43" s="18"/>
      <c r="JL43" s="18"/>
      <c r="JM43" s="26"/>
      <c r="JN43" s="18"/>
      <c r="JO43" s="18"/>
      <c r="JP43" s="18"/>
      <c r="JQ43" s="18"/>
      <c r="JR43" s="18"/>
      <c r="JS43" s="18"/>
      <c r="JT43" s="18"/>
      <c r="JU43" s="18"/>
      <c r="JV43" s="18"/>
      <c r="JW43" s="18"/>
      <c r="JX43" s="18"/>
      <c r="JY43" s="18"/>
      <c r="JZ43" s="18"/>
      <c r="KA43" s="18"/>
      <c r="KB43" s="18"/>
      <c r="KC43" s="18"/>
      <c r="KD43" s="18"/>
      <c r="KE43" s="18"/>
      <c r="KF43" s="26"/>
      <c r="KG43" s="26"/>
      <c r="KH43" s="18"/>
      <c r="KI43" s="26"/>
      <c r="KJ43" s="18"/>
      <c r="KK43" s="26"/>
      <c r="KL43" s="18"/>
      <c r="KM43" s="18"/>
      <c r="KN43" s="26"/>
      <c r="KO43" s="26"/>
      <c r="KP43" s="18"/>
      <c r="KQ43" s="26"/>
      <c r="KR43" s="77"/>
      <c r="KS43" s="18"/>
      <c r="KT43" s="18"/>
      <c r="KU43" s="26"/>
      <c r="KV43" s="18"/>
      <c r="KW43" s="18"/>
    </row>
    <row r="44">
      <c r="A44" s="28">
        <v>45.0</v>
      </c>
      <c r="B44" s="28">
        <f t="shared" si="2"/>
        <v>14</v>
      </c>
      <c r="C44" s="28"/>
      <c r="D44" s="30"/>
      <c r="E44" s="30"/>
      <c r="F44" s="41" t="s">
        <v>2607</v>
      </c>
      <c r="G44" s="88"/>
      <c r="H44" s="18"/>
      <c r="I44" s="18"/>
      <c r="J44" s="18"/>
      <c r="K44" s="18"/>
      <c r="L44" s="18"/>
      <c r="M44" s="83"/>
      <c r="N44" s="83"/>
      <c r="O44" s="83"/>
      <c r="P44" s="18"/>
      <c r="Q44" s="18"/>
      <c r="R44" s="18"/>
      <c r="S44" s="18"/>
      <c r="T44" s="18"/>
      <c r="U44" s="18"/>
      <c r="V44" s="18"/>
      <c r="W44" s="18"/>
      <c r="X44" s="18"/>
      <c r="Y44" s="26">
        <v>1.0</v>
      </c>
      <c r="Z44" s="18"/>
      <c r="AA44" s="18"/>
      <c r="AB44" s="18"/>
      <c r="AC44" s="18"/>
      <c r="AD44" s="26">
        <v>1.0</v>
      </c>
      <c r="AE44" s="18"/>
      <c r="AF44" s="18"/>
      <c r="AG44" s="18"/>
      <c r="AH44" s="18"/>
      <c r="AI44" s="18"/>
      <c r="AJ44" s="83"/>
      <c r="AK44" s="18"/>
      <c r="AL44" s="83"/>
      <c r="AM44" s="18"/>
      <c r="AN44" s="18"/>
      <c r="AO44" s="18"/>
      <c r="AP44" s="18"/>
      <c r="AQ44" s="18"/>
      <c r="AR44" s="18"/>
      <c r="AS44" s="18"/>
      <c r="AT44" s="18"/>
      <c r="AU44" s="18"/>
      <c r="AV44" s="18"/>
      <c r="AW44" s="83"/>
      <c r="AX44" s="83"/>
      <c r="AY44" s="18"/>
      <c r="AZ44" s="18"/>
      <c r="BA44" s="18"/>
      <c r="BB44" s="18"/>
      <c r="BC44" s="18"/>
      <c r="BD44" s="18"/>
      <c r="BE44" s="26">
        <v>1.0</v>
      </c>
      <c r="BF44" s="18"/>
      <c r="BG44" s="18"/>
      <c r="BH44" s="18"/>
      <c r="BI44" s="18"/>
      <c r="BJ44" s="83"/>
      <c r="BK44" s="18"/>
      <c r="BL44" s="18"/>
      <c r="BM44" s="18"/>
      <c r="BN44" s="77"/>
      <c r="BO44" s="83"/>
      <c r="BP44" s="18"/>
      <c r="BQ44" s="18"/>
      <c r="BR44" s="18"/>
      <c r="BS44" s="18"/>
      <c r="BT44" s="18"/>
      <c r="BU44" s="18"/>
      <c r="BV44" s="18"/>
      <c r="BW44" s="18"/>
      <c r="BX44" s="18"/>
      <c r="BY44" s="18"/>
      <c r="BZ44" s="83"/>
      <c r="CA44" s="18"/>
      <c r="CB44" s="18"/>
      <c r="CC44" s="18"/>
      <c r="CD44" s="18"/>
      <c r="CE44" s="83"/>
      <c r="CF44" s="18"/>
      <c r="CG44" s="18"/>
      <c r="CH44" s="18"/>
      <c r="CI44" s="26"/>
      <c r="CJ44" s="18"/>
      <c r="CK44" s="18"/>
      <c r="CL44" s="18"/>
      <c r="CM44" s="18"/>
      <c r="CN44" s="18"/>
      <c r="CO44" s="18"/>
      <c r="CP44" s="18"/>
      <c r="CQ44" s="18"/>
      <c r="CR44" s="18"/>
      <c r="CS44" s="26"/>
      <c r="CT44" s="18"/>
      <c r="CU44" s="18"/>
      <c r="CW44" s="18"/>
      <c r="CX44" s="18"/>
      <c r="CY44" s="18"/>
      <c r="CZ44" s="26"/>
      <c r="DA44" s="18"/>
      <c r="DB44" s="18"/>
      <c r="DC44" s="18"/>
      <c r="DD44" s="18"/>
      <c r="DE44" s="77"/>
      <c r="DF44" s="77"/>
      <c r="DG44" s="77"/>
      <c r="DH44" s="77"/>
      <c r="DI44" s="77"/>
      <c r="DJ44" s="77"/>
      <c r="DK44" s="26"/>
      <c r="DL44" s="18"/>
      <c r="DM44" s="18"/>
      <c r="DN44" s="77"/>
      <c r="DO44" s="18"/>
      <c r="DP44" s="18"/>
      <c r="DQ44" s="18"/>
      <c r="DR44" s="77"/>
      <c r="DS44" s="26"/>
      <c r="DT44" s="26"/>
      <c r="DU44" s="77"/>
      <c r="DV44" s="77"/>
      <c r="DW44" s="18"/>
      <c r="DX44" s="18"/>
      <c r="DY44" s="26"/>
      <c r="DZ44" s="77"/>
      <c r="EA44" s="18"/>
      <c r="EB44" s="77"/>
      <c r="EC44" s="18"/>
      <c r="ED44" s="77"/>
      <c r="EE44" s="26"/>
      <c r="EF44" s="18"/>
      <c r="EG44" s="18"/>
      <c r="EH44" s="18"/>
      <c r="EI44" s="18"/>
      <c r="EJ44" s="18"/>
      <c r="EK44" s="18"/>
      <c r="EL44" s="26"/>
      <c r="EM44" s="18"/>
      <c r="EN44" s="18"/>
      <c r="EO44" s="18"/>
      <c r="EP44" s="18"/>
      <c r="EQ44" s="18"/>
      <c r="ER44" s="18"/>
      <c r="ES44" s="18"/>
      <c r="ET44" s="26"/>
      <c r="EU44" s="18"/>
      <c r="EV44" s="26">
        <v>1.0</v>
      </c>
      <c r="EW44" s="18"/>
      <c r="EX44" s="18"/>
      <c r="EY44" s="18"/>
      <c r="EZ44" s="18"/>
      <c r="FA44" s="18"/>
      <c r="FB44" s="18"/>
      <c r="FC44" s="18"/>
      <c r="FD44" s="18"/>
      <c r="FE44" s="18"/>
      <c r="FF44" s="18"/>
      <c r="FG44" s="18"/>
      <c r="FH44" s="18"/>
      <c r="FI44" s="18"/>
      <c r="FJ44" s="18"/>
      <c r="FK44" s="18"/>
      <c r="FL44" s="26"/>
      <c r="FM44" s="18"/>
      <c r="FN44" s="18"/>
      <c r="FO44" s="18"/>
      <c r="FP44" s="18"/>
      <c r="FQ44" s="84"/>
      <c r="FR44" s="18"/>
      <c r="FS44" s="84"/>
      <c r="FT44" s="18"/>
      <c r="FU44" s="18"/>
      <c r="FV44" s="18"/>
      <c r="FW44" s="18"/>
      <c r="FX44" s="18"/>
      <c r="FY44" s="26">
        <v>1.0</v>
      </c>
      <c r="FZ44" s="18"/>
      <c r="GA44" s="18"/>
      <c r="GB44" s="84"/>
      <c r="GC44" s="26">
        <v>1.0</v>
      </c>
      <c r="GD44" s="18"/>
      <c r="GE44" s="18"/>
      <c r="GF44" s="18"/>
      <c r="GG44" s="84"/>
      <c r="GH44" s="26">
        <v>1.0</v>
      </c>
      <c r="GI44" s="18"/>
      <c r="GJ44" s="18"/>
      <c r="GK44" s="26">
        <v>1.0</v>
      </c>
      <c r="GL44" s="18"/>
      <c r="GM44" s="18"/>
      <c r="GN44" s="18"/>
      <c r="GO44" s="83"/>
      <c r="GP44" s="26">
        <v>1.0</v>
      </c>
      <c r="GQ44" s="18"/>
      <c r="GR44" s="18"/>
      <c r="GS44" s="18"/>
      <c r="GT44" s="18"/>
      <c r="GU44" s="18"/>
      <c r="GV44" s="84"/>
      <c r="GW44" s="18"/>
      <c r="GX44" s="26"/>
      <c r="GY44" s="18"/>
      <c r="GZ44" s="18"/>
      <c r="HA44" s="18"/>
      <c r="HB44" s="18"/>
      <c r="HC44" s="26"/>
      <c r="HD44" s="18"/>
      <c r="HE44" s="18"/>
      <c r="HF44" s="18"/>
      <c r="HG44" s="18"/>
      <c r="HH44" s="18"/>
      <c r="HI44" s="18"/>
      <c r="HJ44" s="18"/>
      <c r="HK44" s="26"/>
      <c r="HL44" s="18"/>
      <c r="HM44" s="18"/>
      <c r="HN44" s="26"/>
      <c r="HO44" s="18"/>
      <c r="HP44" s="18"/>
      <c r="HQ44" s="26"/>
      <c r="HR44" s="18"/>
      <c r="HS44" s="26"/>
      <c r="HT44" s="26">
        <v>1.0</v>
      </c>
      <c r="HU44" s="26">
        <v>1.0</v>
      </c>
      <c r="HV44" s="18"/>
      <c r="HW44" s="18"/>
      <c r="HX44" s="18"/>
      <c r="HY44" s="18"/>
      <c r="HZ44" s="18"/>
      <c r="IA44" s="18"/>
      <c r="IB44" s="18"/>
      <c r="IC44" s="18"/>
      <c r="ID44" s="26"/>
      <c r="IE44" s="18"/>
      <c r="IF44" s="18"/>
      <c r="IG44" s="26"/>
      <c r="IH44" s="26">
        <v>1.0</v>
      </c>
      <c r="II44" s="18"/>
      <c r="IJ44" s="18"/>
      <c r="IK44" s="18"/>
      <c r="IL44" s="77"/>
      <c r="IM44" s="18"/>
      <c r="IN44" s="77"/>
      <c r="IO44" s="26">
        <v>1.0</v>
      </c>
      <c r="IP44" s="18"/>
      <c r="IQ44" s="18"/>
      <c r="IR44" s="18"/>
      <c r="IS44" s="18"/>
      <c r="IT44" s="18"/>
      <c r="IU44" s="26">
        <v>1.0</v>
      </c>
      <c r="IV44" s="18"/>
      <c r="IW44" s="18"/>
      <c r="IX44" s="18"/>
      <c r="IY44" s="18"/>
      <c r="IZ44" s="18"/>
      <c r="JA44" s="18"/>
      <c r="JB44" s="18"/>
      <c r="JC44" s="18"/>
      <c r="JD44" s="18"/>
      <c r="JE44" s="26"/>
      <c r="JF44" s="18"/>
      <c r="JG44" s="18"/>
      <c r="JH44" s="18"/>
      <c r="JI44" s="18"/>
      <c r="JJ44" s="18"/>
      <c r="JK44" s="18"/>
      <c r="JL44" s="18"/>
      <c r="JM44" s="26"/>
      <c r="JN44" s="18"/>
      <c r="JO44" s="18"/>
      <c r="JP44" s="18"/>
      <c r="JQ44" s="18"/>
      <c r="JR44" s="18"/>
      <c r="JS44" s="18"/>
      <c r="JT44" s="18"/>
      <c r="JU44" s="18"/>
      <c r="JV44" s="18"/>
      <c r="JW44" s="18"/>
      <c r="JX44" s="18"/>
      <c r="JY44" s="18"/>
      <c r="JZ44" s="18"/>
      <c r="KA44" s="18"/>
      <c r="KB44" s="18"/>
      <c r="KC44" s="18"/>
      <c r="KD44" s="18"/>
      <c r="KE44" s="18"/>
      <c r="KF44" s="26"/>
      <c r="KG44" s="26"/>
      <c r="KH44" s="18"/>
      <c r="KI44" s="26"/>
      <c r="KJ44" s="18"/>
      <c r="KK44" s="26"/>
      <c r="KL44" s="18"/>
      <c r="KM44" s="18"/>
      <c r="KN44" s="26"/>
      <c r="KO44" s="26"/>
      <c r="KP44" s="18"/>
      <c r="KQ44" s="26"/>
      <c r="KR44" s="77"/>
      <c r="KS44" s="18"/>
      <c r="KT44" s="18"/>
      <c r="KU44" s="26"/>
      <c r="KV44" s="18"/>
      <c r="KW44" s="18"/>
    </row>
    <row r="45">
      <c r="A45" s="27">
        <v>46.0</v>
      </c>
      <c r="B45" s="28">
        <f t="shared" si="2"/>
        <v>14</v>
      </c>
      <c r="C45" s="28"/>
      <c r="D45" s="30"/>
      <c r="E45" s="30"/>
      <c r="F45" s="67" t="s">
        <v>2612</v>
      </c>
      <c r="G45" s="88"/>
      <c r="H45" s="18"/>
      <c r="I45" s="18"/>
      <c r="J45" s="18"/>
      <c r="K45" s="18"/>
      <c r="L45" s="18"/>
      <c r="M45" s="83"/>
      <c r="N45" s="83"/>
      <c r="O45" s="83"/>
      <c r="P45" s="18"/>
      <c r="Q45" s="18"/>
      <c r="R45" s="18"/>
      <c r="S45" s="18"/>
      <c r="T45" s="18"/>
      <c r="U45" s="18"/>
      <c r="V45" s="18"/>
      <c r="W45" s="18"/>
      <c r="X45" s="18"/>
      <c r="Y45" s="18"/>
      <c r="Z45" s="18"/>
      <c r="AA45" s="18"/>
      <c r="AB45" s="18"/>
      <c r="AC45" s="18"/>
      <c r="AD45" s="18"/>
      <c r="AE45" s="18"/>
      <c r="AF45" s="18"/>
      <c r="AG45" s="26">
        <v>1.0</v>
      </c>
      <c r="AH45" s="18"/>
      <c r="AI45" s="18"/>
      <c r="AJ45" s="83"/>
      <c r="AK45" s="18"/>
      <c r="AL45" s="83"/>
      <c r="AM45" s="18"/>
      <c r="AN45" s="18"/>
      <c r="AO45" s="18"/>
      <c r="AP45" s="18"/>
      <c r="AQ45" s="18"/>
      <c r="AR45" s="18"/>
      <c r="AS45" s="18"/>
      <c r="AT45" s="18"/>
      <c r="AU45" s="18"/>
      <c r="AV45" s="18"/>
      <c r="AW45" s="83"/>
      <c r="AX45" s="83"/>
      <c r="AY45" s="18"/>
      <c r="AZ45" s="18"/>
      <c r="BA45" s="18"/>
      <c r="BB45" s="18"/>
      <c r="BC45" s="18"/>
      <c r="BD45" s="18"/>
      <c r="BE45" s="18"/>
      <c r="BF45" s="18"/>
      <c r="BG45" s="18"/>
      <c r="BH45" s="18"/>
      <c r="BI45" s="18"/>
      <c r="BJ45" s="83"/>
      <c r="BK45" s="26">
        <v>1.0</v>
      </c>
      <c r="BL45" s="18"/>
      <c r="BM45" s="26">
        <v>1.0</v>
      </c>
      <c r="BN45" s="77"/>
      <c r="BO45" s="83"/>
      <c r="BP45" s="18"/>
      <c r="BQ45" s="18"/>
      <c r="BR45" s="18"/>
      <c r="BS45" s="18"/>
      <c r="BT45" s="18"/>
      <c r="BU45" s="18"/>
      <c r="BV45" s="18"/>
      <c r="BW45" s="18"/>
      <c r="BX45" s="18"/>
      <c r="BY45" s="18"/>
      <c r="BZ45" s="83"/>
      <c r="CA45" s="18"/>
      <c r="CB45" s="18"/>
      <c r="CC45" s="18"/>
      <c r="CD45" s="18"/>
      <c r="CE45" s="83"/>
      <c r="CF45" s="18"/>
      <c r="CG45" s="18"/>
      <c r="CH45" s="18"/>
      <c r="CI45" s="26"/>
      <c r="CJ45" s="18"/>
      <c r="CK45" s="18"/>
      <c r="CL45" s="18"/>
      <c r="CM45" s="18"/>
      <c r="CN45" s="18"/>
      <c r="CO45" s="18"/>
      <c r="CP45" s="18"/>
      <c r="CQ45" s="18"/>
      <c r="CR45" s="26">
        <v>1.0</v>
      </c>
      <c r="CS45" s="26">
        <v>1.0</v>
      </c>
      <c r="CT45" s="18"/>
      <c r="CU45" s="18"/>
      <c r="CW45" s="18"/>
      <c r="CX45" s="18"/>
      <c r="CY45" s="18"/>
      <c r="CZ45" s="26"/>
      <c r="DA45" s="18"/>
      <c r="DB45" s="18"/>
      <c r="DC45" s="18"/>
      <c r="DD45" s="18"/>
      <c r="DE45" s="77"/>
      <c r="DF45" s="77"/>
      <c r="DG45" s="77"/>
      <c r="DH45" s="77"/>
      <c r="DI45" s="77"/>
      <c r="DJ45" s="77"/>
      <c r="DK45" s="26"/>
      <c r="DL45" s="18"/>
      <c r="DM45" s="18"/>
      <c r="DN45" s="77"/>
      <c r="DO45" s="18"/>
      <c r="DP45" s="18"/>
      <c r="DQ45" s="18"/>
      <c r="DR45" s="77"/>
      <c r="DS45" s="26"/>
      <c r="DT45" s="26"/>
      <c r="DU45" s="77"/>
      <c r="DV45" s="77"/>
      <c r="DW45" s="18"/>
      <c r="DX45" s="18"/>
      <c r="DY45" s="26"/>
      <c r="DZ45" s="77"/>
      <c r="EA45" s="18"/>
      <c r="EB45" s="77"/>
      <c r="EC45" s="18"/>
      <c r="ED45" s="77"/>
      <c r="EE45" s="26"/>
      <c r="EF45" s="18"/>
      <c r="EG45" s="18"/>
      <c r="EH45" s="18"/>
      <c r="EI45" s="18"/>
      <c r="EJ45" s="18"/>
      <c r="EK45" s="18"/>
      <c r="EL45" s="26"/>
      <c r="EM45" s="18"/>
      <c r="EN45" s="18"/>
      <c r="EO45" s="18"/>
      <c r="EP45" s="18"/>
      <c r="EQ45" s="18"/>
      <c r="ER45" s="18"/>
      <c r="ES45" s="18"/>
      <c r="ET45" s="26"/>
      <c r="EU45" s="18"/>
      <c r="EV45" s="18"/>
      <c r="EW45" s="18"/>
      <c r="EX45" s="18"/>
      <c r="EY45" s="18"/>
      <c r="EZ45" s="18"/>
      <c r="FA45" s="18"/>
      <c r="FB45" s="18"/>
      <c r="FC45" s="18"/>
      <c r="FD45" s="18"/>
      <c r="FE45" s="18"/>
      <c r="FF45" s="18"/>
      <c r="FH45" s="18"/>
      <c r="FI45" s="18"/>
      <c r="FJ45" s="18"/>
      <c r="FK45" s="18"/>
      <c r="FL45" s="26"/>
      <c r="FM45" s="18"/>
      <c r="FN45" s="18"/>
      <c r="FO45" s="18"/>
      <c r="FP45" s="18"/>
      <c r="FQ45" s="84"/>
      <c r="FR45" s="18"/>
      <c r="FS45" s="84"/>
      <c r="FT45" s="18"/>
      <c r="FU45" s="18"/>
      <c r="FV45" s="18"/>
      <c r="FW45" s="18"/>
      <c r="FX45" s="18"/>
      <c r="FZ45" s="18"/>
      <c r="GA45" s="18"/>
      <c r="GB45" s="84"/>
      <c r="GD45" s="18"/>
      <c r="GE45" s="18"/>
      <c r="GF45" s="18"/>
      <c r="GG45" s="84"/>
      <c r="GI45" s="18"/>
      <c r="GJ45" s="18"/>
      <c r="GK45" s="18"/>
      <c r="GL45" s="26">
        <v>1.0</v>
      </c>
      <c r="GM45" s="18"/>
      <c r="GN45" s="18"/>
      <c r="GO45" s="83"/>
      <c r="GP45" s="18"/>
      <c r="GQ45" s="18"/>
      <c r="GR45" s="18"/>
      <c r="GS45" s="18"/>
      <c r="GT45" s="18"/>
      <c r="GU45" s="18"/>
      <c r="GV45" s="78">
        <v>1.0</v>
      </c>
      <c r="GW45" s="18"/>
      <c r="GX45" s="26"/>
      <c r="GY45" s="18"/>
      <c r="GZ45" s="18"/>
      <c r="HA45" s="18"/>
      <c r="HB45" s="18"/>
      <c r="HC45" s="26"/>
      <c r="HD45" s="18"/>
      <c r="HE45" s="26">
        <v>1.0</v>
      </c>
      <c r="HF45" s="18"/>
      <c r="HG45" s="18"/>
      <c r="HH45" s="18"/>
      <c r="HI45" s="18"/>
      <c r="HJ45" s="18"/>
      <c r="HK45" s="26"/>
      <c r="HL45" s="18"/>
      <c r="HM45" s="18"/>
      <c r="HN45" s="26"/>
      <c r="HO45" s="18"/>
      <c r="HP45" s="18"/>
      <c r="HQ45" s="26"/>
      <c r="HR45" s="18"/>
      <c r="HS45" s="26"/>
      <c r="HT45" s="18"/>
      <c r="HU45" s="18"/>
      <c r="HV45" s="18"/>
      <c r="HW45" s="18"/>
      <c r="HX45" s="18"/>
      <c r="HY45" s="18"/>
      <c r="HZ45" s="18"/>
      <c r="IA45" s="18"/>
      <c r="IB45" s="18"/>
      <c r="IC45" s="18"/>
      <c r="ID45" s="26"/>
      <c r="IE45" s="18"/>
      <c r="IF45" s="26">
        <v>1.0</v>
      </c>
      <c r="IG45" s="26"/>
      <c r="IH45" s="26"/>
      <c r="II45" s="18"/>
      <c r="IJ45" s="18"/>
      <c r="IK45" s="18"/>
      <c r="IL45" s="77"/>
      <c r="IM45" s="18"/>
      <c r="IN45" s="77"/>
      <c r="IO45" s="18"/>
      <c r="IP45" s="18"/>
      <c r="IQ45" s="26">
        <v>1.0</v>
      </c>
      <c r="IR45" s="18"/>
      <c r="IS45" s="18"/>
      <c r="IT45" s="26">
        <v>1.0</v>
      </c>
      <c r="IU45" s="18"/>
      <c r="IV45" s="26">
        <v>1.0</v>
      </c>
      <c r="IW45" s="18"/>
      <c r="IX45" s="18"/>
      <c r="IY45" s="18"/>
      <c r="IZ45" s="18"/>
      <c r="JA45" s="18"/>
      <c r="JB45" s="18"/>
      <c r="JC45" s="18"/>
      <c r="JD45" s="18"/>
      <c r="JE45" s="26"/>
      <c r="JF45" s="18"/>
      <c r="JG45" s="18"/>
      <c r="JH45" s="18"/>
      <c r="JI45" s="18"/>
      <c r="JJ45" s="18"/>
      <c r="JK45" s="18"/>
      <c r="JL45" s="18"/>
      <c r="JM45" s="26"/>
      <c r="JN45" s="18"/>
      <c r="JO45" s="18"/>
      <c r="JP45" s="18"/>
      <c r="JQ45" s="18"/>
      <c r="JR45" s="18"/>
      <c r="JS45" s="18"/>
      <c r="JT45" s="18"/>
      <c r="JU45" s="18"/>
      <c r="JV45" s="18"/>
      <c r="JW45" s="18"/>
      <c r="JX45" s="18"/>
      <c r="JY45" s="18"/>
      <c r="JZ45" s="18"/>
      <c r="KA45" s="18"/>
      <c r="KB45" s="18"/>
      <c r="KC45" s="18"/>
      <c r="KD45" s="18"/>
      <c r="KE45" s="18"/>
      <c r="KF45" s="26"/>
      <c r="KG45" s="26"/>
      <c r="KH45" s="18"/>
      <c r="KI45" s="26">
        <v>1.0</v>
      </c>
      <c r="KJ45" s="18"/>
      <c r="KK45" s="26"/>
      <c r="KL45" s="18"/>
      <c r="KM45" s="18"/>
      <c r="KN45" s="26"/>
      <c r="KO45" s="26"/>
      <c r="KP45" s="18"/>
      <c r="KQ45" s="26">
        <v>1.0</v>
      </c>
      <c r="KR45" s="77"/>
      <c r="KS45" s="18"/>
      <c r="KT45" s="18"/>
      <c r="KU45" s="26"/>
      <c r="KV45" s="18"/>
      <c r="KW45" s="18"/>
    </row>
    <row r="46">
      <c r="A46" s="28">
        <v>47.0</v>
      </c>
      <c r="B46" s="28">
        <f t="shared" si="2"/>
        <v>14</v>
      </c>
      <c r="C46" s="28"/>
      <c r="D46" s="30"/>
      <c r="E46" s="30"/>
      <c r="F46" s="67" t="s">
        <v>2618</v>
      </c>
      <c r="G46" s="88"/>
      <c r="H46" s="18"/>
      <c r="I46" s="18"/>
      <c r="J46" s="18"/>
      <c r="K46" s="18"/>
      <c r="L46" s="18"/>
      <c r="M46" s="83"/>
      <c r="N46" s="83"/>
      <c r="O46" s="83"/>
      <c r="P46" s="18"/>
      <c r="Q46" s="18"/>
      <c r="R46" s="26">
        <v>1.0</v>
      </c>
      <c r="S46" s="18"/>
      <c r="T46" s="18"/>
      <c r="U46" s="18"/>
      <c r="V46" s="18"/>
      <c r="W46" s="18"/>
      <c r="X46" s="18"/>
      <c r="Y46" s="18"/>
      <c r="Z46" s="18"/>
      <c r="AA46" s="18"/>
      <c r="AB46" s="18"/>
      <c r="AC46" s="18"/>
      <c r="AD46" s="18"/>
      <c r="AE46" s="18"/>
      <c r="AF46" s="18"/>
      <c r="AG46" s="18"/>
      <c r="AH46" s="18"/>
      <c r="AI46" s="18"/>
      <c r="AJ46" s="83"/>
      <c r="AK46" s="18"/>
      <c r="AL46" s="83"/>
      <c r="AM46" s="18"/>
      <c r="AN46" s="18"/>
      <c r="AO46" s="18"/>
      <c r="AP46" s="18"/>
      <c r="AQ46" s="18"/>
      <c r="AR46" s="18"/>
      <c r="AS46" s="18"/>
      <c r="AT46" s="18"/>
      <c r="AU46" s="18"/>
      <c r="AV46" s="18"/>
      <c r="AW46" s="83"/>
      <c r="AX46" s="83"/>
      <c r="AY46" s="26">
        <v>1.0</v>
      </c>
      <c r="AZ46" s="18"/>
      <c r="BA46" s="18"/>
      <c r="BB46" s="18"/>
      <c r="BC46" s="18"/>
      <c r="BD46" s="18"/>
      <c r="BE46" s="18"/>
      <c r="BF46" s="18"/>
      <c r="BG46" s="18"/>
      <c r="BH46" s="18"/>
      <c r="BI46" s="18"/>
      <c r="BJ46" s="83"/>
      <c r="BK46" s="26"/>
      <c r="BL46" s="18"/>
      <c r="BM46" s="18"/>
      <c r="BN46" s="77"/>
      <c r="BO46" s="83"/>
      <c r="BP46" s="18"/>
      <c r="BQ46" s="18"/>
      <c r="BR46" s="18"/>
      <c r="BS46" s="18"/>
      <c r="BT46" s="18"/>
      <c r="BU46" s="18"/>
      <c r="BV46" s="18"/>
      <c r="BW46" s="18"/>
      <c r="BX46" s="18"/>
      <c r="BY46" s="18"/>
      <c r="BZ46" s="83"/>
      <c r="CA46" s="18"/>
      <c r="CB46" s="18"/>
      <c r="CC46" s="18"/>
      <c r="CD46" s="18"/>
      <c r="CE46" s="83"/>
      <c r="CF46" s="18"/>
      <c r="CG46" s="18"/>
      <c r="CH46" s="18"/>
      <c r="CI46" s="26"/>
      <c r="CJ46" s="18"/>
      <c r="CK46" s="18"/>
      <c r="CL46" s="18"/>
      <c r="CM46" s="18"/>
      <c r="CN46" s="18"/>
      <c r="CO46" s="18"/>
      <c r="CP46" s="18"/>
      <c r="CQ46" s="18"/>
      <c r="CR46" s="18"/>
      <c r="CS46" s="26"/>
      <c r="CT46" s="18"/>
      <c r="CU46" s="18"/>
      <c r="CW46" s="18"/>
      <c r="CX46" s="18"/>
      <c r="CY46" s="18"/>
      <c r="CZ46" s="26"/>
      <c r="DA46" s="18"/>
      <c r="DB46" s="18"/>
      <c r="DC46" s="18"/>
      <c r="DD46" s="18"/>
      <c r="DE46" s="77"/>
      <c r="DF46" s="77"/>
      <c r="DG46" s="77"/>
      <c r="DH46" s="77"/>
      <c r="DI46" s="77"/>
      <c r="DJ46" s="77"/>
      <c r="DK46" s="26"/>
      <c r="DL46" s="18"/>
      <c r="DM46" s="18"/>
      <c r="DN46" s="77"/>
      <c r="DO46" s="18"/>
      <c r="DP46" s="18"/>
      <c r="DQ46" s="18"/>
      <c r="DR46" s="77"/>
      <c r="DS46" s="26"/>
      <c r="DT46" s="26"/>
      <c r="DU46" s="77"/>
      <c r="DV46" s="77"/>
      <c r="DW46" s="18"/>
      <c r="DX46" s="18"/>
      <c r="DY46" s="26"/>
      <c r="DZ46" s="77"/>
      <c r="EA46" s="18"/>
      <c r="EB46" s="77"/>
      <c r="EC46" s="18"/>
      <c r="ED46" s="77"/>
      <c r="EE46" s="26"/>
      <c r="EF46" s="18"/>
      <c r="EG46" s="18"/>
      <c r="EH46" s="18"/>
      <c r="EI46" s="18"/>
      <c r="EJ46" s="18"/>
      <c r="EK46" s="18"/>
      <c r="EL46" s="26"/>
      <c r="EM46" s="18"/>
      <c r="EN46" s="18"/>
      <c r="EO46" s="18"/>
      <c r="EP46" s="18"/>
      <c r="EQ46" s="18"/>
      <c r="ER46" s="18"/>
      <c r="ES46" s="18"/>
      <c r="ET46" s="26"/>
      <c r="EU46" s="26">
        <v>1.0</v>
      </c>
      <c r="EV46" s="18"/>
      <c r="EW46" s="18"/>
      <c r="EX46" s="18"/>
      <c r="EY46" s="18"/>
      <c r="EZ46" s="18"/>
      <c r="FA46" s="18"/>
      <c r="FB46" s="18"/>
      <c r="FC46" s="18"/>
      <c r="FD46" s="18"/>
      <c r="FE46" s="18"/>
      <c r="FF46" s="18"/>
      <c r="FG46" s="26">
        <v>1.0</v>
      </c>
      <c r="FH46" s="18"/>
      <c r="FI46" s="18"/>
      <c r="FJ46" s="18"/>
      <c r="FK46" s="18"/>
      <c r="FL46" s="26"/>
      <c r="FM46" s="18"/>
      <c r="FN46" s="18"/>
      <c r="FO46" s="18"/>
      <c r="FP46" s="18"/>
      <c r="FQ46" s="84"/>
      <c r="FR46" s="18"/>
      <c r="FS46" s="84"/>
      <c r="FT46" s="18"/>
      <c r="FU46" s="26">
        <v>1.0</v>
      </c>
      <c r="FV46" s="18"/>
      <c r="FW46" s="18"/>
      <c r="FX46" s="18"/>
      <c r="FY46" s="18"/>
      <c r="FZ46" s="26">
        <v>1.0</v>
      </c>
      <c r="GA46" s="18"/>
      <c r="GB46" s="84"/>
      <c r="GC46" s="18"/>
      <c r="GD46" s="18"/>
      <c r="GE46" s="18"/>
      <c r="GF46" s="18"/>
      <c r="GG46" s="84"/>
      <c r="GH46" s="18"/>
      <c r="GI46" s="26">
        <v>1.0</v>
      </c>
      <c r="GJ46" s="26">
        <v>1.0</v>
      </c>
      <c r="GK46" s="18"/>
      <c r="GL46" s="18"/>
      <c r="GM46" s="18"/>
      <c r="GN46" s="18"/>
      <c r="GO46" s="83"/>
      <c r="GP46" s="18"/>
      <c r="GQ46" s="18"/>
      <c r="GR46" s="18"/>
      <c r="GS46" s="18"/>
      <c r="GT46" s="18"/>
      <c r="GU46" s="18"/>
      <c r="GV46" s="78">
        <v>1.0</v>
      </c>
      <c r="GW46" s="18"/>
      <c r="GX46" s="26"/>
      <c r="GY46" s="18"/>
      <c r="GZ46" s="18"/>
      <c r="HA46" s="18"/>
      <c r="HB46" s="18"/>
      <c r="HC46" s="26"/>
      <c r="HD46" s="18"/>
      <c r="HE46" s="26">
        <v>1.0</v>
      </c>
      <c r="HF46" s="18"/>
      <c r="HG46" s="18"/>
      <c r="HH46" s="18"/>
      <c r="HI46" s="18"/>
      <c r="HJ46" s="18"/>
      <c r="HK46" s="26"/>
      <c r="HL46" s="18"/>
      <c r="HM46" s="26">
        <v>1.0</v>
      </c>
      <c r="HN46" s="26"/>
      <c r="HO46" s="18"/>
      <c r="HP46" s="18"/>
      <c r="HQ46" s="26"/>
      <c r="HR46" s="18"/>
      <c r="HS46" s="26"/>
      <c r="HT46" s="18"/>
      <c r="HU46" s="18"/>
      <c r="HV46" s="18"/>
      <c r="HW46" s="18"/>
      <c r="HX46" s="18"/>
      <c r="HY46" s="18"/>
      <c r="HZ46" s="18"/>
      <c r="IA46" s="18"/>
      <c r="IB46" s="18"/>
      <c r="IC46" s="18"/>
      <c r="ID46" s="26"/>
      <c r="IE46" s="18"/>
      <c r="IF46" s="18"/>
      <c r="IG46" s="26"/>
      <c r="IH46" s="26"/>
      <c r="II46" s="18"/>
      <c r="IJ46" s="18"/>
      <c r="IK46" s="18"/>
      <c r="IL46" s="77"/>
      <c r="IM46" s="18"/>
      <c r="IN46" s="77"/>
      <c r="IO46" s="18"/>
      <c r="IP46" s="18"/>
      <c r="IQ46" s="26">
        <v>1.0</v>
      </c>
      <c r="IR46" s="18"/>
      <c r="IS46" s="18"/>
      <c r="IT46" s="18"/>
      <c r="IU46" s="18"/>
      <c r="IV46" s="18"/>
      <c r="IW46" s="18"/>
      <c r="IX46" s="18"/>
      <c r="IY46" s="18"/>
      <c r="IZ46" s="18"/>
      <c r="JA46" s="18"/>
      <c r="JB46" s="18"/>
      <c r="JC46" s="18"/>
      <c r="JD46" s="18"/>
      <c r="JE46" s="26">
        <v>1.0</v>
      </c>
      <c r="JF46" s="18"/>
      <c r="JG46" s="18"/>
      <c r="JH46" s="18"/>
      <c r="JI46" s="18"/>
      <c r="JJ46" s="18"/>
      <c r="JK46" s="18"/>
      <c r="JL46" s="18"/>
      <c r="JM46" s="26"/>
      <c r="JN46" s="18"/>
      <c r="JO46" s="18"/>
      <c r="JP46" s="18"/>
      <c r="JQ46" s="18"/>
      <c r="JR46" s="18"/>
      <c r="JS46" s="18"/>
      <c r="JT46" s="18"/>
      <c r="JU46" s="18"/>
      <c r="JV46" s="18"/>
      <c r="JW46" s="18"/>
      <c r="JX46" s="18"/>
      <c r="JY46" s="18"/>
      <c r="JZ46" s="18"/>
      <c r="KA46" s="18"/>
      <c r="KB46" s="18"/>
      <c r="KC46" s="18"/>
      <c r="KD46" s="18"/>
      <c r="KE46" s="18"/>
      <c r="KF46" s="26"/>
      <c r="KG46" s="26"/>
      <c r="KH46" s="18"/>
      <c r="KI46" s="26"/>
      <c r="KJ46" s="18"/>
      <c r="KK46" s="26"/>
      <c r="KL46" s="18"/>
      <c r="KM46" s="18"/>
      <c r="KN46" s="26"/>
      <c r="KO46" s="26"/>
      <c r="KP46" s="18"/>
      <c r="KQ46" s="26">
        <v>1.0</v>
      </c>
      <c r="KR46" s="77"/>
      <c r="KS46" s="18"/>
      <c r="KT46" s="18"/>
      <c r="KU46" s="26"/>
      <c r="KV46" s="18"/>
      <c r="KW46" s="18"/>
    </row>
    <row r="47">
      <c r="A47" s="27">
        <v>48.0</v>
      </c>
      <c r="B47" s="28">
        <f t="shared" si="2"/>
        <v>14</v>
      </c>
      <c r="C47" s="28"/>
      <c r="D47" s="30"/>
      <c r="E47" s="30"/>
      <c r="F47" s="67" t="s">
        <v>2623</v>
      </c>
      <c r="G47" s="88"/>
      <c r="H47" s="18"/>
      <c r="I47" s="18"/>
      <c r="J47" s="18"/>
      <c r="K47" s="18"/>
      <c r="L47" s="18"/>
      <c r="M47" s="83"/>
      <c r="N47" s="83"/>
      <c r="O47" s="83"/>
      <c r="P47" s="18"/>
      <c r="Q47" s="18"/>
      <c r="R47" s="18"/>
      <c r="S47" s="26">
        <v>1.0</v>
      </c>
      <c r="T47" s="18"/>
      <c r="U47" s="18"/>
      <c r="V47" s="18"/>
      <c r="W47" s="18"/>
      <c r="X47" s="18"/>
      <c r="Y47" s="18"/>
      <c r="Z47" s="18"/>
      <c r="AA47" s="18"/>
      <c r="AB47" s="18"/>
      <c r="AC47" s="18"/>
      <c r="AD47" s="18"/>
      <c r="AE47" s="18"/>
      <c r="AF47" s="18"/>
      <c r="AG47" s="18"/>
      <c r="AH47" s="18"/>
      <c r="AI47" s="18"/>
      <c r="AJ47" s="83"/>
      <c r="AK47" s="18"/>
      <c r="AL47" s="83"/>
      <c r="AM47" s="18"/>
      <c r="AN47" s="18"/>
      <c r="AO47" s="18"/>
      <c r="AP47" s="18"/>
      <c r="AQ47" s="18"/>
      <c r="AR47" s="18"/>
      <c r="AS47" s="26">
        <v>1.0</v>
      </c>
      <c r="AT47" s="26">
        <v>1.0</v>
      </c>
      <c r="AU47" s="18"/>
      <c r="AV47" s="18"/>
      <c r="AW47" s="83"/>
      <c r="AX47" s="83"/>
      <c r="AY47" s="18"/>
      <c r="AZ47" s="18"/>
      <c r="BA47" s="18"/>
      <c r="BB47" s="18"/>
      <c r="BC47" s="18"/>
      <c r="BD47" s="18"/>
      <c r="BE47" s="18"/>
      <c r="BF47" s="18"/>
      <c r="BG47" s="18"/>
      <c r="BH47" s="18"/>
      <c r="BI47" s="18"/>
      <c r="BJ47" s="83"/>
      <c r="BK47" s="18"/>
      <c r="BL47" s="18"/>
      <c r="BM47" s="18"/>
      <c r="BN47" s="77"/>
      <c r="BO47" s="83"/>
      <c r="BP47" s="18"/>
      <c r="BQ47" s="18"/>
      <c r="BR47" s="18"/>
      <c r="BS47" s="18"/>
      <c r="BT47" s="18"/>
      <c r="BU47" s="18"/>
      <c r="BV47" s="18"/>
      <c r="BW47" s="18"/>
      <c r="BX47" s="18"/>
      <c r="BY47" s="18"/>
      <c r="BZ47" s="83"/>
      <c r="CA47" s="18"/>
      <c r="CB47" s="18"/>
      <c r="CC47" s="18"/>
      <c r="CD47" s="18"/>
      <c r="CE47" s="83"/>
      <c r="CF47" s="18"/>
      <c r="CG47" s="18"/>
      <c r="CH47" s="18"/>
      <c r="CI47" s="26"/>
      <c r="CJ47" s="18"/>
      <c r="CK47" s="18"/>
      <c r="CL47" s="18"/>
      <c r="CM47" s="18"/>
      <c r="CN47" s="18"/>
      <c r="CO47" s="18"/>
      <c r="CP47" s="18"/>
      <c r="CQ47" s="18"/>
      <c r="CR47" s="18"/>
      <c r="CS47" s="26"/>
      <c r="CT47" s="18"/>
      <c r="CU47" s="26">
        <v>1.0</v>
      </c>
      <c r="CW47" s="18"/>
      <c r="CX47" s="18"/>
      <c r="CY47" s="18"/>
      <c r="CZ47" s="26"/>
      <c r="DA47" s="18"/>
      <c r="DB47" s="18"/>
      <c r="DC47" s="18"/>
      <c r="DD47" s="18"/>
      <c r="DE47" s="77"/>
      <c r="DF47" s="77"/>
      <c r="DG47" s="77"/>
      <c r="DH47" s="77"/>
      <c r="DI47" s="77"/>
      <c r="DJ47" s="77"/>
      <c r="DK47" s="26"/>
      <c r="DL47" s="18"/>
      <c r="DM47" s="18"/>
      <c r="DN47" s="77"/>
      <c r="DO47" s="18"/>
      <c r="DP47" s="18"/>
      <c r="DQ47" s="26">
        <v>1.0</v>
      </c>
      <c r="DR47" s="77"/>
      <c r="DS47" s="26"/>
      <c r="DT47" s="26"/>
      <c r="DU47" s="77"/>
      <c r="DV47" s="77"/>
      <c r="DW47" s="18"/>
      <c r="DX47" s="18"/>
      <c r="DY47" s="26"/>
      <c r="DZ47" s="77"/>
      <c r="EA47" s="18"/>
      <c r="EB47" s="77"/>
      <c r="EC47" s="18"/>
      <c r="ED47" s="77"/>
      <c r="EE47" s="26"/>
      <c r="EF47" s="18"/>
      <c r="EG47" s="18"/>
      <c r="EH47" s="18"/>
      <c r="EI47" s="18"/>
      <c r="EJ47" s="18"/>
      <c r="EK47" s="18"/>
      <c r="EL47" s="26"/>
      <c r="EM47" s="18"/>
      <c r="EN47" s="18"/>
      <c r="EO47" s="18"/>
      <c r="EP47" s="18"/>
      <c r="EQ47" s="18"/>
      <c r="ER47" s="18"/>
      <c r="ES47" s="18"/>
      <c r="ET47" s="26">
        <v>1.0</v>
      </c>
      <c r="EU47" s="18"/>
      <c r="EV47" s="18"/>
      <c r="EW47" s="18"/>
      <c r="EX47" s="18"/>
      <c r="EY47" s="18"/>
      <c r="EZ47" s="18"/>
      <c r="FA47" s="18"/>
      <c r="FB47" s="18"/>
      <c r="FC47" s="18"/>
      <c r="FD47" s="18"/>
      <c r="FE47" s="18"/>
      <c r="FF47" s="18"/>
      <c r="FG47" s="18"/>
      <c r="FH47" s="18"/>
      <c r="FI47" s="18"/>
      <c r="FJ47" s="18"/>
      <c r="FK47" s="18"/>
      <c r="FL47" s="26">
        <v>1.0</v>
      </c>
      <c r="FM47" s="18"/>
      <c r="FN47" s="18"/>
      <c r="FO47" s="18"/>
      <c r="FP47" s="18"/>
      <c r="FQ47" s="84"/>
      <c r="FR47" s="18"/>
      <c r="FS47" s="84"/>
      <c r="FT47" s="18"/>
      <c r="FU47" s="18"/>
      <c r="FV47" s="18"/>
      <c r="FW47" s="18"/>
      <c r="FX47" s="18"/>
      <c r="FY47" s="18"/>
      <c r="FZ47" s="18"/>
      <c r="GA47" s="18"/>
      <c r="GB47" s="93">
        <v>1.0</v>
      </c>
      <c r="GC47" s="18"/>
      <c r="GD47" s="18"/>
      <c r="GE47" s="18"/>
      <c r="GF47" s="18"/>
      <c r="GG47" s="93">
        <v>1.0</v>
      </c>
      <c r="GH47" s="18"/>
      <c r="GI47" s="18"/>
      <c r="GJ47" s="18"/>
      <c r="GK47" s="18"/>
      <c r="GL47" s="18"/>
      <c r="GM47" s="18"/>
      <c r="GN47" s="18"/>
      <c r="GO47" s="83"/>
      <c r="GP47" s="18"/>
      <c r="GQ47" s="18"/>
      <c r="GR47" s="18"/>
      <c r="GS47" s="18"/>
      <c r="GT47" s="18"/>
      <c r="GU47" s="18"/>
      <c r="GV47" s="84"/>
      <c r="GW47" s="18"/>
      <c r="GX47" s="26"/>
      <c r="GY47" s="18"/>
      <c r="GZ47" s="18"/>
      <c r="HA47" s="18"/>
      <c r="HB47" s="18"/>
      <c r="HC47" s="26"/>
      <c r="HD47" s="18"/>
      <c r="HE47" s="18"/>
      <c r="HF47" s="26">
        <v>1.0</v>
      </c>
      <c r="HG47" s="18"/>
      <c r="HH47" s="18"/>
      <c r="HI47" s="18"/>
      <c r="HJ47" s="18"/>
      <c r="HK47" s="26"/>
      <c r="HL47" s="18"/>
      <c r="HM47" s="26">
        <v>1.0</v>
      </c>
      <c r="HN47" s="26"/>
      <c r="HO47" s="18"/>
      <c r="HP47" s="18"/>
      <c r="HQ47" s="26"/>
      <c r="HR47" s="18"/>
      <c r="HS47" s="26"/>
      <c r="HT47" s="18"/>
      <c r="HU47" s="18"/>
      <c r="HV47" s="18"/>
      <c r="HW47" s="18"/>
      <c r="HX47" s="18"/>
      <c r="HY47" s="18"/>
      <c r="HZ47" s="18"/>
      <c r="IA47" s="18"/>
      <c r="IB47" s="18"/>
      <c r="IC47" s="18"/>
      <c r="ID47" s="26"/>
      <c r="IE47" s="18"/>
      <c r="IF47" s="18"/>
      <c r="IG47" s="26">
        <v>1.0</v>
      </c>
      <c r="IH47" s="26"/>
      <c r="II47" s="18"/>
      <c r="IJ47" s="18"/>
      <c r="IK47" s="18"/>
      <c r="IL47" s="77"/>
      <c r="IM47" s="18"/>
      <c r="IN47" s="77"/>
      <c r="IO47" s="18"/>
      <c r="IP47" s="18"/>
      <c r="IQ47" s="18"/>
      <c r="IR47" s="18"/>
      <c r="IS47" s="18"/>
      <c r="IT47" s="18"/>
      <c r="IU47" s="18"/>
      <c r="IV47" s="18"/>
      <c r="IW47" s="18"/>
      <c r="IX47" s="18"/>
      <c r="IY47" s="18"/>
      <c r="IZ47" s="18"/>
      <c r="JA47" s="18"/>
      <c r="JB47" s="18"/>
      <c r="JC47" s="18"/>
      <c r="JD47" s="18"/>
      <c r="JE47" s="26"/>
      <c r="JF47" s="18"/>
      <c r="JG47" s="18"/>
      <c r="JH47" s="18"/>
      <c r="JI47" s="18"/>
      <c r="JJ47" s="18"/>
      <c r="JK47" s="18"/>
      <c r="JL47" s="18"/>
      <c r="JM47" s="26"/>
      <c r="JN47" s="18"/>
      <c r="JO47" s="18"/>
      <c r="JP47" s="18"/>
      <c r="JQ47" s="18"/>
      <c r="JR47" s="18"/>
      <c r="JS47" s="18"/>
      <c r="JT47" s="18"/>
      <c r="JU47" s="18"/>
      <c r="JV47" s="18"/>
      <c r="JW47" s="18"/>
      <c r="JX47" s="18"/>
      <c r="JY47" s="18"/>
      <c r="JZ47" s="18"/>
      <c r="KA47" s="18"/>
      <c r="KB47" s="18"/>
      <c r="KC47" s="18"/>
      <c r="KD47" s="18"/>
      <c r="KE47" s="18"/>
      <c r="KF47" s="26">
        <v>1.0</v>
      </c>
      <c r="KG47" s="26">
        <v>1.0</v>
      </c>
      <c r="KH47" s="18"/>
      <c r="KI47" s="26"/>
      <c r="KJ47" s="18"/>
      <c r="KK47" s="26"/>
      <c r="KL47" s="18"/>
      <c r="KM47" s="18"/>
      <c r="KN47" s="26"/>
      <c r="KO47" s="26"/>
      <c r="KP47" s="18"/>
      <c r="KQ47" s="26"/>
      <c r="KR47" s="77"/>
      <c r="KS47" s="18"/>
      <c r="KT47" s="18"/>
      <c r="KU47" s="26"/>
      <c r="KV47" s="18"/>
      <c r="KW47" s="18"/>
    </row>
    <row r="48">
      <c r="A48" s="27">
        <v>49.0</v>
      </c>
      <c r="B48" s="28">
        <f t="shared" si="2"/>
        <v>12</v>
      </c>
      <c r="F48" s="67" t="s">
        <v>2630</v>
      </c>
      <c r="H48" s="18"/>
      <c r="I48" s="18"/>
      <c r="J48" s="18"/>
      <c r="K48" s="18"/>
      <c r="L48" s="18"/>
      <c r="M48" s="77"/>
      <c r="N48" s="77"/>
      <c r="O48" s="77"/>
      <c r="P48" s="18"/>
      <c r="Q48" s="18"/>
      <c r="R48" s="18"/>
      <c r="S48" s="18"/>
      <c r="T48" s="18"/>
      <c r="U48" s="18"/>
      <c r="V48" s="26">
        <v>1.0</v>
      </c>
      <c r="W48" s="18"/>
      <c r="X48" s="18"/>
      <c r="Y48" s="18"/>
      <c r="Z48" s="18"/>
      <c r="AA48" s="18"/>
      <c r="AB48" s="18"/>
      <c r="AC48" s="18"/>
      <c r="AD48" s="18"/>
      <c r="AE48" s="18"/>
      <c r="AF48" s="18"/>
      <c r="AG48" s="18"/>
      <c r="AH48" s="18"/>
      <c r="AI48" s="18"/>
      <c r="AJ48" s="83"/>
      <c r="AK48" s="18"/>
      <c r="AL48" s="83"/>
      <c r="AM48" s="18"/>
      <c r="AN48" s="18"/>
      <c r="AO48" s="18"/>
      <c r="AP48" s="18"/>
      <c r="AQ48" s="18"/>
      <c r="AR48" s="18"/>
      <c r="AS48" s="26">
        <v>1.0</v>
      </c>
      <c r="AT48" s="26"/>
      <c r="AU48" s="18"/>
      <c r="AV48" s="18"/>
      <c r="AW48" s="83"/>
      <c r="AX48" s="83"/>
      <c r="AY48" s="18"/>
      <c r="AZ48" s="18"/>
      <c r="BA48" s="18"/>
      <c r="BB48" s="18"/>
      <c r="BC48" s="18"/>
      <c r="BD48" s="18"/>
      <c r="BE48" s="18"/>
      <c r="BF48" s="18"/>
      <c r="BG48" s="18"/>
      <c r="BH48" s="18"/>
      <c r="BI48" s="18"/>
      <c r="BJ48" s="83"/>
      <c r="BK48" s="18"/>
      <c r="BL48" s="18"/>
      <c r="BM48" s="18"/>
      <c r="BN48" s="77"/>
      <c r="BO48" s="83"/>
      <c r="BP48" s="18"/>
      <c r="BQ48" s="18"/>
      <c r="BR48" s="18"/>
      <c r="BS48" s="18"/>
      <c r="BT48" s="18"/>
      <c r="BU48" s="26">
        <v>1.0</v>
      </c>
      <c r="BV48" s="18"/>
      <c r="BW48" s="18"/>
      <c r="BX48" s="18"/>
      <c r="BY48" s="18"/>
      <c r="BZ48" s="83"/>
      <c r="CA48" s="18"/>
      <c r="CB48" s="18"/>
      <c r="CC48" s="18"/>
      <c r="CD48" s="18"/>
      <c r="CE48" s="83"/>
      <c r="CF48" s="18"/>
      <c r="CG48" s="18"/>
      <c r="CH48" s="18"/>
      <c r="CI48" s="26"/>
      <c r="CJ48" s="18"/>
      <c r="CK48" s="18"/>
      <c r="CL48" s="18"/>
      <c r="CM48" s="18"/>
      <c r="CN48" s="18"/>
      <c r="CO48" s="18"/>
      <c r="CP48" s="18"/>
      <c r="CQ48" s="18"/>
      <c r="CR48" s="18"/>
      <c r="CS48" s="26"/>
      <c r="CT48" s="18"/>
      <c r="CU48" s="18"/>
      <c r="CV48" s="18"/>
      <c r="CW48" s="18"/>
      <c r="CX48" s="18"/>
      <c r="CY48" s="18"/>
      <c r="CZ48" s="18"/>
      <c r="DA48" s="18"/>
      <c r="DB48" s="18"/>
      <c r="DC48" s="18"/>
      <c r="DD48" s="18"/>
      <c r="DE48" s="77"/>
      <c r="DF48" s="77"/>
      <c r="DG48" s="77"/>
      <c r="DH48" s="77"/>
      <c r="DI48" s="77"/>
      <c r="DJ48" s="77"/>
      <c r="DK48" s="26"/>
      <c r="DL48" s="18"/>
      <c r="DM48" s="18"/>
      <c r="DN48" s="83"/>
      <c r="DO48" s="18"/>
      <c r="DP48" s="18"/>
      <c r="DQ48" s="18"/>
      <c r="DR48" s="77"/>
      <c r="DS48" s="26"/>
      <c r="DT48" s="26"/>
      <c r="DU48" s="77"/>
      <c r="DV48" s="77"/>
      <c r="DW48" s="18"/>
      <c r="DX48" s="18"/>
      <c r="DY48" s="26"/>
      <c r="DZ48" s="77"/>
      <c r="EA48" s="18"/>
      <c r="EB48" s="83"/>
      <c r="EC48" s="18"/>
      <c r="ED48" s="77"/>
      <c r="EE48" s="26"/>
      <c r="EF48" s="18"/>
      <c r="EG48" s="18"/>
      <c r="EH48" s="18"/>
      <c r="EI48" s="18"/>
      <c r="EJ48" s="18"/>
      <c r="EK48" s="18"/>
      <c r="EL48" s="26"/>
      <c r="EM48" s="18"/>
      <c r="EN48" s="18"/>
      <c r="EO48" s="18"/>
      <c r="EP48" s="18"/>
      <c r="EQ48" s="18"/>
      <c r="ER48" s="18"/>
      <c r="ES48" s="18"/>
      <c r="ET48" s="26"/>
      <c r="EU48" s="18"/>
      <c r="EV48" s="18"/>
      <c r="EW48" s="18"/>
      <c r="EX48" s="18"/>
      <c r="EY48" s="18"/>
      <c r="EZ48" s="18"/>
      <c r="FA48" s="18"/>
      <c r="FB48" s="18"/>
      <c r="FC48" s="18"/>
      <c r="FD48" s="18"/>
      <c r="FE48" s="18"/>
      <c r="FF48" s="18"/>
      <c r="FG48" s="18"/>
      <c r="FH48" s="18"/>
      <c r="FI48" s="18"/>
      <c r="FJ48" s="18"/>
      <c r="FK48" s="18"/>
      <c r="FL48" s="26">
        <v>1.0</v>
      </c>
      <c r="FM48" s="18"/>
      <c r="FN48" s="18"/>
      <c r="FO48" s="18"/>
      <c r="FP48" s="18"/>
      <c r="FQ48" s="84"/>
      <c r="FR48" s="18"/>
      <c r="FS48" s="84"/>
      <c r="FT48" s="18"/>
      <c r="FU48" s="18"/>
      <c r="FV48" s="18"/>
      <c r="FW48" s="18"/>
      <c r="FX48" s="18"/>
      <c r="FY48" s="18"/>
      <c r="FZ48" s="18"/>
      <c r="GA48" s="18"/>
      <c r="GB48" s="78">
        <v>1.0</v>
      </c>
      <c r="GC48" s="18"/>
      <c r="GD48" s="18"/>
      <c r="GE48" s="18"/>
      <c r="GF48" s="18"/>
      <c r="GG48" s="78">
        <v>1.0</v>
      </c>
      <c r="GH48" s="18"/>
      <c r="GI48" s="18"/>
      <c r="GJ48" s="18"/>
      <c r="GK48" s="18"/>
      <c r="GL48" s="18"/>
      <c r="GM48" s="18"/>
      <c r="GN48" s="18"/>
      <c r="GO48" s="83"/>
      <c r="GP48" s="18"/>
      <c r="GQ48" s="18"/>
      <c r="GR48" s="18"/>
      <c r="GS48" s="18"/>
      <c r="GT48" s="18"/>
      <c r="GU48" s="18"/>
      <c r="GV48" s="84"/>
      <c r="GW48" s="18"/>
      <c r="GX48" s="18"/>
      <c r="GY48" s="18"/>
      <c r="GZ48" s="18"/>
      <c r="HA48" s="18"/>
      <c r="HB48" s="18"/>
      <c r="HC48" s="26"/>
      <c r="HD48" s="18"/>
      <c r="HE48" s="18"/>
      <c r="HF48" s="26">
        <v>1.0</v>
      </c>
      <c r="HG48" s="18"/>
      <c r="HH48" s="18"/>
      <c r="HI48" s="18"/>
      <c r="HJ48" s="18"/>
      <c r="HK48" s="18"/>
      <c r="HL48" s="18"/>
      <c r="HM48" s="18"/>
      <c r="HN48" s="26"/>
      <c r="HO48" s="18"/>
      <c r="HP48" s="18"/>
      <c r="HQ48" s="26"/>
      <c r="HR48" s="18"/>
      <c r="HS48" s="26">
        <v>1.0</v>
      </c>
      <c r="HT48" s="18"/>
      <c r="HU48" s="18"/>
      <c r="HV48" s="18"/>
      <c r="HW48" s="18"/>
      <c r="HX48" s="18"/>
      <c r="HY48" s="18"/>
      <c r="HZ48" s="18"/>
      <c r="IA48" s="26">
        <v>1.0</v>
      </c>
      <c r="IB48" s="18"/>
      <c r="IC48" s="18"/>
      <c r="ID48" s="26">
        <v>1.0</v>
      </c>
      <c r="IE48" s="18"/>
      <c r="IF48" s="18"/>
      <c r="IG48" s="18"/>
      <c r="IH48" s="26"/>
      <c r="II48" s="18"/>
      <c r="IJ48" s="26">
        <v>1.0</v>
      </c>
      <c r="IK48" s="18"/>
      <c r="IL48" s="77"/>
      <c r="IM48" s="18"/>
      <c r="IN48" s="77"/>
      <c r="IO48" s="18"/>
      <c r="IP48" s="18"/>
      <c r="IQ48" s="18"/>
      <c r="IR48" s="18"/>
      <c r="IS48" s="18"/>
      <c r="IT48" s="18"/>
      <c r="IU48" s="18"/>
      <c r="IV48" s="18"/>
      <c r="IW48" s="18"/>
      <c r="IX48" s="18"/>
      <c r="IY48" s="18"/>
      <c r="IZ48" s="18"/>
      <c r="JA48" s="18"/>
      <c r="JB48" s="18"/>
      <c r="JC48" s="18"/>
      <c r="JD48" s="18"/>
      <c r="JE48" s="26"/>
      <c r="JF48" s="18"/>
      <c r="JG48" s="18"/>
      <c r="JH48" s="18"/>
      <c r="JI48" s="18"/>
      <c r="JJ48" s="18"/>
      <c r="JK48" s="18"/>
      <c r="JL48" s="18"/>
      <c r="JM48" s="26"/>
      <c r="JN48" s="18"/>
      <c r="JO48" s="18"/>
      <c r="JP48" s="18"/>
      <c r="JQ48" s="18"/>
      <c r="JR48" s="18"/>
      <c r="JS48" s="18"/>
      <c r="JT48" s="18"/>
      <c r="JU48" s="18"/>
      <c r="JV48" s="18"/>
      <c r="JW48" s="18"/>
      <c r="JX48" s="18"/>
      <c r="JY48" s="18"/>
      <c r="JZ48" s="18"/>
      <c r="KA48" s="18"/>
      <c r="KB48" s="18"/>
      <c r="KC48" s="26">
        <v>1.0</v>
      </c>
      <c r="KD48" s="18"/>
      <c r="KE48" s="18"/>
      <c r="KF48" s="26"/>
      <c r="KG48" s="26"/>
      <c r="KH48" s="18"/>
      <c r="KI48" s="26"/>
      <c r="KJ48" s="18"/>
      <c r="KK48" s="26"/>
      <c r="KL48" s="18"/>
      <c r="KM48" s="18"/>
      <c r="KN48" s="26"/>
      <c r="KO48" s="18"/>
      <c r="KP48" s="18"/>
      <c r="KQ48" s="26"/>
      <c r="KR48" s="77"/>
      <c r="KS48" s="18"/>
      <c r="KT48" s="18"/>
      <c r="KU48" s="18"/>
      <c r="KV48" s="18"/>
      <c r="KW48" s="18"/>
    </row>
    <row r="49">
      <c r="A49" s="27">
        <v>50.0</v>
      </c>
      <c r="B49" s="28">
        <f t="shared" si="2"/>
        <v>10</v>
      </c>
      <c r="F49" s="67" t="s">
        <v>2635</v>
      </c>
      <c r="H49" s="18"/>
      <c r="I49" s="18"/>
      <c r="J49" s="18"/>
      <c r="K49" s="18"/>
      <c r="L49" s="18"/>
      <c r="M49" s="77"/>
      <c r="N49" s="77"/>
      <c r="O49" s="77"/>
      <c r="P49" s="26">
        <v>1.0</v>
      </c>
      <c r="Q49" s="18"/>
      <c r="R49" s="18"/>
      <c r="S49" s="18"/>
      <c r="T49" s="18"/>
      <c r="U49" s="18"/>
      <c r="V49" s="18"/>
      <c r="W49" s="18"/>
      <c r="X49" s="26"/>
      <c r="Y49" s="18"/>
      <c r="Z49" s="18"/>
      <c r="AA49" s="18"/>
      <c r="AB49" s="26">
        <v>1.0</v>
      </c>
      <c r="AC49" s="18"/>
      <c r="AD49" s="18"/>
      <c r="AE49" s="18"/>
      <c r="AF49" s="18"/>
      <c r="AG49" s="18"/>
      <c r="AH49" s="18"/>
      <c r="AI49" s="18"/>
      <c r="AJ49" s="83"/>
      <c r="AK49" s="18"/>
      <c r="AL49" s="83"/>
      <c r="AM49" s="18"/>
      <c r="AN49" s="18"/>
      <c r="AO49" s="18"/>
      <c r="AP49" s="18"/>
      <c r="AQ49" s="18"/>
      <c r="AR49" s="18"/>
      <c r="AS49" s="18"/>
      <c r="AT49" s="18"/>
      <c r="AU49" s="18"/>
      <c r="AV49" s="18"/>
      <c r="AW49" s="83"/>
      <c r="AX49" s="83"/>
      <c r="AY49" s="18"/>
      <c r="AZ49" s="18"/>
      <c r="BA49" s="18"/>
      <c r="BB49" s="18"/>
      <c r="BC49" s="18"/>
      <c r="BD49" s="18"/>
      <c r="BE49" s="18"/>
      <c r="BF49" s="18"/>
      <c r="BG49" s="26">
        <v>1.0</v>
      </c>
      <c r="BH49" s="18"/>
      <c r="BI49" s="18"/>
      <c r="BJ49" s="83"/>
      <c r="BK49" s="18"/>
      <c r="BL49" s="18"/>
      <c r="BM49" s="18"/>
      <c r="BN49" s="77"/>
      <c r="BO49" s="83"/>
      <c r="BP49" s="18"/>
      <c r="BQ49" s="18"/>
      <c r="BR49" s="18"/>
      <c r="BS49" s="18"/>
      <c r="BT49" s="18"/>
      <c r="BU49" s="18"/>
      <c r="BV49" s="18"/>
      <c r="BW49" s="18"/>
      <c r="BX49" s="18"/>
      <c r="BY49" s="18"/>
      <c r="BZ49" s="83"/>
      <c r="CA49" s="18"/>
      <c r="CB49" s="18"/>
      <c r="CC49" s="18"/>
      <c r="CD49" s="18"/>
      <c r="CE49" s="83"/>
      <c r="CF49" s="18"/>
      <c r="CG49" s="18"/>
      <c r="CH49" s="18"/>
      <c r="CI49" s="26"/>
      <c r="CJ49" s="18"/>
      <c r="CK49" s="18"/>
      <c r="CL49" s="18"/>
      <c r="CM49" s="18"/>
      <c r="CN49" s="18"/>
      <c r="CO49" s="18"/>
      <c r="CP49" s="18"/>
      <c r="CQ49" s="18"/>
      <c r="CR49" s="18"/>
      <c r="CS49" s="26"/>
      <c r="CT49" s="18"/>
      <c r="CU49" s="18"/>
      <c r="CV49" s="18"/>
      <c r="CW49" s="18"/>
      <c r="CX49" s="18"/>
      <c r="CY49" s="18"/>
      <c r="CZ49" s="18"/>
      <c r="DA49" s="18"/>
      <c r="DB49" s="18"/>
      <c r="DC49" s="18"/>
      <c r="DD49" s="18"/>
      <c r="DE49" s="77"/>
      <c r="DF49" s="77"/>
      <c r="DG49" s="77"/>
      <c r="DH49" s="77"/>
      <c r="DI49" s="77"/>
      <c r="DJ49" s="77"/>
      <c r="DK49" s="26">
        <v>1.0</v>
      </c>
      <c r="DL49" s="18"/>
      <c r="DM49" s="18"/>
      <c r="DN49" s="83"/>
      <c r="DO49" s="18"/>
      <c r="DP49" s="18"/>
      <c r="DQ49" s="18"/>
      <c r="DR49" s="77"/>
      <c r="DS49" s="26"/>
      <c r="DT49" s="26"/>
      <c r="DU49" s="77"/>
      <c r="DV49" s="77"/>
      <c r="DW49" s="18"/>
      <c r="DX49" s="18"/>
      <c r="DY49" s="26"/>
      <c r="DZ49" s="77"/>
      <c r="EA49" s="18"/>
      <c r="EB49" s="83"/>
      <c r="EC49" s="18"/>
      <c r="ED49" s="77"/>
      <c r="EE49" s="26"/>
      <c r="EF49" s="18"/>
      <c r="EG49" s="18"/>
      <c r="EH49" s="18"/>
      <c r="EI49" s="18"/>
      <c r="EJ49" s="18"/>
      <c r="EK49" s="18"/>
      <c r="EL49" s="26"/>
      <c r="EM49" s="18"/>
      <c r="EN49" s="18"/>
      <c r="EO49" s="18"/>
      <c r="EP49" s="18"/>
      <c r="EQ49" s="18"/>
      <c r="ER49" s="18"/>
      <c r="ES49" s="18"/>
      <c r="ET49" s="26">
        <v>1.0</v>
      </c>
      <c r="EU49" s="26">
        <v>1.0</v>
      </c>
      <c r="EV49" s="18"/>
      <c r="EW49" s="18"/>
      <c r="EX49" s="18"/>
      <c r="EY49" s="18"/>
      <c r="EZ49" s="18"/>
      <c r="FA49" s="18"/>
      <c r="FB49" s="18"/>
      <c r="FC49" s="18"/>
      <c r="FD49" s="18"/>
      <c r="FE49" s="18"/>
      <c r="FF49" s="18"/>
      <c r="FG49" s="18"/>
      <c r="FH49" s="18"/>
      <c r="FI49" s="18"/>
      <c r="FJ49" s="18"/>
      <c r="FK49" s="18"/>
      <c r="FL49" s="26"/>
      <c r="FM49" s="18"/>
      <c r="FN49" s="18"/>
      <c r="FO49" s="18"/>
      <c r="FP49" s="18"/>
      <c r="FQ49" s="84"/>
      <c r="FR49" s="18"/>
      <c r="FS49" s="84"/>
      <c r="FT49" s="18"/>
      <c r="FU49" s="18"/>
      <c r="FV49" s="18"/>
      <c r="FW49" s="18"/>
      <c r="FX49" s="18"/>
      <c r="FY49" s="18"/>
      <c r="FZ49" s="18"/>
      <c r="GA49" s="18"/>
      <c r="GB49" s="78"/>
      <c r="GC49" s="18"/>
      <c r="GD49" s="18"/>
      <c r="GE49" s="18"/>
      <c r="GF49" s="18"/>
      <c r="GG49" s="78"/>
      <c r="GH49" s="18"/>
      <c r="GI49" s="18"/>
      <c r="GJ49" s="18"/>
      <c r="GK49" s="18"/>
      <c r="GL49" s="18"/>
      <c r="GM49" s="18"/>
      <c r="GN49" s="18"/>
      <c r="GO49" s="83"/>
      <c r="GP49" s="18"/>
      <c r="GQ49" s="18"/>
      <c r="GR49" s="18"/>
      <c r="GS49" s="18"/>
      <c r="GT49" s="18"/>
      <c r="GU49" s="18"/>
      <c r="GV49" s="84"/>
      <c r="GW49" s="18"/>
      <c r="GX49" s="18"/>
      <c r="GY49" s="18"/>
      <c r="GZ49" s="18"/>
      <c r="HA49" s="18"/>
      <c r="HB49" s="18"/>
      <c r="HC49" s="26"/>
      <c r="HD49" s="18"/>
      <c r="HE49" s="18"/>
      <c r="HF49" s="26"/>
      <c r="HG49" s="18"/>
      <c r="HH49" s="18"/>
      <c r="HI49" s="26">
        <v>1.0</v>
      </c>
      <c r="HJ49" s="18"/>
      <c r="HK49" s="18"/>
      <c r="HL49" s="18"/>
      <c r="HM49" s="18"/>
      <c r="HN49" s="26"/>
      <c r="HO49" s="18"/>
      <c r="HP49" s="26">
        <v>1.0</v>
      </c>
      <c r="HQ49" s="26"/>
      <c r="HR49" s="18"/>
      <c r="HS49" s="26"/>
      <c r="HT49" s="18"/>
      <c r="HU49" s="18"/>
      <c r="HV49" s="18"/>
      <c r="HW49" s="18"/>
      <c r="HX49" s="18"/>
      <c r="HY49" s="18"/>
      <c r="HZ49" s="18"/>
      <c r="IA49" s="18"/>
      <c r="IB49" s="18"/>
      <c r="IC49" s="18"/>
      <c r="ID49" s="26"/>
      <c r="IE49" s="26"/>
      <c r="IF49" s="18"/>
      <c r="IG49" s="18"/>
      <c r="IH49" s="26"/>
      <c r="II49" s="18"/>
      <c r="IJ49" s="18"/>
      <c r="IK49" s="18"/>
      <c r="IL49" s="77"/>
      <c r="IM49" s="18"/>
      <c r="IN49" s="77"/>
      <c r="IO49" s="18"/>
      <c r="IP49" s="18"/>
      <c r="IQ49" s="18"/>
      <c r="IR49" s="18"/>
      <c r="IS49" s="18"/>
      <c r="IT49" s="18"/>
      <c r="IU49" s="18"/>
      <c r="IV49" s="18"/>
      <c r="IW49" s="18"/>
      <c r="IX49" s="18"/>
      <c r="IY49" s="18"/>
      <c r="IZ49" s="18"/>
      <c r="JA49" s="18"/>
      <c r="JB49" s="18"/>
      <c r="JC49" s="18"/>
      <c r="JD49" s="18"/>
      <c r="JE49" s="26"/>
      <c r="JF49" s="18"/>
      <c r="JG49" s="18"/>
      <c r="JH49" s="18"/>
      <c r="JI49" s="18"/>
      <c r="JJ49" s="18"/>
      <c r="JK49" s="18"/>
      <c r="JL49" s="18"/>
      <c r="JM49" s="26"/>
      <c r="JN49" s="18"/>
      <c r="JO49" s="18"/>
      <c r="JP49" s="18"/>
      <c r="JQ49" s="18"/>
      <c r="JR49" s="18"/>
      <c r="JS49" s="18"/>
      <c r="JT49" s="18"/>
      <c r="JU49" s="18"/>
      <c r="JV49" s="18"/>
      <c r="JW49" s="18"/>
      <c r="JX49" s="18"/>
      <c r="JY49" s="18"/>
      <c r="JZ49" s="18"/>
      <c r="KA49" s="18"/>
      <c r="KB49" s="26">
        <v>1.0</v>
      </c>
      <c r="KC49" s="18"/>
      <c r="KD49" s="18"/>
      <c r="KE49" s="18"/>
      <c r="KF49" s="26"/>
      <c r="KG49" s="26"/>
      <c r="KH49" s="18"/>
      <c r="KI49" s="26"/>
      <c r="KJ49" s="18"/>
      <c r="KK49" s="26">
        <v>1.0</v>
      </c>
      <c r="KL49" s="18"/>
      <c r="KM49" s="18"/>
      <c r="KN49" s="26"/>
      <c r="KO49" s="18"/>
      <c r="KP49" s="18"/>
      <c r="KQ49" s="26"/>
      <c r="KR49" s="77"/>
      <c r="KS49" s="18"/>
      <c r="KT49" s="18"/>
      <c r="KU49" s="18"/>
      <c r="KV49" s="18"/>
      <c r="KW49" s="18"/>
    </row>
    <row r="50">
      <c r="A50" s="27">
        <v>51.0</v>
      </c>
      <c r="B50" s="28">
        <f t="shared" si="2"/>
        <v>12</v>
      </c>
      <c r="F50" s="67" t="s">
        <v>2640</v>
      </c>
      <c r="H50" s="18"/>
      <c r="I50" s="18"/>
      <c r="J50" s="18"/>
      <c r="K50" s="18"/>
      <c r="L50" s="18"/>
      <c r="M50" s="77"/>
      <c r="N50" s="77"/>
      <c r="O50" s="77"/>
      <c r="P50" s="18"/>
      <c r="Q50" s="18"/>
      <c r="R50" s="18"/>
      <c r="S50" s="18"/>
      <c r="T50" s="18"/>
      <c r="U50" s="18"/>
      <c r="V50" s="18"/>
      <c r="W50" s="18"/>
      <c r="X50" s="26">
        <v>1.0</v>
      </c>
      <c r="Y50" s="18"/>
      <c r="Z50" s="18"/>
      <c r="AA50" s="18"/>
      <c r="AB50" s="26">
        <v>1.0</v>
      </c>
      <c r="AC50" s="18"/>
      <c r="AD50" s="18"/>
      <c r="AE50" s="26">
        <v>1.0</v>
      </c>
      <c r="AF50" s="18"/>
      <c r="AG50" s="18"/>
      <c r="AH50" s="18"/>
      <c r="AI50" s="18"/>
      <c r="AJ50" s="83"/>
      <c r="AK50" s="18"/>
      <c r="AL50" s="83"/>
      <c r="AM50" s="18"/>
      <c r="AN50" s="18"/>
      <c r="AO50" s="18"/>
      <c r="AP50" s="18"/>
      <c r="AQ50" s="18"/>
      <c r="AR50" s="18"/>
      <c r="AS50" s="18"/>
      <c r="AT50" s="18"/>
      <c r="AU50" s="18"/>
      <c r="AV50" s="18"/>
      <c r="AW50" s="83"/>
      <c r="AX50" s="83"/>
      <c r="AY50" s="18"/>
      <c r="AZ50" s="18"/>
      <c r="BA50" s="18"/>
      <c r="BB50" s="18"/>
      <c r="BC50" s="18"/>
      <c r="BD50" s="18"/>
      <c r="BE50" s="18"/>
      <c r="BF50" s="18"/>
      <c r="BG50" s="26"/>
      <c r="BH50" s="18"/>
      <c r="BI50" s="18"/>
      <c r="BJ50" s="83"/>
      <c r="BK50" s="18"/>
      <c r="BL50" s="18"/>
      <c r="BM50" s="18"/>
      <c r="BN50" s="77"/>
      <c r="BO50" s="83"/>
      <c r="BP50" s="18"/>
      <c r="BQ50" s="18"/>
      <c r="BR50" s="18"/>
      <c r="BS50" s="18"/>
      <c r="BT50" s="18"/>
      <c r="BU50" s="18"/>
      <c r="BV50" s="26">
        <v>1.0</v>
      </c>
      <c r="BW50" s="18"/>
      <c r="BX50" s="18"/>
      <c r="BY50" s="18"/>
      <c r="BZ50" s="83"/>
      <c r="CA50" s="18"/>
      <c r="CB50" s="18"/>
      <c r="CC50" s="18"/>
      <c r="CD50" s="18"/>
      <c r="CE50" s="83"/>
      <c r="CF50" s="18"/>
      <c r="CG50" s="26">
        <v>1.0</v>
      </c>
      <c r="CH50" s="18"/>
      <c r="CI50" s="26"/>
      <c r="CJ50" s="18"/>
      <c r="CK50" s="18"/>
      <c r="CL50" s="18"/>
      <c r="CM50" s="18"/>
      <c r="CN50" s="18"/>
      <c r="CO50" s="18"/>
      <c r="CP50" s="18"/>
      <c r="CQ50" s="18"/>
      <c r="CR50" s="18"/>
      <c r="CS50" s="26"/>
      <c r="CT50" s="18"/>
      <c r="CU50" s="18"/>
      <c r="CV50" s="18"/>
      <c r="CW50" s="18"/>
      <c r="CX50" s="18"/>
      <c r="CY50" s="18"/>
      <c r="CZ50" s="18"/>
      <c r="DA50" s="18"/>
      <c r="DB50" s="18"/>
      <c r="DC50" s="18"/>
      <c r="DD50" s="18"/>
      <c r="DE50" s="77"/>
      <c r="DF50" s="77"/>
      <c r="DG50" s="77"/>
      <c r="DH50" s="77"/>
      <c r="DI50" s="77"/>
      <c r="DJ50" s="77"/>
      <c r="DK50" s="26"/>
      <c r="DL50" s="18"/>
      <c r="DM50" s="18"/>
      <c r="DN50" s="83"/>
      <c r="DO50" s="18"/>
      <c r="DP50" s="18"/>
      <c r="DQ50" s="26">
        <v>1.0</v>
      </c>
      <c r="DR50" s="77"/>
      <c r="DS50" s="26">
        <v>1.0</v>
      </c>
      <c r="DT50" s="26">
        <v>1.0</v>
      </c>
      <c r="DU50" s="77"/>
      <c r="DV50" s="77"/>
      <c r="DW50" s="18"/>
      <c r="DX50" s="18"/>
      <c r="DY50" s="26"/>
      <c r="DZ50" s="77"/>
      <c r="EA50" s="18"/>
      <c r="EB50" s="83"/>
      <c r="EC50" s="18"/>
      <c r="ED50" s="77"/>
      <c r="EE50" s="26"/>
      <c r="EF50" s="18"/>
      <c r="EG50" s="18"/>
      <c r="EH50" s="18"/>
      <c r="EI50" s="18"/>
      <c r="EJ50" s="18"/>
      <c r="EK50" s="18"/>
      <c r="EL50" s="26">
        <v>1.0</v>
      </c>
      <c r="EM50" s="18"/>
      <c r="EN50" s="18"/>
      <c r="EO50" s="18"/>
      <c r="EP50" s="18"/>
      <c r="EQ50" s="18"/>
      <c r="ER50" s="18"/>
      <c r="ES50" s="18"/>
      <c r="ET50" s="26"/>
      <c r="EU50" s="26"/>
      <c r="EV50" s="18"/>
      <c r="EW50" s="18"/>
      <c r="EX50" s="18"/>
      <c r="EY50" s="18"/>
      <c r="EZ50" s="18"/>
      <c r="FA50" s="18"/>
      <c r="FB50" s="18"/>
      <c r="FC50" s="18"/>
      <c r="FD50" s="18"/>
      <c r="FE50" s="18"/>
      <c r="FF50" s="18"/>
      <c r="FG50" s="18"/>
      <c r="FH50" s="18"/>
      <c r="FI50" s="18"/>
      <c r="FJ50" s="18"/>
      <c r="FK50" s="18"/>
      <c r="FL50" s="26"/>
      <c r="FM50" s="18"/>
      <c r="FN50" s="18"/>
      <c r="FO50" s="18"/>
      <c r="FP50" s="18"/>
      <c r="FQ50" s="84"/>
      <c r="FR50" s="18"/>
      <c r="FS50" s="84"/>
      <c r="FT50" s="18"/>
      <c r="FU50" s="18"/>
      <c r="FV50" s="18"/>
      <c r="FW50" s="18"/>
      <c r="FX50" s="18"/>
      <c r="FY50" s="18"/>
      <c r="FZ50" s="18"/>
      <c r="GA50" s="18"/>
      <c r="GB50" s="78"/>
      <c r="GC50" s="18"/>
      <c r="GD50" s="18"/>
      <c r="GE50" s="18"/>
      <c r="GF50" s="18"/>
      <c r="GG50" s="78"/>
      <c r="GH50" s="18"/>
      <c r="GI50" s="18"/>
      <c r="GJ50" s="18"/>
      <c r="GK50" s="18"/>
      <c r="GL50" s="18"/>
      <c r="GM50" s="18"/>
      <c r="GN50" s="18"/>
      <c r="GO50" s="83"/>
      <c r="GP50" s="18"/>
      <c r="GQ50" s="18"/>
      <c r="GR50" s="18"/>
      <c r="GS50" s="18"/>
      <c r="GT50" s="18"/>
      <c r="GU50" s="18"/>
      <c r="GV50" s="84"/>
      <c r="GW50" s="18"/>
      <c r="GX50" s="18"/>
      <c r="GY50" s="18"/>
      <c r="GZ50" s="18"/>
      <c r="HA50" s="18"/>
      <c r="HB50" s="18"/>
      <c r="HC50" s="26"/>
      <c r="HD50" s="18"/>
      <c r="HE50" s="18"/>
      <c r="HF50" s="26"/>
      <c r="HG50" s="18"/>
      <c r="HH50" s="18"/>
      <c r="HI50" s="26"/>
      <c r="HJ50" s="18"/>
      <c r="HK50" s="18"/>
      <c r="HL50" s="18"/>
      <c r="HM50" s="18"/>
      <c r="HN50" s="26"/>
      <c r="HO50" s="18"/>
      <c r="HP50" s="18"/>
      <c r="HQ50" s="26"/>
      <c r="HR50" s="18"/>
      <c r="HS50" s="26"/>
      <c r="HT50" s="18"/>
      <c r="HU50" s="18"/>
      <c r="HV50" s="18"/>
      <c r="HW50" s="18"/>
      <c r="HX50" s="18"/>
      <c r="HY50" s="18"/>
      <c r="HZ50" s="18"/>
      <c r="IA50" s="18"/>
      <c r="IB50" s="18"/>
      <c r="IC50" s="18"/>
      <c r="ID50" s="26"/>
      <c r="IE50" s="26"/>
      <c r="IF50" s="18"/>
      <c r="IG50" s="18"/>
      <c r="IH50" s="26"/>
      <c r="II50" s="18"/>
      <c r="IJ50" s="18"/>
      <c r="IK50" s="18"/>
      <c r="IL50" s="77"/>
      <c r="IM50" s="18"/>
      <c r="IN50" s="77"/>
      <c r="IO50" s="18"/>
      <c r="IP50" s="18"/>
      <c r="IQ50" s="18"/>
      <c r="IR50" s="18"/>
      <c r="IS50" s="18"/>
      <c r="IT50" s="18"/>
      <c r="IU50" s="18"/>
      <c r="IV50" s="18"/>
      <c r="IW50" s="18"/>
      <c r="IX50" s="18"/>
      <c r="IY50" s="18"/>
      <c r="IZ50" s="18"/>
      <c r="JA50" s="18"/>
      <c r="JB50" s="18"/>
      <c r="JC50" s="18"/>
      <c r="JD50" s="18"/>
      <c r="JE50" s="26"/>
      <c r="JF50" s="18"/>
      <c r="JG50" s="18"/>
      <c r="JH50" s="18"/>
      <c r="JI50" s="18"/>
      <c r="JJ50" s="18"/>
      <c r="JK50" s="18"/>
      <c r="JL50" s="18"/>
      <c r="JM50" s="26"/>
      <c r="JN50" s="18"/>
      <c r="JO50" s="18"/>
      <c r="JP50" s="18"/>
      <c r="JQ50" s="18"/>
      <c r="JR50" s="18"/>
      <c r="JS50" s="18"/>
      <c r="JT50" s="18"/>
      <c r="JU50" s="18"/>
      <c r="JV50" s="18"/>
      <c r="JW50" s="18"/>
      <c r="JX50" s="18"/>
      <c r="JY50" s="18"/>
      <c r="JZ50" s="18"/>
      <c r="KA50" s="18"/>
      <c r="KB50" s="18"/>
      <c r="KC50" s="18"/>
      <c r="KD50" s="18"/>
      <c r="KE50" s="18"/>
      <c r="KF50" s="26">
        <v>1.0</v>
      </c>
      <c r="KG50" s="26">
        <v>1.0</v>
      </c>
      <c r="KH50" s="18"/>
      <c r="KI50" s="26"/>
      <c r="KJ50" s="18"/>
      <c r="KK50" s="26">
        <v>1.0</v>
      </c>
      <c r="KL50" s="18"/>
      <c r="KM50" s="18"/>
      <c r="KN50" s="26"/>
      <c r="KO50" s="18"/>
      <c r="KP50" s="18"/>
      <c r="KQ50" s="26"/>
      <c r="KR50" s="77"/>
      <c r="KS50" s="18"/>
      <c r="KT50" s="18"/>
      <c r="KU50" s="18"/>
      <c r="KV50" s="18"/>
      <c r="KW50" s="18"/>
    </row>
    <row r="51">
      <c r="A51" s="26" t="s">
        <v>2648</v>
      </c>
      <c r="B51" s="18">
        <f>SUM(H51:ZZ51)
</f>
        <v>544</v>
      </c>
      <c r="H51" s="18">
        <f t="shared" ref="H51:BH51" si="3">COUNTIF(H2:H50,1)</f>
        <v>2</v>
      </c>
      <c r="I51" s="18">
        <f t="shared" si="3"/>
        <v>2</v>
      </c>
      <c r="J51" s="18">
        <f t="shared" si="3"/>
        <v>2</v>
      </c>
      <c r="K51" s="18">
        <f t="shared" si="3"/>
        <v>2</v>
      </c>
      <c r="L51" s="18">
        <f t="shared" si="3"/>
        <v>2</v>
      </c>
      <c r="M51" s="18">
        <f t="shared" si="3"/>
        <v>0</v>
      </c>
      <c r="N51" s="18">
        <f t="shared" si="3"/>
        <v>0</v>
      </c>
      <c r="O51" s="18">
        <f t="shared" si="3"/>
        <v>0</v>
      </c>
      <c r="P51" s="18">
        <f t="shared" si="3"/>
        <v>2</v>
      </c>
      <c r="Q51" s="18">
        <f t="shared" si="3"/>
        <v>2</v>
      </c>
      <c r="R51" s="18">
        <f t="shared" si="3"/>
        <v>2</v>
      </c>
      <c r="S51" s="18">
        <f t="shared" si="3"/>
        <v>2</v>
      </c>
      <c r="T51" s="18">
        <f t="shared" si="3"/>
        <v>2</v>
      </c>
      <c r="U51" s="18">
        <f t="shared" si="3"/>
        <v>2</v>
      </c>
      <c r="V51" s="18">
        <f t="shared" si="3"/>
        <v>2</v>
      </c>
      <c r="W51" s="18">
        <f t="shared" si="3"/>
        <v>2</v>
      </c>
      <c r="X51" s="18">
        <f t="shared" si="3"/>
        <v>2</v>
      </c>
      <c r="Y51" s="18">
        <f t="shared" si="3"/>
        <v>2</v>
      </c>
      <c r="Z51" s="18">
        <f t="shared" si="3"/>
        <v>2</v>
      </c>
      <c r="AA51" s="18">
        <f t="shared" si="3"/>
        <v>2</v>
      </c>
      <c r="AB51" s="18">
        <f t="shared" si="3"/>
        <v>2</v>
      </c>
      <c r="AC51" s="18">
        <f t="shared" si="3"/>
        <v>2</v>
      </c>
      <c r="AD51" s="18">
        <f t="shared" si="3"/>
        <v>2</v>
      </c>
      <c r="AE51" s="18">
        <f t="shared" si="3"/>
        <v>2</v>
      </c>
      <c r="AF51" s="18">
        <f t="shared" si="3"/>
        <v>2</v>
      </c>
      <c r="AG51" s="18">
        <f t="shared" si="3"/>
        <v>2</v>
      </c>
      <c r="AH51" s="18">
        <f t="shared" si="3"/>
        <v>2</v>
      </c>
      <c r="AI51" s="18">
        <f t="shared" si="3"/>
        <v>2</v>
      </c>
      <c r="AJ51" s="18">
        <f t="shared" si="3"/>
        <v>0</v>
      </c>
      <c r="AK51" s="18">
        <f t="shared" si="3"/>
        <v>2</v>
      </c>
      <c r="AL51" s="18">
        <f t="shared" si="3"/>
        <v>0</v>
      </c>
      <c r="AM51" s="18">
        <f t="shared" si="3"/>
        <v>2</v>
      </c>
      <c r="AN51" s="18">
        <f t="shared" si="3"/>
        <v>2</v>
      </c>
      <c r="AO51" s="18">
        <f t="shared" si="3"/>
        <v>2</v>
      </c>
      <c r="AP51" s="18">
        <f t="shared" si="3"/>
        <v>2</v>
      </c>
      <c r="AQ51" s="18">
        <f t="shared" si="3"/>
        <v>2</v>
      </c>
      <c r="AR51" s="18">
        <f t="shared" si="3"/>
        <v>2</v>
      </c>
      <c r="AS51" s="18">
        <f t="shared" si="3"/>
        <v>2</v>
      </c>
      <c r="AT51" s="18">
        <f t="shared" si="3"/>
        <v>2</v>
      </c>
      <c r="AU51" s="18">
        <f t="shared" si="3"/>
        <v>2</v>
      </c>
      <c r="AV51" s="18">
        <f t="shared" si="3"/>
        <v>2</v>
      </c>
      <c r="AW51" s="18">
        <f t="shared" si="3"/>
        <v>0</v>
      </c>
      <c r="AX51" s="18">
        <f t="shared" si="3"/>
        <v>0</v>
      </c>
      <c r="AY51" s="18">
        <f t="shared" si="3"/>
        <v>2</v>
      </c>
      <c r="AZ51" s="18">
        <f t="shared" si="3"/>
        <v>2</v>
      </c>
      <c r="BA51" s="18">
        <f t="shared" si="3"/>
        <v>2</v>
      </c>
      <c r="BB51" s="18">
        <f t="shared" si="3"/>
        <v>2</v>
      </c>
      <c r="BC51" s="18">
        <f t="shared" si="3"/>
        <v>2</v>
      </c>
      <c r="BD51" s="18">
        <f t="shared" si="3"/>
        <v>2</v>
      </c>
      <c r="BE51" s="18">
        <f t="shared" si="3"/>
        <v>2</v>
      </c>
      <c r="BF51" s="18">
        <f t="shared" si="3"/>
        <v>2</v>
      </c>
      <c r="BG51" s="18">
        <f t="shared" si="3"/>
        <v>2</v>
      </c>
      <c r="BH51" s="18">
        <f t="shared" si="3"/>
        <v>2</v>
      </c>
      <c r="BI51" s="18">
        <f>COUNTIF(BI3:BI50,1)</f>
        <v>2</v>
      </c>
      <c r="BJ51" s="18">
        <f t="shared" ref="BJ51:BZ51" si="4">COUNTIF(BJ2:BJ50,1)</f>
        <v>0</v>
      </c>
      <c r="BK51" s="18">
        <f t="shared" si="4"/>
        <v>2</v>
      </c>
      <c r="BL51" s="18">
        <f t="shared" si="4"/>
        <v>2</v>
      </c>
      <c r="BM51" s="18">
        <f t="shared" si="4"/>
        <v>2</v>
      </c>
      <c r="BN51" s="18">
        <f t="shared" si="4"/>
        <v>0</v>
      </c>
      <c r="BO51" s="18">
        <f t="shared" si="4"/>
        <v>0</v>
      </c>
      <c r="BP51" s="18">
        <f t="shared" si="4"/>
        <v>2</v>
      </c>
      <c r="BQ51" s="18">
        <f t="shared" si="4"/>
        <v>2</v>
      </c>
      <c r="BR51" s="18">
        <f t="shared" si="4"/>
        <v>2</v>
      </c>
      <c r="BS51" s="18">
        <f t="shared" si="4"/>
        <v>2</v>
      </c>
      <c r="BT51" s="18">
        <f t="shared" si="4"/>
        <v>2</v>
      </c>
      <c r="BU51" s="18">
        <f t="shared" si="4"/>
        <v>2</v>
      </c>
      <c r="BV51" s="18">
        <f t="shared" si="4"/>
        <v>2</v>
      </c>
      <c r="BW51" s="18">
        <f t="shared" si="4"/>
        <v>2</v>
      </c>
      <c r="BX51" s="18">
        <f t="shared" si="4"/>
        <v>2</v>
      </c>
      <c r="BY51" s="18">
        <f t="shared" si="4"/>
        <v>2</v>
      </c>
      <c r="BZ51" s="18">
        <f t="shared" si="4"/>
        <v>0</v>
      </c>
      <c r="CA51" s="18">
        <f>COUNTIF(CA3:CA50,1)</f>
        <v>2</v>
      </c>
      <c r="CB51" s="18">
        <f t="shared" ref="CB51:KW51" si="5">COUNTIF(CB2:CB50,1)</f>
        <v>2</v>
      </c>
      <c r="CC51" s="18">
        <f t="shared" si="5"/>
        <v>2</v>
      </c>
      <c r="CD51" s="18">
        <f t="shared" si="5"/>
        <v>2</v>
      </c>
      <c r="CE51" s="18">
        <f t="shared" si="5"/>
        <v>0</v>
      </c>
      <c r="CF51" s="18">
        <f t="shared" si="5"/>
        <v>2</v>
      </c>
      <c r="CG51" s="18">
        <f t="shared" si="5"/>
        <v>2</v>
      </c>
      <c r="CH51" s="18">
        <f t="shared" si="5"/>
        <v>2</v>
      </c>
      <c r="CI51" s="18">
        <f t="shared" si="5"/>
        <v>2</v>
      </c>
      <c r="CJ51" s="18">
        <f t="shared" si="5"/>
        <v>2</v>
      </c>
      <c r="CK51" s="18">
        <f t="shared" si="5"/>
        <v>2</v>
      </c>
      <c r="CL51" s="18">
        <f t="shared" si="5"/>
        <v>2</v>
      </c>
      <c r="CM51" s="18">
        <f t="shared" si="5"/>
        <v>2</v>
      </c>
      <c r="CN51" s="18">
        <f t="shared" si="5"/>
        <v>2</v>
      </c>
      <c r="CO51" s="18">
        <f t="shared" si="5"/>
        <v>2</v>
      </c>
      <c r="CP51" s="18">
        <f t="shared" si="5"/>
        <v>2</v>
      </c>
      <c r="CQ51" s="18">
        <f t="shared" si="5"/>
        <v>2</v>
      </c>
      <c r="CR51" s="18">
        <f t="shared" si="5"/>
        <v>2</v>
      </c>
      <c r="CS51" s="18">
        <f t="shared" si="5"/>
        <v>2</v>
      </c>
      <c r="CT51" s="18">
        <f t="shared" si="5"/>
        <v>2</v>
      </c>
      <c r="CU51" s="18">
        <f t="shared" si="5"/>
        <v>2</v>
      </c>
      <c r="CV51" s="18">
        <f t="shared" si="5"/>
        <v>2</v>
      </c>
      <c r="CW51" s="18">
        <f t="shared" si="5"/>
        <v>2</v>
      </c>
      <c r="CX51" s="18">
        <f t="shared" si="5"/>
        <v>2</v>
      </c>
      <c r="CY51" s="18">
        <f t="shared" si="5"/>
        <v>2</v>
      </c>
      <c r="CZ51" s="18">
        <f t="shared" si="5"/>
        <v>2</v>
      </c>
      <c r="DA51" s="18">
        <f t="shared" si="5"/>
        <v>2</v>
      </c>
      <c r="DB51" s="18">
        <f t="shared" si="5"/>
        <v>2</v>
      </c>
      <c r="DC51" s="18">
        <f t="shared" si="5"/>
        <v>2</v>
      </c>
      <c r="DD51" s="18">
        <f t="shared" si="5"/>
        <v>2</v>
      </c>
      <c r="DE51" s="83">
        <f t="shared" si="5"/>
        <v>0</v>
      </c>
      <c r="DF51" s="83">
        <f t="shared" si="5"/>
        <v>0</v>
      </c>
      <c r="DG51" s="83">
        <f t="shared" si="5"/>
        <v>0</v>
      </c>
      <c r="DH51" s="83">
        <f t="shared" si="5"/>
        <v>0</v>
      </c>
      <c r="DI51" s="83">
        <f t="shared" si="5"/>
        <v>0</v>
      </c>
      <c r="DJ51" s="83">
        <f t="shared" si="5"/>
        <v>0</v>
      </c>
      <c r="DK51" s="18">
        <f t="shared" si="5"/>
        <v>2</v>
      </c>
      <c r="DL51" s="18">
        <f t="shared" si="5"/>
        <v>2</v>
      </c>
      <c r="DM51" s="18">
        <f t="shared" si="5"/>
        <v>2</v>
      </c>
      <c r="DN51" s="18">
        <f t="shared" si="5"/>
        <v>0</v>
      </c>
      <c r="DO51" s="18">
        <f t="shared" si="5"/>
        <v>2</v>
      </c>
      <c r="DP51" s="18">
        <f t="shared" si="5"/>
        <v>2</v>
      </c>
      <c r="DQ51" s="18">
        <f t="shared" si="5"/>
        <v>2</v>
      </c>
      <c r="DR51" s="18">
        <f t="shared" si="5"/>
        <v>0</v>
      </c>
      <c r="DS51" s="18">
        <f t="shared" si="5"/>
        <v>2</v>
      </c>
      <c r="DT51" s="18">
        <f t="shared" si="5"/>
        <v>2</v>
      </c>
      <c r="DU51" s="83">
        <f t="shared" si="5"/>
        <v>0</v>
      </c>
      <c r="DV51" s="83">
        <f t="shared" si="5"/>
        <v>0</v>
      </c>
      <c r="DW51" s="18">
        <f t="shared" si="5"/>
        <v>2</v>
      </c>
      <c r="DX51" s="18">
        <f t="shared" si="5"/>
        <v>2</v>
      </c>
      <c r="DY51" s="18">
        <f t="shared" si="5"/>
        <v>2</v>
      </c>
      <c r="DZ51" s="18">
        <f t="shared" si="5"/>
        <v>0</v>
      </c>
      <c r="EA51" s="18">
        <f t="shared" si="5"/>
        <v>2</v>
      </c>
      <c r="EB51" s="18">
        <f t="shared" si="5"/>
        <v>0</v>
      </c>
      <c r="EC51" s="18">
        <f t="shared" si="5"/>
        <v>2</v>
      </c>
      <c r="ED51" s="83">
        <f t="shared" si="5"/>
        <v>0</v>
      </c>
      <c r="EE51" s="18">
        <f t="shared" si="5"/>
        <v>2</v>
      </c>
      <c r="EF51" s="18">
        <f t="shared" si="5"/>
        <v>2</v>
      </c>
      <c r="EG51" s="18">
        <f t="shared" si="5"/>
        <v>2</v>
      </c>
      <c r="EH51" s="18">
        <f t="shared" si="5"/>
        <v>2</v>
      </c>
      <c r="EI51" s="18">
        <f t="shared" si="5"/>
        <v>2</v>
      </c>
      <c r="EJ51" s="18">
        <f t="shared" si="5"/>
        <v>2</v>
      </c>
      <c r="EK51" s="18">
        <f t="shared" si="5"/>
        <v>2</v>
      </c>
      <c r="EL51" s="18">
        <f t="shared" si="5"/>
        <v>2</v>
      </c>
      <c r="EM51" s="18">
        <f t="shared" si="5"/>
        <v>2</v>
      </c>
      <c r="EN51" s="18">
        <f t="shared" si="5"/>
        <v>2</v>
      </c>
      <c r="EO51" s="18">
        <f t="shared" si="5"/>
        <v>2</v>
      </c>
      <c r="EP51" s="18">
        <f t="shared" si="5"/>
        <v>2</v>
      </c>
      <c r="EQ51" s="18">
        <f t="shared" si="5"/>
        <v>2</v>
      </c>
      <c r="ER51" s="18">
        <f t="shared" si="5"/>
        <v>2</v>
      </c>
      <c r="ES51" s="18">
        <f t="shared" si="5"/>
        <v>2</v>
      </c>
      <c r="ET51" s="18">
        <f t="shared" si="5"/>
        <v>2</v>
      </c>
      <c r="EU51" s="18">
        <f t="shared" si="5"/>
        <v>2</v>
      </c>
      <c r="EV51" s="18">
        <f t="shared" si="5"/>
        <v>2</v>
      </c>
      <c r="EW51" s="18">
        <f t="shared" si="5"/>
        <v>2</v>
      </c>
      <c r="EX51" s="18">
        <f t="shared" si="5"/>
        <v>2</v>
      </c>
      <c r="EY51" s="18">
        <f t="shared" si="5"/>
        <v>2</v>
      </c>
      <c r="EZ51" s="18">
        <f t="shared" si="5"/>
        <v>2</v>
      </c>
      <c r="FA51" s="18">
        <f t="shared" si="5"/>
        <v>2</v>
      </c>
      <c r="FB51" s="18">
        <f t="shared" si="5"/>
        <v>2</v>
      </c>
      <c r="FC51" s="18">
        <f t="shared" si="5"/>
        <v>2</v>
      </c>
      <c r="FD51" s="18">
        <f t="shared" si="5"/>
        <v>2</v>
      </c>
      <c r="FE51" s="18">
        <f t="shared" si="5"/>
        <v>2</v>
      </c>
      <c r="FF51" s="18">
        <f t="shared" si="5"/>
        <v>2</v>
      </c>
      <c r="FG51" s="18">
        <f t="shared" si="5"/>
        <v>2</v>
      </c>
      <c r="FH51" s="18">
        <f t="shared" si="5"/>
        <v>2</v>
      </c>
      <c r="FI51" s="18">
        <f t="shared" si="5"/>
        <v>2</v>
      </c>
      <c r="FJ51" s="18">
        <f t="shared" si="5"/>
        <v>2</v>
      </c>
      <c r="FK51" s="18">
        <f t="shared" si="5"/>
        <v>2</v>
      </c>
      <c r="FL51" s="18">
        <f t="shared" si="5"/>
        <v>2</v>
      </c>
      <c r="FM51" s="18">
        <f t="shared" si="5"/>
        <v>2</v>
      </c>
      <c r="FN51" s="18">
        <f t="shared" si="5"/>
        <v>2</v>
      </c>
      <c r="FO51" s="18">
        <f t="shared" si="5"/>
        <v>2</v>
      </c>
      <c r="FP51" s="18">
        <f t="shared" si="5"/>
        <v>2</v>
      </c>
      <c r="FQ51" s="18">
        <f t="shared" si="5"/>
        <v>2</v>
      </c>
      <c r="FR51" s="18">
        <f t="shared" si="5"/>
        <v>2</v>
      </c>
      <c r="FS51" s="18">
        <f t="shared" si="5"/>
        <v>2</v>
      </c>
      <c r="FT51" s="18">
        <f t="shared" si="5"/>
        <v>2</v>
      </c>
      <c r="FU51" s="18">
        <f t="shared" si="5"/>
        <v>2</v>
      </c>
      <c r="FV51" s="18">
        <f t="shared" si="5"/>
        <v>2</v>
      </c>
      <c r="FW51" s="18">
        <f t="shared" si="5"/>
        <v>2</v>
      </c>
      <c r="FX51" s="18">
        <f t="shared" si="5"/>
        <v>2</v>
      </c>
      <c r="FY51" s="18">
        <f t="shared" si="5"/>
        <v>2</v>
      </c>
      <c r="FZ51" s="18">
        <f t="shared" si="5"/>
        <v>2</v>
      </c>
      <c r="GA51" s="18">
        <f t="shared" si="5"/>
        <v>2</v>
      </c>
      <c r="GB51" s="18">
        <f t="shared" si="5"/>
        <v>2</v>
      </c>
      <c r="GC51" s="18">
        <f t="shared" si="5"/>
        <v>2</v>
      </c>
      <c r="GD51" s="18">
        <f t="shared" si="5"/>
        <v>2</v>
      </c>
      <c r="GE51" s="18">
        <f t="shared" si="5"/>
        <v>2</v>
      </c>
      <c r="GF51" s="18">
        <f t="shared" si="5"/>
        <v>2</v>
      </c>
      <c r="GG51" s="18">
        <f t="shared" si="5"/>
        <v>2</v>
      </c>
      <c r="GH51" s="18">
        <f t="shared" si="5"/>
        <v>2</v>
      </c>
      <c r="GI51" s="18">
        <f t="shared" si="5"/>
        <v>2</v>
      </c>
      <c r="GJ51" s="18">
        <f t="shared" si="5"/>
        <v>2</v>
      </c>
      <c r="GK51" s="18">
        <f t="shared" si="5"/>
        <v>2</v>
      </c>
      <c r="GL51" s="18">
        <f t="shared" si="5"/>
        <v>2</v>
      </c>
      <c r="GM51" s="18">
        <f t="shared" si="5"/>
        <v>2</v>
      </c>
      <c r="GN51" s="18">
        <f t="shared" si="5"/>
        <v>2</v>
      </c>
      <c r="GO51" s="18">
        <f t="shared" si="5"/>
        <v>0</v>
      </c>
      <c r="GP51" s="18">
        <f t="shared" si="5"/>
        <v>2</v>
      </c>
      <c r="GQ51" s="18">
        <f t="shared" si="5"/>
        <v>2</v>
      </c>
      <c r="GR51" s="18">
        <f t="shared" si="5"/>
        <v>2</v>
      </c>
      <c r="GS51" s="18">
        <f t="shared" si="5"/>
        <v>2</v>
      </c>
      <c r="GT51" s="18">
        <f t="shared" si="5"/>
        <v>2</v>
      </c>
      <c r="GU51" s="18">
        <f t="shared" si="5"/>
        <v>2</v>
      </c>
      <c r="GV51" s="18">
        <f t="shared" si="5"/>
        <v>2</v>
      </c>
      <c r="GW51" s="18">
        <f t="shared" si="5"/>
        <v>2</v>
      </c>
      <c r="GX51" s="18">
        <f t="shared" si="5"/>
        <v>2</v>
      </c>
      <c r="GY51" s="18">
        <f t="shared" si="5"/>
        <v>2</v>
      </c>
      <c r="GZ51" s="18">
        <f t="shared" si="5"/>
        <v>2</v>
      </c>
      <c r="HA51" s="18">
        <f t="shared" si="5"/>
        <v>2</v>
      </c>
      <c r="HB51" s="18">
        <f t="shared" si="5"/>
        <v>2</v>
      </c>
      <c r="HC51" s="18">
        <f t="shared" si="5"/>
        <v>2</v>
      </c>
      <c r="HD51" s="18">
        <f t="shared" si="5"/>
        <v>2</v>
      </c>
      <c r="HE51" s="18">
        <f t="shared" si="5"/>
        <v>2</v>
      </c>
      <c r="HF51" s="18">
        <f t="shared" si="5"/>
        <v>2</v>
      </c>
      <c r="HG51" s="18">
        <f t="shared" si="5"/>
        <v>2</v>
      </c>
      <c r="HH51" s="18">
        <f t="shared" si="5"/>
        <v>2</v>
      </c>
      <c r="HI51" s="18">
        <f t="shared" si="5"/>
        <v>2</v>
      </c>
      <c r="HJ51" s="18">
        <f t="shared" si="5"/>
        <v>2</v>
      </c>
      <c r="HK51" s="18">
        <f t="shared" si="5"/>
        <v>2</v>
      </c>
      <c r="HL51" s="18">
        <f t="shared" si="5"/>
        <v>2</v>
      </c>
      <c r="HM51" s="18">
        <f t="shared" si="5"/>
        <v>2</v>
      </c>
      <c r="HN51" s="18">
        <f t="shared" si="5"/>
        <v>2</v>
      </c>
      <c r="HO51" s="18">
        <f t="shared" si="5"/>
        <v>2</v>
      </c>
      <c r="HP51" s="18">
        <f t="shared" si="5"/>
        <v>2</v>
      </c>
      <c r="HQ51" s="18">
        <f t="shared" si="5"/>
        <v>2</v>
      </c>
      <c r="HR51" s="18">
        <f t="shared" si="5"/>
        <v>2</v>
      </c>
      <c r="HS51" s="18">
        <f t="shared" si="5"/>
        <v>2</v>
      </c>
      <c r="HT51" s="18">
        <f t="shared" si="5"/>
        <v>2</v>
      </c>
      <c r="HU51" s="18">
        <f t="shared" si="5"/>
        <v>2</v>
      </c>
      <c r="HV51" s="18">
        <f t="shared" si="5"/>
        <v>2</v>
      </c>
      <c r="HW51" s="18">
        <f t="shared" si="5"/>
        <v>2</v>
      </c>
      <c r="HX51" s="18">
        <f t="shared" si="5"/>
        <v>2</v>
      </c>
      <c r="HY51" s="18">
        <f t="shared" si="5"/>
        <v>2</v>
      </c>
      <c r="HZ51" s="18">
        <f t="shared" si="5"/>
        <v>2</v>
      </c>
      <c r="IA51" s="18">
        <f t="shared" si="5"/>
        <v>2</v>
      </c>
      <c r="IB51" s="18">
        <f t="shared" si="5"/>
        <v>2</v>
      </c>
      <c r="IC51" s="18">
        <f t="shared" si="5"/>
        <v>2</v>
      </c>
      <c r="ID51" s="18">
        <f t="shared" si="5"/>
        <v>2</v>
      </c>
      <c r="IE51" s="18">
        <f t="shared" si="5"/>
        <v>2</v>
      </c>
      <c r="IF51" s="18">
        <f t="shared" si="5"/>
        <v>2</v>
      </c>
      <c r="IG51" s="18">
        <f t="shared" si="5"/>
        <v>2</v>
      </c>
      <c r="IH51" s="18">
        <f t="shared" si="5"/>
        <v>2</v>
      </c>
      <c r="II51" s="18">
        <f t="shared" si="5"/>
        <v>2</v>
      </c>
      <c r="IJ51" s="18">
        <f t="shared" si="5"/>
        <v>2</v>
      </c>
      <c r="IK51" s="18">
        <f t="shared" si="5"/>
        <v>2</v>
      </c>
      <c r="IL51" s="18">
        <f t="shared" si="5"/>
        <v>0</v>
      </c>
      <c r="IM51" s="18">
        <f t="shared" si="5"/>
        <v>2</v>
      </c>
      <c r="IN51" s="18">
        <f t="shared" si="5"/>
        <v>0</v>
      </c>
      <c r="IO51" s="18">
        <f t="shared" si="5"/>
        <v>2</v>
      </c>
      <c r="IP51" s="18">
        <f t="shared" si="5"/>
        <v>2</v>
      </c>
      <c r="IQ51" s="18">
        <f t="shared" si="5"/>
        <v>2</v>
      </c>
      <c r="IR51" s="18">
        <f t="shared" si="5"/>
        <v>2</v>
      </c>
      <c r="IS51" s="18">
        <f t="shared" si="5"/>
        <v>2</v>
      </c>
      <c r="IT51" s="18">
        <f t="shared" si="5"/>
        <v>2</v>
      </c>
      <c r="IU51" s="18">
        <f t="shared" si="5"/>
        <v>2</v>
      </c>
      <c r="IV51" s="18">
        <f t="shared" si="5"/>
        <v>2</v>
      </c>
      <c r="IW51" s="18">
        <f t="shared" si="5"/>
        <v>2</v>
      </c>
      <c r="IX51" s="18">
        <f t="shared" si="5"/>
        <v>2</v>
      </c>
      <c r="IY51" s="18">
        <f t="shared" si="5"/>
        <v>2</v>
      </c>
      <c r="IZ51" s="18">
        <f t="shared" si="5"/>
        <v>2</v>
      </c>
      <c r="JA51" s="18">
        <f t="shared" si="5"/>
        <v>2</v>
      </c>
      <c r="JB51" s="18">
        <f t="shared" si="5"/>
        <v>2</v>
      </c>
      <c r="JC51" s="18">
        <f t="shared" si="5"/>
        <v>2</v>
      </c>
      <c r="JD51" s="18">
        <f t="shared" si="5"/>
        <v>2</v>
      </c>
      <c r="JE51" s="18">
        <f t="shared" si="5"/>
        <v>2</v>
      </c>
      <c r="JF51" s="18">
        <f t="shared" si="5"/>
        <v>2</v>
      </c>
      <c r="JG51" s="18">
        <f t="shared" si="5"/>
        <v>2</v>
      </c>
      <c r="JH51" s="18">
        <f t="shared" si="5"/>
        <v>2</v>
      </c>
      <c r="JI51" s="18">
        <f t="shared" si="5"/>
        <v>2</v>
      </c>
      <c r="JJ51" s="18">
        <f t="shared" si="5"/>
        <v>2</v>
      </c>
      <c r="JK51" s="18">
        <f t="shared" si="5"/>
        <v>2</v>
      </c>
      <c r="JL51" s="18">
        <f t="shared" si="5"/>
        <v>2</v>
      </c>
      <c r="JM51" s="18">
        <f t="shared" si="5"/>
        <v>2</v>
      </c>
      <c r="JN51" s="18">
        <f t="shared" si="5"/>
        <v>2</v>
      </c>
      <c r="JO51" s="18">
        <f t="shared" si="5"/>
        <v>2</v>
      </c>
      <c r="JP51" s="18">
        <f t="shared" si="5"/>
        <v>2</v>
      </c>
      <c r="JQ51" s="18">
        <f t="shared" si="5"/>
        <v>2</v>
      </c>
      <c r="JR51" s="18">
        <f t="shared" si="5"/>
        <v>2</v>
      </c>
      <c r="JS51" s="18">
        <f t="shared" si="5"/>
        <v>2</v>
      </c>
      <c r="JT51" s="18">
        <f t="shared" si="5"/>
        <v>2</v>
      </c>
      <c r="JU51" s="18">
        <f t="shared" si="5"/>
        <v>2</v>
      </c>
      <c r="JV51" s="18">
        <f t="shared" si="5"/>
        <v>2</v>
      </c>
      <c r="JW51" s="18">
        <f t="shared" si="5"/>
        <v>2</v>
      </c>
      <c r="JX51" s="18">
        <f t="shared" si="5"/>
        <v>2</v>
      </c>
      <c r="JY51" s="18">
        <f t="shared" si="5"/>
        <v>2</v>
      </c>
      <c r="JZ51" s="18">
        <f t="shared" si="5"/>
        <v>2</v>
      </c>
      <c r="KA51" s="18">
        <f t="shared" si="5"/>
        <v>2</v>
      </c>
      <c r="KB51" s="18">
        <f t="shared" si="5"/>
        <v>2</v>
      </c>
      <c r="KC51" s="18">
        <f t="shared" si="5"/>
        <v>2</v>
      </c>
      <c r="KD51" s="18">
        <f t="shared" si="5"/>
        <v>2</v>
      </c>
      <c r="KE51" s="18">
        <f t="shared" si="5"/>
        <v>2</v>
      </c>
      <c r="KF51" s="18">
        <f t="shared" si="5"/>
        <v>2</v>
      </c>
      <c r="KG51" s="18">
        <f t="shared" si="5"/>
        <v>2</v>
      </c>
      <c r="KH51" s="18">
        <f t="shared" si="5"/>
        <v>2</v>
      </c>
      <c r="KI51" s="18">
        <f t="shared" si="5"/>
        <v>2</v>
      </c>
      <c r="KJ51" s="18">
        <f t="shared" si="5"/>
        <v>2</v>
      </c>
      <c r="KK51" s="18">
        <f t="shared" si="5"/>
        <v>2</v>
      </c>
      <c r="KL51" s="18">
        <f t="shared" si="5"/>
        <v>2</v>
      </c>
      <c r="KM51" s="18">
        <f t="shared" si="5"/>
        <v>2</v>
      </c>
      <c r="KN51" s="18">
        <f t="shared" si="5"/>
        <v>2</v>
      </c>
      <c r="KO51" s="18">
        <f t="shared" si="5"/>
        <v>2</v>
      </c>
      <c r="KP51" s="18">
        <f t="shared" si="5"/>
        <v>2</v>
      </c>
      <c r="KQ51" s="18">
        <f t="shared" si="5"/>
        <v>2</v>
      </c>
      <c r="KR51" s="18">
        <f t="shared" si="5"/>
        <v>0</v>
      </c>
      <c r="KS51" s="18">
        <f t="shared" si="5"/>
        <v>2</v>
      </c>
      <c r="KT51" s="18">
        <f t="shared" si="5"/>
        <v>2</v>
      </c>
      <c r="KU51" s="18">
        <f t="shared" si="5"/>
        <v>2</v>
      </c>
      <c r="KV51" s="18">
        <f t="shared" si="5"/>
        <v>2</v>
      </c>
      <c r="KW51" s="18">
        <f t="shared" si="5"/>
        <v>0</v>
      </c>
    </row>
  </sheetData>
  <dataValidations>
    <dataValidation type="list" allowBlank="1" showErrorMessage="1" sqref="C2:C47">
      <formula1>"Dr.,Prof."</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18.88"/>
    <col customWidth="1" min="3" max="3" width="17.63"/>
    <col customWidth="1" min="4" max="4" width="47.88"/>
    <col customWidth="1" hidden="1" min="5" max="5" width="20.88"/>
    <col customWidth="1" min="6" max="6" width="20.38"/>
    <col customWidth="1" min="7" max="7" width="63.75"/>
    <col customWidth="1" min="8" max="8" width="178.25"/>
    <col customWidth="1" min="9" max="11" width="18.88"/>
    <col customWidth="1" hidden="1" min="12" max="12" width="37.63"/>
    <col customWidth="1" min="13" max="13" width="18.88"/>
    <col customWidth="1" hidden="1" min="14" max="14" width="18.88"/>
    <col customWidth="1" min="15" max="15" width="20.88"/>
    <col customWidth="1" min="16" max="16" width="15.63"/>
    <col customWidth="1" min="17" max="17" width="19.38"/>
    <col customWidth="1" min="18" max="18" width="19.0"/>
    <col customWidth="1" min="19" max="19" width="14.75"/>
    <col customWidth="1" min="20" max="20" width="17.25"/>
    <col customWidth="1" min="21" max="21" width="25.5"/>
    <col customWidth="1" min="22" max="22" width="51.25"/>
    <col customWidth="1" min="23" max="26" width="18.88"/>
  </cols>
  <sheetData>
    <row r="1" ht="22.5" customHeight="1">
      <c r="A1" s="7" t="s">
        <v>2311</v>
      </c>
      <c r="B1" s="1" t="s">
        <v>0</v>
      </c>
      <c r="C1" s="1" t="s">
        <v>1</v>
      </c>
      <c r="D1" s="1" t="s">
        <v>2</v>
      </c>
      <c r="E1" s="1" t="s">
        <v>3</v>
      </c>
      <c r="F1" s="1" t="s">
        <v>4</v>
      </c>
      <c r="G1" s="8" t="s">
        <v>5</v>
      </c>
      <c r="H1" s="8" t="s">
        <v>6</v>
      </c>
      <c r="I1" s="8" t="s">
        <v>7</v>
      </c>
      <c r="J1" s="8" t="s">
        <v>8</v>
      </c>
      <c r="K1" s="8" t="s">
        <v>9</v>
      </c>
      <c r="L1" s="1" t="s">
        <v>10</v>
      </c>
      <c r="M1" s="1" t="s">
        <v>11</v>
      </c>
      <c r="N1" s="1" t="s">
        <v>12</v>
      </c>
      <c r="O1" s="1" t="s">
        <v>13</v>
      </c>
      <c r="P1" s="1" t="s">
        <v>14</v>
      </c>
      <c r="Q1" s="94" t="s">
        <v>2649</v>
      </c>
      <c r="R1" s="94" t="s">
        <v>2650</v>
      </c>
      <c r="S1" s="95" t="s">
        <v>2651</v>
      </c>
      <c r="T1" s="95" t="s">
        <v>2652</v>
      </c>
      <c r="U1" s="95" t="s">
        <v>2653</v>
      </c>
      <c r="V1" s="9" t="s">
        <v>2312</v>
      </c>
    </row>
    <row r="2" ht="22.5" customHeight="1">
      <c r="A2" s="10">
        <v>260001.0</v>
      </c>
      <c r="B2" s="4">
        <v>45974.34493689815</v>
      </c>
      <c r="C2" s="5" t="s">
        <v>32</v>
      </c>
      <c r="D2" s="5" t="s">
        <v>33</v>
      </c>
      <c r="E2" s="5" t="s">
        <v>32</v>
      </c>
      <c r="F2" s="5" t="s">
        <v>17</v>
      </c>
      <c r="G2" s="11" t="s">
        <v>34</v>
      </c>
      <c r="H2" s="11" t="s">
        <v>35</v>
      </c>
      <c r="I2" s="11" t="s">
        <v>36</v>
      </c>
      <c r="J2" s="11" t="s">
        <v>37</v>
      </c>
      <c r="K2" s="11" t="s">
        <v>38</v>
      </c>
      <c r="L2" s="5" t="s">
        <v>23</v>
      </c>
      <c r="M2" s="5" t="s">
        <v>39</v>
      </c>
      <c r="N2" s="5" t="s">
        <v>39</v>
      </c>
      <c r="O2" s="5" t="s">
        <v>40</v>
      </c>
      <c r="P2" s="5" t="s">
        <v>41</v>
      </c>
      <c r="Q2" s="3" t="s">
        <v>2520</v>
      </c>
      <c r="R2" s="3" t="s">
        <v>2549</v>
      </c>
      <c r="S2" s="3" t="s">
        <v>30</v>
      </c>
      <c r="T2" s="12"/>
      <c r="U2" s="12"/>
      <c r="V2" s="12"/>
    </row>
    <row r="3" ht="22.5" customHeight="1">
      <c r="A3" s="14">
        <v>260002.0</v>
      </c>
      <c r="B3" s="4">
        <v>45975.225543356486</v>
      </c>
      <c r="C3" s="5" t="s">
        <v>42</v>
      </c>
      <c r="D3" s="5" t="s">
        <v>43</v>
      </c>
      <c r="E3" s="5" t="s">
        <v>42</v>
      </c>
      <c r="F3" s="5" t="s">
        <v>17</v>
      </c>
      <c r="G3" s="13" t="s">
        <v>44</v>
      </c>
      <c r="H3" s="13" t="s">
        <v>45</v>
      </c>
      <c r="I3" s="11" t="s">
        <v>46</v>
      </c>
      <c r="J3" s="11" t="s">
        <v>47</v>
      </c>
      <c r="K3" s="11" t="s">
        <v>48</v>
      </c>
      <c r="L3" s="5" t="s">
        <v>30</v>
      </c>
      <c r="M3" s="5" t="s">
        <v>49</v>
      </c>
      <c r="N3" s="5" t="s">
        <v>50</v>
      </c>
      <c r="O3" s="5" t="s">
        <v>51</v>
      </c>
      <c r="P3" s="5" t="s">
        <v>52</v>
      </c>
      <c r="Q3" s="3" t="s">
        <v>2645</v>
      </c>
      <c r="R3" s="3" t="s">
        <v>2654</v>
      </c>
      <c r="S3" s="3" t="s">
        <v>30</v>
      </c>
      <c r="T3" s="12"/>
      <c r="U3" s="12"/>
      <c r="V3" s="12"/>
    </row>
    <row r="4" ht="22.5" customHeight="1">
      <c r="A4" s="10">
        <v>260003.0</v>
      </c>
      <c r="B4" s="4">
        <v>45975.335964513884</v>
      </c>
      <c r="C4" s="5" t="s">
        <v>53</v>
      </c>
      <c r="D4" s="5" t="s">
        <v>54</v>
      </c>
      <c r="E4" s="5" t="s">
        <v>53</v>
      </c>
      <c r="F4" s="5" t="s">
        <v>17</v>
      </c>
      <c r="G4" s="11" t="s">
        <v>55</v>
      </c>
      <c r="H4" s="13" t="s">
        <v>2313</v>
      </c>
      <c r="I4" s="11" t="s">
        <v>57</v>
      </c>
      <c r="J4" s="11" t="s">
        <v>58</v>
      </c>
      <c r="K4" s="11" t="s">
        <v>59</v>
      </c>
      <c r="L4" s="5" t="s">
        <v>30</v>
      </c>
      <c r="M4" s="5" t="s">
        <v>60</v>
      </c>
      <c r="N4" s="5" t="s">
        <v>61</v>
      </c>
      <c r="O4" s="5" t="s">
        <v>51</v>
      </c>
      <c r="P4" s="5" t="s">
        <v>52</v>
      </c>
      <c r="Q4" s="5" t="s">
        <v>2427</v>
      </c>
      <c r="R4" s="5" t="s">
        <v>2473</v>
      </c>
      <c r="S4" s="5" t="s">
        <v>30</v>
      </c>
      <c r="T4" s="5" t="s">
        <v>2655</v>
      </c>
      <c r="U4" s="5" t="s">
        <v>2656</v>
      </c>
      <c r="V4" s="13" t="s">
        <v>2657</v>
      </c>
    </row>
    <row r="5" ht="22.5" customHeight="1">
      <c r="A5" s="10">
        <v>260004.0</v>
      </c>
      <c r="B5" s="4">
        <v>45975.726207430554</v>
      </c>
      <c r="C5" s="5" t="s">
        <v>62</v>
      </c>
      <c r="D5" s="5" t="s">
        <v>63</v>
      </c>
      <c r="E5" s="5" t="s">
        <v>62</v>
      </c>
      <c r="F5" s="5" t="s">
        <v>64</v>
      </c>
      <c r="G5" s="11" t="s">
        <v>65</v>
      </c>
      <c r="H5" s="11" t="s">
        <v>66</v>
      </c>
      <c r="I5" s="11" t="s">
        <v>67</v>
      </c>
      <c r="J5" s="11" t="s">
        <v>68</v>
      </c>
      <c r="K5" s="11" t="s">
        <v>69</v>
      </c>
      <c r="L5" s="5" t="s">
        <v>30</v>
      </c>
      <c r="M5" s="5" t="s">
        <v>70</v>
      </c>
      <c r="N5" s="5" t="s">
        <v>71</v>
      </c>
      <c r="O5" s="5" t="s">
        <v>72</v>
      </c>
      <c r="P5" s="5" t="s">
        <v>73</v>
      </c>
      <c r="Q5" s="3" t="s">
        <v>2381</v>
      </c>
      <c r="R5" s="3" t="s">
        <v>2407</v>
      </c>
      <c r="S5" s="3" t="s">
        <v>30</v>
      </c>
      <c r="T5" s="12"/>
      <c r="U5" s="12"/>
      <c r="V5" s="3" t="s">
        <v>2658</v>
      </c>
    </row>
    <row r="6" ht="22.5" customHeight="1">
      <c r="A6" s="10">
        <v>260005.0</v>
      </c>
      <c r="B6" s="4">
        <v>45977.07979894676</v>
      </c>
      <c r="C6" s="5" t="s">
        <v>74</v>
      </c>
      <c r="D6" s="5" t="s">
        <v>75</v>
      </c>
      <c r="E6" s="5" t="s">
        <v>74</v>
      </c>
      <c r="F6" s="5" t="s">
        <v>17</v>
      </c>
      <c r="G6" s="11" t="s">
        <v>76</v>
      </c>
      <c r="H6" s="11" t="s">
        <v>77</v>
      </c>
      <c r="I6" s="11" t="s">
        <v>78</v>
      </c>
      <c r="J6" s="11" t="s">
        <v>79</v>
      </c>
      <c r="K6" s="11" t="s">
        <v>80</v>
      </c>
      <c r="L6" s="5" t="s">
        <v>30</v>
      </c>
      <c r="M6" s="5" t="s">
        <v>81</v>
      </c>
      <c r="N6" s="5" t="s">
        <v>61</v>
      </c>
      <c r="O6" s="5" t="s">
        <v>51</v>
      </c>
      <c r="P6" s="5" t="s">
        <v>51</v>
      </c>
      <c r="Q6" s="3" t="s">
        <v>2487</v>
      </c>
      <c r="R6" s="3" t="s">
        <v>2514</v>
      </c>
      <c r="S6" s="3" t="s">
        <v>30</v>
      </c>
      <c r="T6" s="12"/>
      <c r="U6" s="3" t="s">
        <v>2631</v>
      </c>
      <c r="V6" s="12"/>
    </row>
    <row r="7" ht="22.5" customHeight="1">
      <c r="A7" s="96">
        <v>260006.0</v>
      </c>
      <c r="B7" s="97">
        <v>45978.73710452546</v>
      </c>
      <c r="C7" s="98" t="s">
        <v>82</v>
      </c>
      <c r="D7" s="98" t="s">
        <v>83</v>
      </c>
      <c r="E7" s="98" t="s">
        <v>82</v>
      </c>
      <c r="F7" s="98" t="s">
        <v>17</v>
      </c>
      <c r="G7" s="99" t="s">
        <v>84</v>
      </c>
      <c r="H7" s="99" t="s">
        <v>85</v>
      </c>
      <c r="I7" s="99" t="s">
        <v>86</v>
      </c>
      <c r="J7" s="99" t="s">
        <v>87</v>
      </c>
      <c r="K7" s="99" t="s">
        <v>88</v>
      </c>
      <c r="L7" s="98" t="s">
        <v>30</v>
      </c>
      <c r="M7" s="98" t="s">
        <v>89</v>
      </c>
      <c r="N7" s="98" t="s">
        <v>25</v>
      </c>
      <c r="O7" s="98" t="s">
        <v>51</v>
      </c>
      <c r="P7" s="98" t="s">
        <v>52</v>
      </c>
      <c r="Q7" s="98" t="s">
        <v>2631</v>
      </c>
      <c r="R7" s="98" t="s">
        <v>2631</v>
      </c>
      <c r="S7" s="100"/>
      <c r="T7" s="98" t="s">
        <v>2659</v>
      </c>
      <c r="U7" s="100"/>
      <c r="V7" s="100"/>
      <c r="W7" s="101"/>
      <c r="X7" s="101"/>
      <c r="Y7" s="101"/>
      <c r="Z7" s="101"/>
    </row>
    <row r="8" ht="22.5" customHeight="1">
      <c r="A8" s="96">
        <v>260007.0</v>
      </c>
      <c r="B8" s="97">
        <v>45978.74664513889</v>
      </c>
      <c r="C8" s="98" t="s">
        <v>82</v>
      </c>
      <c r="D8" s="98" t="s">
        <v>83</v>
      </c>
      <c r="E8" s="98" t="s">
        <v>82</v>
      </c>
      <c r="F8" s="98" t="s">
        <v>17</v>
      </c>
      <c r="G8" s="99" t="s">
        <v>90</v>
      </c>
      <c r="H8" s="99" t="s">
        <v>91</v>
      </c>
      <c r="I8" s="99" t="s">
        <v>92</v>
      </c>
      <c r="J8" s="99" t="s">
        <v>93</v>
      </c>
      <c r="K8" s="99" t="s">
        <v>94</v>
      </c>
      <c r="L8" s="98" t="s">
        <v>30</v>
      </c>
      <c r="M8" s="98" t="s">
        <v>89</v>
      </c>
      <c r="N8" s="98" t="s">
        <v>25</v>
      </c>
      <c r="O8" s="98" t="s">
        <v>51</v>
      </c>
      <c r="P8" s="98" t="s">
        <v>52</v>
      </c>
      <c r="Q8" s="98" t="s">
        <v>2631</v>
      </c>
      <c r="R8" s="98" t="s">
        <v>2631</v>
      </c>
      <c r="S8" s="100"/>
      <c r="T8" s="98" t="s">
        <v>2659</v>
      </c>
      <c r="U8" s="100"/>
      <c r="V8" s="100"/>
      <c r="W8" s="101"/>
      <c r="X8" s="101"/>
      <c r="Y8" s="101"/>
      <c r="Z8" s="101"/>
    </row>
    <row r="9" ht="22.5" customHeight="1">
      <c r="A9" s="96">
        <v>260008.0</v>
      </c>
      <c r="B9" s="97">
        <v>45978.752676296295</v>
      </c>
      <c r="C9" s="98" t="s">
        <v>82</v>
      </c>
      <c r="D9" s="98" t="s">
        <v>83</v>
      </c>
      <c r="E9" s="98" t="s">
        <v>82</v>
      </c>
      <c r="F9" s="98" t="s">
        <v>17</v>
      </c>
      <c r="G9" s="99" t="s">
        <v>95</v>
      </c>
      <c r="H9" s="99" t="s">
        <v>96</v>
      </c>
      <c r="I9" s="99" t="s">
        <v>97</v>
      </c>
      <c r="J9" s="99" t="s">
        <v>98</v>
      </c>
      <c r="K9" s="99" t="s">
        <v>99</v>
      </c>
      <c r="L9" s="98" t="s">
        <v>30</v>
      </c>
      <c r="M9" s="98" t="s">
        <v>89</v>
      </c>
      <c r="N9" s="98" t="s">
        <v>25</v>
      </c>
      <c r="O9" s="98" t="s">
        <v>51</v>
      </c>
      <c r="P9" s="98" t="s">
        <v>52</v>
      </c>
      <c r="Q9" s="98" t="s">
        <v>2631</v>
      </c>
      <c r="R9" s="98" t="s">
        <v>2631</v>
      </c>
      <c r="S9" s="100"/>
      <c r="T9" s="98" t="s">
        <v>2659</v>
      </c>
      <c r="U9" s="100"/>
      <c r="V9" s="100"/>
      <c r="W9" s="101"/>
      <c r="X9" s="101"/>
      <c r="Y9" s="101"/>
      <c r="Z9" s="101"/>
    </row>
    <row r="10" ht="22.5" customHeight="1">
      <c r="A10" s="10">
        <v>260009.0</v>
      </c>
      <c r="B10" s="4">
        <v>45978.76234328704</v>
      </c>
      <c r="C10" s="5" t="s">
        <v>82</v>
      </c>
      <c r="D10" s="5" t="s">
        <v>83</v>
      </c>
      <c r="E10" s="5" t="s">
        <v>82</v>
      </c>
      <c r="F10" s="5" t="s">
        <v>64</v>
      </c>
      <c r="G10" s="11" t="s">
        <v>100</v>
      </c>
      <c r="H10" s="11" t="s">
        <v>101</v>
      </c>
      <c r="I10" s="11" t="s">
        <v>86</v>
      </c>
      <c r="J10" s="11" t="s">
        <v>102</v>
      </c>
      <c r="K10" s="11" t="s">
        <v>103</v>
      </c>
      <c r="L10" s="5" t="s">
        <v>30</v>
      </c>
      <c r="M10" s="5" t="s">
        <v>89</v>
      </c>
      <c r="N10" s="5" t="s">
        <v>25</v>
      </c>
      <c r="O10" s="5" t="s">
        <v>51</v>
      </c>
      <c r="P10" s="5" t="s">
        <v>51</v>
      </c>
      <c r="Q10" s="3" t="s">
        <v>2635</v>
      </c>
      <c r="R10" s="3" t="s">
        <v>2580</v>
      </c>
      <c r="S10" s="3" t="s">
        <v>30</v>
      </c>
      <c r="T10" s="12"/>
      <c r="U10" s="12"/>
      <c r="V10" s="12"/>
    </row>
    <row r="11" ht="22.5" customHeight="1">
      <c r="A11" s="10">
        <v>260010.0</v>
      </c>
      <c r="B11" s="4">
        <v>45978.95245471065</v>
      </c>
      <c r="C11" s="5" t="s">
        <v>104</v>
      </c>
      <c r="D11" s="5" t="s">
        <v>104</v>
      </c>
      <c r="E11" s="5" t="s">
        <v>104</v>
      </c>
      <c r="F11" s="5" t="s">
        <v>17</v>
      </c>
      <c r="G11" s="11" t="s">
        <v>105</v>
      </c>
      <c r="H11" s="11" t="s">
        <v>106</v>
      </c>
      <c r="I11" s="11" t="s">
        <v>107</v>
      </c>
      <c r="J11" s="11" t="s">
        <v>108</v>
      </c>
      <c r="K11" s="11" t="s">
        <v>109</v>
      </c>
      <c r="L11" s="5" t="s">
        <v>30</v>
      </c>
      <c r="M11" s="5" t="s">
        <v>110</v>
      </c>
      <c r="N11" s="5" t="s">
        <v>111</v>
      </c>
      <c r="O11" s="5" t="s">
        <v>51</v>
      </c>
      <c r="P11" s="5" t="s">
        <v>73</v>
      </c>
      <c r="Q11" s="5" t="s">
        <v>2381</v>
      </c>
      <c r="R11" s="5" t="s">
        <v>2592</v>
      </c>
      <c r="S11" s="5" t="s">
        <v>30</v>
      </c>
      <c r="U11" s="102"/>
      <c r="V11" s="102"/>
    </row>
    <row r="12" ht="22.5" customHeight="1">
      <c r="A12" s="10">
        <v>260011.0</v>
      </c>
      <c r="B12" s="4">
        <v>45979.30210460648</v>
      </c>
      <c r="C12" s="5" t="s">
        <v>112</v>
      </c>
      <c r="D12" s="5" t="s">
        <v>113</v>
      </c>
      <c r="E12" s="5" t="s">
        <v>112</v>
      </c>
      <c r="F12" s="5" t="s">
        <v>17</v>
      </c>
      <c r="G12" s="11" t="s">
        <v>114</v>
      </c>
      <c r="H12" s="11" t="s">
        <v>115</v>
      </c>
      <c r="I12" s="11" t="s">
        <v>116</v>
      </c>
      <c r="J12" s="11" t="s">
        <v>117</v>
      </c>
      <c r="K12" s="11" t="s">
        <v>118</v>
      </c>
      <c r="L12" s="5" t="s">
        <v>30</v>
      </c>
      <c r="M12" s="5" t="s">
        <v>81</v>
      </c>
      <c r="N12" s="5" t="s">
        <v>119</v>
      </c>
      <c r="O12" s="5" t="s">
        <v>51</v>
      </c>
      <c r="P12" s="5" t="s">
        <v>52</v>
      </c>
      <c r="Q12" s="3" t="s">
        <v>2618</v>
      </c>
      <c r="R12" s="3" t="s">
        <v>2529</v>
      </c>
      <c r="S12" s="3" t="s">
        <v>30</v>
      </c>
      <c r="T12" s="12"/>
      <c r="U12" s="3" t="s">
        <v>2660</v>
      </c>
      <c r="V12" s="12"/>
    </row>
    <row r="13" ht="22.5" customHeight="1">
      <c r="A13" s="10">
        <v>260012.0</v>
      </c>
      <c r="B13" s="4">
        <v>45979.31965983796</v>
      </c>
      <c r="C13" s="5" t="s">
        <v>120</v>
      </c>
      <c r="D13" s="5" t="s">
        <v>121</v>
      </c>
      <c r="E13" s="5" t="s">
        <v>120</v>
      </c>
      <c r="F13" s="5" t="s">
        <v>64</v>
      </c>
      <c r="G13" s="11" t="s">
        <v>122</v>
      </c>
      <c r="H13" s="11" t="s">
        <v>123</v>
      </c>
      <c r="I13" s="11" t="s">
        <v>124</v>
      </c>
      <c r="J13" s="11" t="s">
        <v>125</v>
      </c>
      <c r="K13" s="11" t="s">
        <v>126</v>
      </c>
      <c r="L13" s="5" t="s">
        <v>30</v>
      </c>
      <c r="M13" s="5" t="s">
        <v>127</v>
      </c>
      <c r="N13" s="5" t="s">
        <v>128</v>
      </c>
      <c r="O13" s="5" t="s">
        <v>51</v>
      </c>
      <c r="P13" s="5" t="s">
        <v>52</v>
      </c>
      <c r="Q13" s="3" t="s">
        <v>2661</v>
      </c>
      <c r="R13" s="3" t="s">
        <v>2623</v>
      </c>
      <c r="S13" s="3" t="s">
        <v>30</v>
      </c>
      <c r="T13" s="12"/>
      <c r="U13" s="12"/>
      <c r="V13" s="12"/>
    </row>
    <row r="14" ht="22.5" customHeight="1">
      <c r="A14" s="10">
        <v>260013.0</v>
      </c>
      <c r="B14" s="4">
        <v>45979.78735119213</v>
      </c>
      <c r="C14" s="5" t="s">
        <v>129</v>
      </c>
      <c r="D14" s="5" t="s">
        <v>130</v>
      </c>
      <c r="E14" s="5" t="s">
        <v>129</v>
      </c>
      <c r="F14" s="5" t="s">
        <v>131</v>
      </c>
      <c r="G14" s="11" t="s">
        <v>132</v>
      </c>
      <c r="H14" s="11" t="s">
        <v>133</v>
      </c>
      <c r="I14" s="11" t="s">
        <v>134</v>
      </c>
      <c r="J14" s="11" t="s">
        <v>135</v>
      </c>
      <c r="K14" s="11" t="s">
        <v>136</v>
      </c>
      <c r="L14" s="5" t="s">
        <v>30</v>
      </c>
      <c r="M14" s="5" t="s">
        <v>137</v>
      </c>
      <c r="N14" s="5" t="s">
        <v>61</v>
      </c>
      <c r="O14" s="5" t="s">
        <v>72</v>
      </c>
      <c r="P14" s="5" t="s">
        <v>73</v>
      </c>
      <c r="Q14" s="5" t="s">
        <v>2644</v>
      </c>
      <c r="R14" s="5" t="s">
        <v>2544</v>
      </c>
      <c r="S14" s="5" t="s">
        <v>30</v>
      </c>
      <c r="T14" s="5" t="s">
        <v>2662</v>
      </c>
      <c r="U14" s="102"/>
      <c r="V14" s="11" t="s">
        <v>2663</v>
      </c>
    </row>
    <row r="15" ht="22.5" customHeight="1">
      <c r="A15" s="10">
        <v>260014.0</v>
      </c>
      <c r="B15" s="4">
        <v>45980.88713109954</v>
      </c>
      <c r="C15" s="5" t="s">
        <v>138</v>
      </c>
      <c r="D15" s="5" t="s">
        <v>139</v>
      </c>
      <c r="E15" s="5" t="s">
        <v>138</v>
      </c>
      <c r="F15" s="5" t="s">
        <v>17</v>
      </c>
      <c r="G15" s="11" t="s">
        <v>140</v>
      </c>
      <c r="H15" s="11" t="s">
        <v>141</v>
      </c>
      <c r="I15" s="11" t="s">
        <v>142</v>
      </c>
      <c r="J15" s="11" t="s">
        <v>143</v>
      </c>
      <c r="K15" s="11" t="s">
        <v>144</v>
      </c>
      <c r="L15" s="5" t="s">
        <v>30</v>
      </c>
      <c r="M15" s="5" t="s">
        <v>145</v>
      </c>
      <c r="N15" s="5" t="s">
        <v>119</v>
      </c>
      <c r="O15" s="5" t="s">
        <v>51</v>
      </c>
      <c r="P15" s="5" t="s">
        <v>52</v>
      </c>
      <c r="Q15" s="3" t="s">
        <v>2359</v>
      </c>
      <c r="R15" s="3" t="s">
        <v>2602</v>
      </c>
      <c r="S15" s="3" t="s">
        <v>30</v>
      </c>
      <c r="T15" s="12"/>
      <c r="U15" s="12"/>
      <c r="V15" s="12"/>
    </row>
    <row r="16" ht="22.5" customHeight="1">
      <c r="A16" s="10">
        <v>260015.0</v>
      </c>
      <c r="B16" s="4">
        <v>45981.13116849537</v>
      </c>
      <c r="C16" s="5" t="s">
        <v>146</v>
      </c>
      <c r="D16" s="5" t="s">
        <v>147</v>
      </c>
      <c r="E16" s="5" t="s">
        <v>146</v>
      </c>
      <c r="F16" s="5" t="s">
        <v>64</v>
      </c>
      <c r="G16" s="11" t="s">
        <v>148</v>
      </c>
      <c r="H16" s="11" t="s">
        <v>149</v>
      </c>
      <c r="I16" s="11" t="s">
        <v>150</v>
      </c>
      <c r="J16" s="11" t="s">
        <v>151</v>
      </c>
      <c r="K16" s="11" t="s">
        <v>152</v>
      </c>
      <c r="L16" s="5" t="s">
        <v>30</v>
      </c>
      <c r="M16" s="5" t="s">
        <v>153</v>
      </c>
      <c r="N16" s="5" t="s">
        <v>71</v>
      </c>
      <c r="O16" s="5" t="s">
        <v>154</v>
      </c>
      <c r="P16" s="5" t="s">
        <v>52</v>
      </c>
      <c r="Q16" s="3" t="s">
        <v>2586</v>
      </c>
      <c r="R16" s="3" t="s">
        <v>2630</v>
      </c>
      <c r="S16" s="3" t="s">
        <v>30</v>
      </c>
      <c r="T16" s="12"/>
      <c r="U16" s="12"/>
      <c r="V16" s="3"/>
    </row>
    <row r="17" ht="22.5" customHeight="1">
      <c r="A17" s="14">
        <v>260016.0</v>
      </c>
      <c r="B17" s="4">
        <v>45981.39701994213</v>
      </c>
      <c r="C17" s="5" t="s">
        <v>155</v>
      </c>
      <c r="D17" s="5" t="s">
        <v>156</v>
      </c>
      <c r="E17" s="5" t="s">
        <v>155</v>
      </c>
      <c r="F17" s="5" t="s">
        <v>17</v>
      </c>
      <c r="G17" s="13" t="s">
        <v>157</v>
      </c>
      <c r="H17" s="13" t="s">
        <v>158</v>
      </c>
      <c r="I17" s="11" t="s">
        <v>159</v>
      </c>
      <c r="J17" s="11" t="s">
        <v>160</v>
      </c>
      <c r="K17" s="11" t="s">
        <v>161</v>
      </c>
      <c r="L17" s="5" t="s">
        <v>162</v>
      </c>
      <c r="M17" s="5" t="s">
        <v>163</v>
      </c>
      <c r="N17" s="5" t="s">
        <v>164</v>
      </c>
      <c r="O17" s="5" t="s">
        <v>40</v>
      </c>
      <c r="P17" s="5" t="s">
        <v>40</v>
      </c>
      <c r="Q17" s="3" t="s">
        <v>2646</v>
      </c>
      <c r="R17" s="3" t="s">
        <v>2554</v>
      </c>
      <c r="S17" s="3" t="s">
        <v>30</v>
      </c>
      <c r="T17" s="12"/>
      <c r="U17" s="12"/>
      <c r="V17" s="12"/>
    </row>
    <row r="18" ht="22.5" customHeight="1">
      <c r="A18" s="10">
        <v>260017.0</v>
      </c>
      <c r="B18" s="4">
        <v>45982.02289770833</v>
      </c>
      <c r="C18" s="5" t="s">
        <v>165</v>
      </c>
      <c r="D18" s="5" t="s">
        <v>166</v>
      </c>
      <c r="E18" s="5" t="s">
        <v>165</v>
      </c>
      <c r="F18" s="5" t="s">
        <v>17</v>
      </c>
      <c r="G18" s="11" t="s">
        <v>167</v>
      </c>
      <c r="H18" s="11" t="s">
        <v>168</v>
      </c>
      <c r="I18" s="11" t="s">
        <v>169</v>
      </c>
      <c r="J18" s="11" t="s">
        <v>170</v>
      </c>
      <c r="K18" s="11" t="s">
        <v>171</v>
      </c>
      <c r="L18" s="5" t="s">
        <v>30</v>
      </c>
      <c r="M18" s="5" t="s">
        <v>145</v>
      </c>
      <c r="N18" s="5" t="s">
        <v>172</v>
      </c>
      <c r="O18" s="5" t="s">
        <v>173</v>
      </c>
      <c r="P18" s="5" t="s">
        <v>52</v>
      </c>
      <c r="Q18" s="3" t="s">
        <v>2664</v>
      </c>
      <c r="R18" s="3" t="s">
        <v>2420</v>
      </c>
      <c r="S18" s="3" t="s">
        <v>30</v>
      </c>
      <c r="T18" s="12"/>
      <c r="U18" s="12"/>
      <c r="V18" s="12"/>
    </row>
    <row r="19" ht="22.5" customHeight="1">
      <c r="A19" s="10">
        <v>260018.0</v>
      </c>
      <c r="B19" s="4">
        <v>45982.975774293984</v>
      </c>
      <c r="C19" s="5" t="s">
        <v>174</v>
      </c>
      <c r="D19" s="5" t="s">
        <v>175</v>
      </c>
      <c r="E19" s="5" t="s">
        <v>174</v>
      </c>
      <c r="F19" s="5" t="s">
        <v>17</v>
      </c>
      <c r="G19" s="11" t="s">
        <v>176</v>
      </c>
      <c r="H19" s="11" t="s">
        <v>177</v>
      </c>
      <c r="I19" s="11" t="s">
        <v>178</v>
      </c>
      <c r="J19" s="11" t="s">
        <v>58</v>
      </c>
      <c r="K19" s="11" t="s">
        <v>179</v>
      </c>
      <c r="L19" s="5" t="s">
        <v>30</v>
      </c>
      <c r="M19" s="5" t="s">
        <v>180</v>
      </c>
      <c r="N19" s="5" t="s">
        <v>119</v>
      </c>
      <c r="O19" s="5" t="s">
        <v>181</v>
      </c>
      <c r="P19" s="5" t="s">
        <v>182</v>
      </c>
      <c r="Q19" s="3" t="s">
        <v>2344</v>
      </c>
      <c r="R19" s="3" t="s">
        <v>2607</v>
      </c>
      <c r="S19" s="3" t="s">
        <v>30</v>
      </c>
      <c r="T19" s="12"/>
      <c r="U19" s="12"/>
      <c r="V19" s="12"/>
    </row>
    <row r="20" ht="22.5" customHeight="1">
      <c r="A20" s="10">
        <v>260019.0</v>
      </c>
      <c r="B20" s="4">
        <v>45984.148277326385</v>
      </c>
      <c r="C20" s="5" t="s">
        <v>183</v>
      </c>
      <c r="D20" s="5" t="s">
        <v>184</v>
      </c>
      <c r="E20" s="5" t="s">
        <v>183</v>
      </c>
      <c r="F20" s="5" t="s">
        <v>17</v>
      </c>
      <c r="G20" s="11" t="s">
        <v>185</v>
      </c>
      <c r="H20" s="11" t="s">
        <v>186</v>
      </c>
      <c r="I20" s="11" t="s">
        <v>187</v>
      </c>
      <c r="J20" s="11" t="s">
        <v>188</v>
      </c>
      <c r="K20" s="11" t="s">
        <v>189</v>
      </c>
      <c r="L20" s="5" t="s">
        <v>30</v>
      </c>
      <c r="M20" s="5" t="s">
        <v>190</v>
      </c>
      <c r="N20" s="5" t="s">
        <v>61</v>
      </c>
      <c r="O20" s="5" t="s">
        <v>51</v>
      </c>
      <c r="P20" s="5" t="s">
        <v>52</v>
      </c>
      <c r="Q20" s="3" t="s">
        <v>2645</v>
      </c>
      <c r="R20" s="3" t="s">
        <v>2549</v>
      </c>
      <c r="S20" s="3" t="s">
        <v>30</v>
      </c>
      <c r="T20" s="12"/>
      <c r="U20" s="12"/>
      <c r="V20" s="12"/>
    </row>
    <row r="21" ht="22.5" customHeight="1">
      <c r="A21" s="10">
        <v>260020.0</v>
      </c>
      <c r="B21" s="4">
        <v>45986.02287238426</v>
      </c>
      <c r="C21" s="5" t="s">
        <v>191</v>
      </c>
      <c r="D21" s="5" t="s">
        <v>192</v>
      </c>
      <c r="E21" s="5" t="s">
        <v>191</v>
      </c>
      <c r="F21" s="5" t="s">
        <v>17</v>
      </c>
      <c r="G21" s="11" t="s">
        <v>193</v>
      </c>
      <c r="H21" s="11" t="s">
        <v>194</v>
      </c>
      <c r="I21" s="11" t="s">
        <v>195</v>
      </c>
      <c r="J21" s="11" t="s">
        <v>196</v>
      </c>
      <c r="K21" s="11" t="s">
        <v>197</v>
      </c>
      <c r="L21" s="5" t="s">
        <v>162</v>
      </c>
      <c r="M21" s="5" t="s">
        <v>198</v>
      </c>
      <c r="N21" s="5" t="s">
        <v>199</v>
      </c>
      <c r="O21" s="5" t="s">
        <v>200</v>
      </c>
      <c r="P21" s="5" t="s">
        <v>201</v>
      </c>
      <c r="Q21" s="3" t="s">
        <v>2644</v>
      </c>
      <c r="R21" s="3" t="s">
        <v>2529</v>
      </c>
      <c r="S21" s="3" t="s">
        <v>30</v>
      </c>
      <c r="T21" s="12"/>
      <c r="U21" s="12"/>
      <c r="V21" s="12"/>
    </row>
    <row r="22" ht="22.5" customHeight="1">
      <c r="A22" s="10">
        <v>260021.0</v>
      </c>
      <c r="B22" s="4">
        <v>45987.11282105324</v>
      </c>
      <c r="C22" s="5" t="s">
        <v>202</v>
      </c>
      <c r="D22" s="5" t="s">
        <v>203</v>
      </c>
      <c r="E22" s="5" t="s">
        <v>202</v>
      </c>
      <c r="F22" s="5" t="s">
        <v>17</v>
      </c>
      <c r="G22" s="11" t="s">
        <v>204</v>
      </c>
      <c r="H22" s="11" t="s">
        <v>205</v>
      </c>
      <c r="I22" s="11" t="s">
        <v>206</v>
      </c>
      <c r="J22" s="11" t="s">
        <v>207</v>
      </c>
      <c r="K22" s="11" t="s">
        <v>208</v>
      </c>
      <c r="L22" s="5" t="s">
        <v>30</v>
      </c>
      <c r="M22" s="5" t="s">
        <v>209</v>
      </c>
      <c r="N22" s="5" t="s">
        <v>61</v>
      </c>
      <c r="O22" s="5" t="s">
        <v>210</v>
      </c>
      <c r="P22" s="5" t="s">
        <v>73</v>
      </c>
      <c r="Q22" s="3" t="s">
        <v>2640</v>
      </c>
      <c r="R22" s="3" t="s">
        <v>2635</v>
      </c>
      <c r="S22" s="3" t="s">
        <v>30</v>
      </c>
      <c r="T22" s="12"/>
      <c r="U22" s="12"/>
      <c r="V22" s="12"/>
    </row>
    <row r="23" ht="22.5" customHeight="1">
      <c r="A23" s="10">
        <v>260022.0</v>
      </c>
      <c r="B23" s="4">
        <v>45987.706804490736</v>
      </c>
      <c r="C23" s="5" t="s">
        <v>211</v>
      </c>
      <c r="D23" s="5" t="s">
        <v>212</v>
      </c>
      <c r="E23" s="5" t="s">
        <v>211</v>
      </c>
      <c r="F23" s="5" t="s">
        <v>17</v>
      </c>
      <c r="G23" s="11" t="s">
        <v>213</v>
      </c>
      <c r="H23" s="11" t="s">
        <v>214</v>
      </c>
      <c r="I23" s="11" t="s">
        <v>215</v>
      </c>
      <c r="J23" s="11" t="s">
        <v>216</v>
      </c>
      <c r="K23" s="11" t="s">
        <v>217</v>
      </c>
      <c r="L23" s="5" t="s">
        <v>30</v>
      </c>
      <c r="M23" s="5" t="s">
        <v>218</v>
      </c>
      <c r="N23" s="5" t="s">
        <v>164</v>
      </c>
      <c r="O23" s="5" t="s">
        <v>219</v>
      </c>
      <c r="P23" s="5" t="s">
        <v>52</v>
      </c>
      <c r="Q23" s="3" t="s">
        <v>2508</v>
      </c>
      <c r="R23" s="3" t="s">
        <v>2427</v>
      </c>
      <c r="S23" s="3" t="s">
        <v>30</v>
      </c>
      <c r="T23" s="12"/>
      <c r="U23" s="12"/>
      <c r="V23" s="12"/>
    </row>
    <row r="24" ht="22.5" customHeight="1">
      <c r="A24" s="10">
        <v>260023.0</v>
      </c>
      <c r="B24" s="4">
        <v>45987.85969388889</v>
      </c>
      <c r="C24" s="5" t="s">
        <v>138</v>
      </c>
      <c r="D24" s="5" t="s">
        <v>139</v>
      </c>
      <c r="E24" s="5" t="s">
        <v>138</v>
      </c>
      <c r="F24" s="5" t="s">
        <v>17</v>
      </c>
      <c r="G24" s="11" t="s">
        <v>220</v>
      </c>
      <c r="H24" s="11" t="s">
        <v>221</v>
      </c>
      <c r="I24" s="11" t="s">
        <v>195</v>
      </c>
      <c r="J24" s="11" t="s">
        <v>222</v>
      </c>
      <c r="K24" s="11" t="s">
        <v>223</v>
      </c>
      <c r="L24" s="5" t="s">
        <v>30</v>
      </c>
      <c r="M24" s="5" t="s">
        <v>145</v>
      </c>
      <c r="N24" s="5" t="s">
        <v>119</v>
      </c>
      <c r="O24" s="5" t="s">
        <v>51</v>
      </c>
      <c r="P24" s="5" t="s">
        <v>52</v>
      </c>
      <c r="Q24" s="3" t="s">
        <v>2644</v>
      </c>
      <c r="R24" s="3" t="s">
        <v>2607</v>
      </c>
      <c r="S24" s="3" t="s">
        <v>30</v>
      </c>
      <c r="T24" s="12"/>
      <c r="U24" s="12"/>
      <c r="V24" s="12"/>
    </row>
    <row r="25" ht="22.5" customHeight="1">
      <c r="A25" s="10">
        <v>260024.0</v>
      </c>
      <c r="B25" s="4">
        <v>45989.617146770834</v>
      </c>
      <c r="C25" s="5" t="s">
        <v>224</v>
      </c>
      <c r="D25" s="5" t="s">
        <v>225</v>
      </c>
      <c r="E25" s="5" t="s">
        <v>224</v>
      </c>
      <c r="F25" s="5" t="s">
        <v>17</v>
      </c>
      <c r="G25" s="11" t="s">
        <v>226</v>
      </c>
      <c r="H25" s="11" t="s">
        <v>227</v>
      </c>
      <c r="I25" s="11" t="s">
        <v>228</v>
      </c>
      <c r="J25" s="11" t="s">
        <v>229</v>
      </c>
      <c r="K25" s="11" t="s">
        <v>230</v>
      </c>
      <c r="L25" s="5" t="s">
        <v>23</v>
      </c>
      <c r="M25" s="5" t="s">
        <v>231</v>
      </c>
      <c r="N25" s="5" t="s">
        <v>111</v>
      </c>
      <c r="O25" s="5" t="s">
        <v>232</v>
      </c>
      <c r="P25" s="5" t="s">
        <v>233</v>
      </c>
      <c r="Q25" s="3" t="s">
        <v>2664</v>
      </c>
      <c r="R25" s="3" t="s">
        <v>2514</v>
      </c>
      <c r="S25" s="3" t="s">
        <v>30</v>
      </c>
      <c r="T25" s="3" t="s">
        <v>2665</v>
      </c>
      <c r="U25" s="12"/>
      <c r="V25" s="12"/>
    </row>
    <row r="26" ht="22.5" customHeight="1">
      <c r="A26" s="10">
        <v>260025.0</v>
      </c>
      <c r="B26" s="4">
        <v>45990.470499814815</v>
      </c>
      <c r="C26" s="5" t="s">
        <v>234</v>
      </c>
      <c r="D26" s="5" t="s">
        <v>235</v>
      </c>
      <c r="E26" s="5" t="s">
        <v>234</v>
      </c>
      <c r="F26" s="5" t="s">
        <v>17</v>
      </c>
      <c r="G26" s="11" t="s">
        <v>236</v>
      </c>
      <c r="H26" s="11" t="s">
        <v>237</v>
      </c>
      <c r="I26" s="11" t="s">
        <v>238</v>
      </c>
      <c r="J26" s="11" t="s">
        <v>239</v>
      </c>
      <c r="K26" s="11" t="s">
        <v>240</v>
      </c>
      <c r="L26" s="5" t="s">
        <v>162</v>
      </c>
      <c r="M26" s="5" t="s">
        <v>241</v>
      </c>
      <c r="N26" s="5" t="s">
        <v>71</v>
      </c>
      <c r="O26" s="5" t="s">
        <v>40</v>
      </c>
      <c r="P26" s="5" t="s">
        <v>242</v>
      </c>
      <c r="Q26" s="3" t="s">
        <v>2420</v>
      </c>
      <c r="R26" s="3" t="s">
        <v>2427</v>
      </c>
      <c r="S26" s="3" t="s">
        <v>30</v>
      </c>
      <c r="T26" s="12"/>
      <c r="U26" s="12"/>
      <c r="V26" s="12"/>
    </row>
    <row r="27" ht="22.5" customHeight="1">
      <c r="A27" s="10">
        <v>260026.0</v>
      </c>
      <c r="B27" s="4">
        <v>45992.17593991898</v>
      </c>
      <c r="C27" s="5" t="s">
        <v>243</v>
      </c>
      <c r="D27" s="5" t="s">
        <v>244</v>
      </c>
      <c r="E27" s="5" t="s">
        <v>243</v>
      </c>
      <c r="F27" s="5" t="s">
        <v>131</v>
      </c>
      <c r="G27" s="11" t="s">
        <v>245</v>
      </c>
      <c r="H27" s="11" t="s">
        <v>246</v>
      </c>
      <c r="I27" s="11" t="s">
        <v>247</v>
      </c>
      <c r="J27" s="11" t="s">
        <v>248</v>
      </c>
      <c r="K27" s="11" t="s">
        <v>249</v>
      </c>
      <c r="L27" s="5" t="s">
        <v>30</v>
      </c>
      <c r="M27" s="5" t="s">
        <v>250</v>
      </c>
      <c r="N27" s="5" t="s">
        <v>61</v>
      </c>
      <c r="O27" s="5" t="s">
        <v>51</v>
      </c>
      <c r="P27" s="5" t="s">
        <v>51</v>
      </c>
      <c r="Q27" s="3" t="s">
        <v>2602</v>
      </c>
      <c r="R27" s="3" t="s">
        <v>2612</v>
      </c>
      <c r="S27" s="3" t="s">
        <v>30</v>
      </c>
      <c r="T27" s="12"/>
      <c r="U27" s="12"/>
      <c r="V27" s="12"/>
    </row>
    <row r="28" ht="22.5" customHeight="1">
      <c r="A28" s="10">
        <v>260027.0</v>
      </c>
      <c r="B28" s="4">
        <v>45992.80528344907</v>
      </c>
      <c r="C28" s="5" t="s">
        <v>251</v>
      </c>
      <c r="D28" s="5" t="s">
        <v>252</v>
      </c>
      <c r="E28" s="5" t="s">
        <v>251</v>
      </c>
      <c r="F28" s="5" t="s">
        <v>17</v>
      </c>
      <c r="G28" s="11" t="s">
        <v>253</v>
      </c>
      <c r="H28" s="11" t="s">
        <v>254</v>
      </c>
      <c r="I28" s="11" t="s">
        <v>21</v>
      </c>
      <c r="J28" s="11" t="s">
        <v>255</v>
      </c>
      <c r="K28" s="11" t="s">
        <v>161</v>
      </c>
      <c r="L28" s="5" t="s">
        <v>23</v>
      </c>
      <c r="M28" s="5" t="s">
        <v>256</v>
      </c>
      <c r="N28" s="5" t="s">
        <v>61</v>
      </c>
      <c r="O28" s="5" t="s">
        <v>257</v>
      </c>
      <c r="P28" s="5" t="s">
        <v>258</v>
      </c>
      <c r="Q28" s="3" t="s">
        <v>2597</v>
      </c>
      <c r="R28" s="3" t="s">
        <v>2592</v>
      </c>
      <c r="S28" s="3" t="s">
        <v>30</v>
      </c>
      <c r="T28" s="3" t="s">
        <v>2666</v>
      </c>
      <c r="U28" s="12"/>
      <c r="V28" s="12"/>
    </row>
    <row r="29" ht="22.5" customHeight="1">
      <c r="A29" s="10">
        <v>260028.0</v>
      </c>
      <c r="B29" s="4">
        <v>45992.91002244213</v>
      </c>
      <c r="C29" s="5" t="s">
        <v>259</v>
      </c>
      <c r="D29" s="5" t="s">
        <v>260</v>
      </c>
      <c r="E29" s="5" t="s">
        <v>259</v>
      </c>
      <c r="F29" s="5" t="s">
        <v>17</v>
      </c>
      <c r="G29" s="11" t="s">
        <v>261</v>
      </c>
      <c r="H29" s="11" t="s">
        <v>262</v>
      </c>
      <c r="I29" s="11" t="s">
        <v>263</v>
      </c>
      <c r="J29" s="11" t="s">
        <v>264</v>
      </c>
      <c r="K29" s="11" t="s">
        <v>265</v>
      </c>
      <c r="L29" s="5" t="s">
        <v>162</v>
      </c>
      <c r="M29" s="5" t="s">
        <v>266</v>
      </c>
      <c r="N29" s="5" t="s">
        <v>111</v>
      </c>
      <c r="O29" s="5" t="s">
        <v>267</v>
      </c>
      <c r="P29" s="5" t="s">
        <v>268</v>
      </c>
      <c r="Q29" s="3" t="s">
        <v>2592</v>
      </c>
      <c r="R29" s="3" t="s">
        <v>2413</v>
      </c>
      <c r="S29" s="3" t="s">
        <v>30</v>
      </c>
      <c r="T29" s="12"/>
      <c r="U29" s="3" t="s">
        <v>2660</v>
      </c>
      <c r="V29" s="3" t="s">
        <v>2667</v>
      </c>
    </row>
    <row r="30" ht="22.5" customHeight="1">
      <c r="A30" s="96">
        <v>260029.0</v>
      </c>
      <c r="B30" s="97">
        <v>45993.19297202546</v>
      </c>
      <c r="C30" s="98" t="s">
        <v>269</v>
      </c>
      <c r="D30" s="98" t="s">
        <v>270</v>
      </c>
      <c r="E30" s="98" t="s">
        <v>269</v>
      </c>
      <c r="F30" s="98" t="s">
        <v>17</v>
      </c>
      <c r="G30" s="99" t="s">
        <v>271</v>
      </c>
      <c r="H30" s="99" t="s">
        <v>272</v>
      </c>
      <c r="I30" s="99" t="s">
        <v>273</v>
      </c>
      <c r="J30" s="99" t="s">
        <v>274</v>
      </c>
      <c r="K30" s="99" t="s">
        <v>275</v>
      </c>
      <c r="L30" s="98" t="s">
        <v>162</v>
      </c>
      <c r="M30" s="98" t="s">
        <v>276</v>
      </c>
      <c r="N30" s="98" t="s">
        <v>61</v>
      </c>
      <c r="O30" s="98" t="s">
        <v>267</v>
      </c>
      <c r="P30" s="98" t="s">
        <v>268</v>
      </c>
      <c r="Q30" s="98" t="s">
        <v>2631</v>
      </c>
      <c r="R30" s="98" t="s">
        <v>2631</v>
      </c>
      <c r="S30" s="98" t="s">
        <v>162</v>
      </c>
      <c r="T30" s="98" t="s">
        <v>2668</v>
      </c>
      <c r="U30" s="100"/>
      <c r="V30" s="98" t="s">
        <v>2669</v>
      </c>
    </row>
    <row r="31" ht="22.5" customHeight="1">
      <c r="A31" s="10">
        <v>260030.0</v>
      </c>
      <c r="B31" s="4">
        <v>45993.198013506946</v>
      </c>
      <c r="C31" s="5" t="s">
        <v>269</v>
      </c>
      <c r="D31" s="5" t="s">
        <v>270</v>
      </c>
      <c r="E31" s="5" t="s">
        <v>269</v>
      </c>
      <c r="F31" s="5" t="s">
        <v>17</v>
      </c>
      <c r="G31" s="11" t="s">
        <v>271</v>
      </c>
      <c r="H31" s="11" t="s">
        <v>277</v>
      </c>
      <c r="I31" s="11" t="s">
        <v>273</v>
      </c>
      <c r="J31" s="11" t="s">
        <v>274</v>
      </c>
      <c r="K31" s="11" t="s">
        <v>275</v>
      </c>
      <c r="L31" s="5" t="s">
        <v>23</v>
      </c>
      <c r="M31" s="5" t="s">
        <v>278</v>
      </c>
      <c r="N31" s="5" t="s">
        <v>61</v>
      </c>
      <c r="O31" s="5" t="s">
        <v>267</v>
      </c>
      <c r="P31" s="5" t="s">
        <v>268</v>
      </c>
      <c r="Q31" s="3" t="s">
        <v>2389</v>
      </c>
      <c r="R31" s="3" t="s">
        <v>2549</v>
      </c>
      <c r="S31" s="3" t="s">
        <v>30</v>
      </c>
      <c r="T31" s="12"/>
      <c r="U31" s="12"/>
      <c r="V31" s="12"/>
    </row>
    <row r="32" ht="22.5" customHeight="1">
      <c r="A32" s="96">
        <v>260031.0</v>
      </c>
      <c r="B32" s="97">
        <v>45994.032765254626</v>
      </c>
      <c r="C32" s="98" t="s">
        <v>279</v>
      </c>
      <c r="D32" s="98" t="s">
        <v>280</v>
      </c>
      <c r="E32" s="98" t="s">
        <v>279</v>
      </c>
      <c r="F32" s="98" t="s">
        <v>17</v>
      </c>
      <c r="G32" s="99" t="s">
        <v>281</v>
      </c>
      <c r="H32" s="99" t="s">
        <v>282</v>
      </c>
      <c r="I32" s="99" t="s">
        <v>283</v>
      </c>
      <c r="J32" s="99" t="s">
        <v>284</v>
      </c>
      <c r="K32" s="99" t="s">
        <v>285</v>
      </c>
      <c r="L32" s="98" t="s">
        <v>30</v>
      </c>
      <c r="M32" s="98" t="s">
        <v>286</v>
      </c>
      <c r="N32" s="98" t="s">
        <v>39</v>
      </c>
      <c r="O32" s="98" t="s">
        <v>51</v>
      </c>
      <c r="P32" s="98" t="s">
        <v>52</v>
      </c>
      <c r="Q32" s="98" t="s">
        <v>2344</v>
      </c>
      <c r="R32" s="98" t="s">
        <v>2396</v>
      </c>
      <c r="S32" s="98" t="s">
        <v>2670</v>
      </c>
      <c r="T32" s="98" t="s">
        <v>2671</v>
      </c>
      <c r="U32" s="100"/>
      <c r="V32" s="99" t="s">
        <v>2672</v>
      </c>
    </row>
    <row r="33" ht="22.5" customHeight="1">
      <c r="A33" s="14">
        <v>260032.0</v>
      </c>
      <c r="B33" s="4">
        <v>45995.16403530093</v>
      </c>
      <c r="C33" s="5" t="s">
        <v>287</v>
      </c>
      <c r="D33" s="5" t="s">
        <v>288</v>
      </c>
      <c r="E33" s="5" t="s">
        <v>287</v>
      </c>
      <c r="F33" s="5" t="s">
        <v>17</v>
      </c>
      <c r="G33" s="13" t="s">
        <v>289</v>
      </c>
      <c r="H33" s="13" t="s">
        <v>290</v>
      </c>
      <c r="I33" s="11" t="s">
        <v>291</v>
      </c>
      <c r="J33" s="11" t="s">
        <v>292</v>
      </c>
      <c r="K33" s="11" t="s">
        <v>293</v>
      </c>
      <c r="L33" s="5" t="s">
        <v>30</v>
      </c>
      <c r="M33" s="5" t="s">
        <v>294</v>
      </c>
      <c r="N33" s="5" t="s">
        <v>295</v>
      </c>
      <c r="O33" s="5" t="s">
        <v>51</v>
      </c>
      <c r="P33" s="5" t="s">
        <v>52</v>
      </c>
      <c r="Q33" s="3" t="s">
        <v>2646</v>
      </c>
      <c r="R33" s="3" t="s">
        <v>2502</v>
      </c>
      <c r="S33" s="3" t="s">
        <v>30</v>
      </c>
      <c r="T33" s="12"/>
      <c r="U33" s="12"/>
      <c r="V33" s="12"/>
    </row>
    <row r="34" ht="22.5" customHeight="1">
      <c r="A34" s="10">
        <v>260033.0</v>
      </c>
      <c r="B34" s="4">
        <v>45995.22060008102</v>
      </c>
      <c r="C34" s="5" t="s">
        <v>296</v>
      </c>
      <c r="D34" s="5" t="s">
        <v>297</v>
      </c>
      <c r="E34" s="5" t="s">
        <v>296</v>
      </c>
      <c r="F34" s="5" t="s">
        <v>17</v>
      </c>
      <c r="G34" s="11" t="s">
        <v>298</v>
      </c>
      <c r="H34" s="11" t="s">
        <v>299</v>
      </c>
      <c r="I34" s="11" t="s">
        <v>300</v>
      </c>
      <c r="J34" s="11" t="s">
        <v>301</v>
      </c>
      <c r="K34" s="11" t="s">
        <v>302</v>
      </c>
      <c r="L34" s="5" t="s">
        <v>30</v>
      </c>
      <c r="M34" s="5" t="s">
        <v>303</v>
      </c>
      <c r="N34" s="5" t="s">
        <v>61</v>
      </c>
      <c r="O34" s="5" t="s">
        <v>304</v>
      </c>
      <c r="P34" s="5" t="s">
        <v>73</v>
      </c>
      <c r="Q34" s="3" t="s">
        <v>2334</v>
      </c>
      <c r="R34" s="103" t="s">
        <v>2647</v>
      </c>
      <c r="S34" s="3" t="s">
        <v>30</v>
      </c>
      <c r="T34" s="12"/>
      <c r="U34" s="12"/>
      <c r="V34" s="12"/>
    </row>
    <row r="35" ht="22.5" customHeight="1">
      <c r="A35" s="10">
        <v>260034.0</v>
      </c>
      <c r="B35" s="4">
        <v>45995.225694513894</v>
      </c>
      <c r="C35" s="5" t="s">
        <v>305</v>
      </c>
      <c r="D35" s="5" t="s">
        <v>306</v>
      </c>
      <c r="E35" s="5" t="s">
        <v>305</v>
      </c>
      <c r="F35" s="5" t="s">
        <v>64</v>
      </c>
      <c r="G35" s="11" t="s">
        <v>307</v>
      </c>
      <c r="H35" s="11" t="s">
        <v>308</v>
      </c>
      <c r="I35" s="11" t="s">
        <v>309</v>
      </c>
      <c r="J35" s="11" t="s">
        <v>310</v>
      </c>
      <c r="K35" s="11" t="s">
        <v>311</v>
      </c>
      <c r="L35" s="5" t="s">
        <v>30</v>
      </c>
      <c r="M35" s="5" t="s">
        <v>312</v>
      </c>
      <c r="N35" s="5" t="s">
        <v>61</v>
      </c>
      <c r="O35" s="5" t="s">
        <v>51</v>
      </c>
      <c r="P35" s="5" t="s">
        <v>52</v>
      </c>
      <c r="Q35" s="3" t="s">
        <v>2571</v>
      </c>
      <c r="R35" s="3" t="s">
        <v>2502</v>
      </c>
      <c r="S35" s="3" t="s">
        <v>30</v>
      </c>
      <c r="T35" s="12"/>
      <c r="U35" s="12"/>
      <c r="V35" s="12"/>
    </row>
    <row r="36" ht="22.5" customHeight="1">
      <c r="A36" s="10">
        <v>260035.0</v>
      </c>
      <c r="B36" s="4">
        <v>45995.23972916667</v>
      </c>
      <c r="C36" s="5" t="s">
        <v>313</v>
      </c>
      <c r="D36" s="5" t="s">
        <v>314</v>
      </c>
      <c r="E36" s="5" t="s">
        <v>313</v>
      </c>
      <c r="F36" s="5" t="s">
        <v>17</v>
      </c>
      <c r="G36" s="11" t="s">
        <v>315</v>
      </c>
      <c r="H36" s="11" t="s">
        <v>316</v>
      </c>
      <c r="I36" s="11" t="s">
        <v>317</v>
      </c>
      <c r="J36" s="11" t="s">
        <v>58</v>
      </c>
      <c r="K36" s="11" t="s">
        <v>318</v>
      </c>
      <c r="L36" s="5" t="s">
        <v>30</v>
      </c>
      <c r="M36" s="5" t="s">
        <v>319</v>
      </c>
      <c r="N36" s="5" t="s">
        <v>61</v>
      </c>
      <c r="O36" s="5" t="s">
        <v>51</v>
      </c>
      <c r="P36" s="5" t="s">
        <v>52</v>
      </c>
      <c r="Q36" s="3" t="s">
        <v>2645</v>
      </c>
      <c r="R36" s="3" t="s">
        <v>2549</v>
      </c>
      <c r="S36" s="3" t="s">
        <v>30</v>
      </c>
      <c r="T36" s="12"/>
      <c r="U36" s="12"/>
      <c r="V36" s="12"/>
    </row>
    <row r="37" ht="22.5" customHeight="1">
      <c r="A37" s="10">
        <v>260036.0</v>
      </c>
      <c r="B37" s="4">
        <v>45995.583238148145</v>
      </c>
      <c r="C37" s="5" t="s">
        <v>320</v>
      </c>
      <c r="D37" s="5" t="s">
        <v>321</v>
      </c>
      <c r="E37" s="5" t="s">
        <v>320</v>
      </c>
      <c r="F37" s="5" t="s">
        <v>17</v>
      </c>
      <c r="G37" s="11" t="s">
        <v>322</v>
      </c>
      <c r="H37" s="11" t="s">
        <v>323</v>
      </c>
      <c r="I37" s="11" t="s">
        <v>324</v>
      </c>
      <c r="J37" s="11" t="s">
        <v>325</v>
      </c>
      <c r="K37" s="11" t="s">
        <v>326</v>
      </c>
      <c r="L37" s="5" t="s">
        <v>162</v>
      </c>
      <c r="M37" s="5" t="s">
        <v>327</v>
      </c>
      <c r="N37" s="5" t="s">
        <v>39</v>
      </c>
      <c r="O37" s="5" t="s">
        <v>26</v>
      </c>
      <c r="P37" s="5" t="s">
        <v>328</v>
      </c>
      <c r="Q37" s="3" t="s">
        <v>2449</v>
      </c>
      <c r="R37" s="3" t="s">
        <v>2529</v>
      </c>
      <c r="S37" s="3" t="s">
        <v>30</v>
      </c>
      <c r="T37" s="3"/>
      <c r="U37" s="3"/>
      <c r="V37" s="3" t="s">
        <v>2673</v>
      </c>
    </row>
    <row r="38" ht="22.5" customHeight="1">
      <c r="A38" s="10">
        <v>260037.0</v>
      </c>
      <c r="B38" s="4">
        <v>45995.81633001157</v>
      </c>
      <c r="C38" s="5" t="s">
        <v>329</v>
      </c>
      <c r="D38" s="5" t="s">
        <v>330</v>
      </c>
      <c r="E38" s="5" t="s">
        <v>329</v>
      </c>
      <c r="F38" s="5" t="s">
        <v>17</v>
      </c>
      <c r="G38" s="11" t="s">
        <v>331</v>
      </c>
      <c r="H38" s="11" t="s">
        <v>332</v>
      </c>
      <c r="I38" s="11" t="s">
        <v>333</v>
      </c>
      <c r="J38" s="11" t="s">
        <v>334</v>
      </c>
      <c r="K38" s="11" t="s">
        <v>335</v>
      </c>
      <c r="L38" s="5" t="s">
        <v>30</v>
      </c>
      <c r="M38" s="5" t="s">
        <v>336</v>
      </c>
      <c r="N38" s="5" t="s">
        <v>295</v>
      </c>
      <c r="O38" s="5" t="s">
        <v>51</v>
      </c>
      <c r="P38" s="5" t="s">
        <v>52</v>
      </c>
      <c r="Q38" s="3" t="s">
        <v>2644</v>
      </c>
      <c r="R38" s="3" t="s">
        <v>2413</v>
      </c>
      <c r="S38" s="3" t="s">
        <v>30</v>
      </c>
      <c r="T38" s="12"/>
      <c r="U38" s="12"/>
      <c r="V38" s="12"/>
    </row>
    <row r="39" ht="22.5" customHeight="1">
      <c r="A39" s="10">
        <v>260038.0</v>
      </c>
      <c r="B39" s="4">
        <v>45996.29656130787</v>
      </c>
      <c r="C39" s="5" t="s">
        <v>337</v>
      </c>
      <c r="D39" s="5" t="s">
        <v>338</v>
      </c>
      <c r="E39" s="5" t="s">
        <v>337</v>
      </c>
      <c r="F39" s="5" t="s">
        <v>17</v>
      </c>
      <c r="G39" s="11" t="s">
        <v>339</v>
      </c>
      <c r="H39" s="11" t="s">
        <v>340</v>
      </c>
      <c r="I39" s="11" t="s">
        <v>341</v>
      </c>
      <c r="J39" s="11" t="s">
        <v>342</v>
      </c>
      <c r="K39" s="11" t="s">
        <v>343</v>
      </c>
      <c r="L39" s="5" t="s">
        <v>30</v>
      </c>
      <c r="M39" s="5" t="s">
        <v>344</v>
      </c>
      <c r="N39" s="5" t="s">
        <v>119</v>
      </c>
      <c r="O39" s="5" t="s">
        <v>72</v>
      </c>
      <c r="P39" s="5" t="s">
        <v>345</v>
      </c>
      <c r="Q39" s="3" t="s">
        <v>2623</v>
      </c>
      <c r="R39" s="3" t="s">
        <v>2630</v>
      </c>
      <c r="S39" s="3" t="s">
        <v>30</v>
      </c>
      <c r="T39" s="12"/>
      <c r="U39" s="12"/>
      <c r="V39" s="3" t="s">
        <v>2674</v>
      </c>
    </row>
    <row r="40" ht="22.5" customHeight="1">
      <c r="A40" s="10">
        <v>260039.0</v>
      </c>
      <c r="B40" s="4">
        <v>45996.30838923611</v>
      </c>
      <c r="C40" s="5" t="s">
        <v>337</v>
      </c>
      <c r="D40" s="5" t="s">
        <v>338</v>
      </c>
      <c r="E40" s="5" t="s">
        <v>337</v>
      </c>
      <c r="F40" s="5" t="s">
        <v>131</v>
      </c>
      <c r="G40" s="11" t="s">
        <v>346</v>
      </c>
      <c r="H40" s="11" t="s">
        <v>347</v>
      </c>
      <c r="I40" s="11" t="s">
        <v>348</v>
      </c>
      <c r="J40" s="11" t="s">
        <v>349</v>
      </c>
      <c r="K40" s="11" t="s">
        <v>350</v>
      </c>
      <c r="L40" s="5" t="s">
        <v>30</v>
      </c>
      <c r="M40" s="5" t="s">
        <v>351</v>
      </c>
      <c r="N40" s="5" t="s">
        <v>119</v>
      </c>
      <c r="O40" s="5" t="s">
        <v>72</v>
      </c>
      <c r="P40" s="5" t="s">
        <v>345</v>
      </c>
      <c r="Q40" s="3" t="s">
        <v>2623</v>
      </c>
      <c r="R40" s="3" t="s">
        <v>2389</v>
      </c>
      <c r="S40" s="3" t="s">
        <v>30</v>
      </c>
      <c r="T40" s="12"/>
      <c r="U40" s="12"/>
      <c r="V40" s="12"/>
    </row>
    <row r="41" ht="22.5" customHeight="1">
      <c r="A41" s="10">
        <v>260040.0</v>
      </c>
      <c r="B41" s="4">
        <v>45996.31199994213</v>
      </c>
      <c r="C41" s="5" t="s">
        <v>337</v>
      </c>
      <c r="D41" s="5" t="s">
        <v>338</v>
      </c>
      <c r="E41" s="5" t="s">
        <v>337</v>
      </c>
      <c r="F41" s="5" t="s">
        <v>64</v>
      </c>
      <c r="G41" s="11" t="s">
        <v>352</v>
      </c>
      <c r="H41" s="11" t="s">
        <v>353</v>
      </c>
      <c r="I41" s="11" t="s">
        <v>354</v>
      </c>
      <c r="J41" s="11" t="s">
        <v>355</v>
      </c>
      <c r="K41" s="11" t="s">
        <v>356</v>
      </c>
      <c r="L41" s="5" t="s">
        <v>30</v>
      </c>
      <c r="M41" s="5" t="s">
        <v>351</v>
      </c>
      <c r="N41" s="5" t="s">
        <v>119</v>
      </c>
      <c r="O41" s="5" t="s">
        <v>72</v>
      </c>
      <c r="P41" s="5" t="s">
        <v>345</v>
      </c>
      <c r="Q41" s="5" t="s">
        <v>2495</v>
      </c>
      <c r="R41" s="5" t="s">
        <v>2571</v>
      </c>
      <c r="S41" s="5" t="s">
        <v>30</v>
      </c>
      <c r="T41" s="5" t="s">
        <v>2675</v>
      </c>
      <c r="U41" s="102"/>
      <c r="V41" s="11" t="s">
        <v>2676</v>
      </c>
    </row>
    <row r="42" ht="22.5" customHeight="1">
      <c r="A42" s="14">
        <v>260041.0</v>
      </c>
      <c r="B42" s="4">
        <v>45996.795115706016</v>
      </c>
      <c r="C42" s="5" t="s">
        <v>357</v>
      </c>
      <c r="D42" s="5" t="s">
        <v>358</v>
      </c>
      <c r="E42" s="5" t="s">
        <v>357</v>
      </c>
      <c r="F42" s="5" t="s">
        <v>17</v>
      </c>
      <c r="G42" s="13" t="s">
        <v>359</v>
      </c>
      <c r="H42" s="13" t="s">
        <v>360</v>
      </c>
      <c r="I42" s="11" t="s">
        <v>361</v>
      </c>
      <c r="J42" s="11" t="s">
        <v>362</v>
      </c>
      <c r="K42" s="11" t="s">
        <v>46</v>
      </c>
      <c r="L42" s="5" t="s">
        <v>30</v>
      </c>
      <c r="M42" s="5" t="s">
        <v>363</v>
      </c>
      <c r="N42" s="5" t="s">
        <v>295</v>
      </c>
      <c r="O42" s="5" t="s">
        <v>51</v>
      </c>
      <c r="P42" s="5" t="s">
        <v>52</v>
      </c>
      <c r="Q42" s="3" t="s">
        <v>2646</v>
      </c>
      <c r="R42" s="3" t="s">
        <v>2502</v>
      </c>
      <c r="S42" s="12"/>
      <c r="T42" s="12"/>
      <c r="U42" s="12"/>
      <c r="V42" s="12"/>
    </row>
    <row r="43" ht="22.5" customHeight="1">
      <c r="A43" s="96">
        <v>260042.0</v>
      </c>
      <c r="B43" s="97">
        <v>45997.87670946759</v>
      </c>
      <c r="C43" s="98" t="s">
        <v>364</v>
      </c>
      <c r="D43" s="98" t="s">
        <v>365</v>
      </c>
      <c r="E43" s="98" t="s">
        <v>364</v>
      </c>
      <c r="F43" s="98" t="s">
        <v>64</v>
      </c>
      <c r="G43" s="99" t="s">
        <v>366</v>
      </c>
      <c r="H43" s="99" t="s">
        <v>367</v>
      </c>
      <c r="I43" s="99" t="s">
        <v>368</v>
      </c>
      <c r="J43" s="99" t="s">
        <v>369</v>
      </c>
      <c r="K43" s="99" t="s">
        <v>370</v>
      </c>
      <c r="L43" s="98" t="s">
        <v>30</v>
      </c>
      <c r="M43" s="98" t="s">
        <v>371</v>
      </c>
      <c r="N43" s="98" t="s">
        <v>71</v>
      </c>
      <c r="O43" s="98" t="s">
        <v>372</v>
      </c>
      <c r="P43" s="98" t="s">
        <v>73</v>
      </c>
      <c r="Q43" s="98" t="s">
        <v>2631</v>
      </c>
      <c r="R43" s="98" t="s">
        <v>2631</v>
      </c>
      <c r="S43" s="98" t="s">
        <v>162</v>
      </c>
      <c r="T43" s="98" t="s">
        <v>2668</v>
      </c>
      <c r="U43" s="100"/>
      <c r="V43" s="98" t="s">
        <v>2668</v>
      </c>
      <c r="W43" s="101"/>
      <c r="X43" s="101"/>
      <c r="Y43" s="101"/>
      <c r="Z43" s="101"/>
    </row>
    <row r="44" ht="22.5" customHeight="1">
      <c r="A44" s="96">
        <v>260043.0</v>
      </c>
      <c r="B44" s="97">
        <v>45997.92493675926</v>
      </c>
      <c r="C44" s="98" t="s">
        <v>364</v>
      </c>
      <c r="D44" s="98" t="s">
        <v>373</v>
      </c>
      <c r="E44" s="98" t="s">
        <v>364</v>
      </c>
      <c r="F44" s="98" t="s">
        <v>64</v>
      </c>
      <c r="G44" s="99" t="s">
        <v>374</v>
      </c>
      <c r="H44" s="99" t="s">
        <v>375</v>
      </c>
      <c r="I44" s="99" t="s">
        <v>376</v>
      </c>
      <c r="J44" s="99" t="s">
        <v>377</v>
      </c>
      <c r="K44" s="99" t="s">
        <v>378</v>
      </c>
      <c r="L44" s="98" t="s">
        <v>30</v>
      </c>
      <c r="M44" s="98" t="s">
        <v>379</v>
      </c>
      <c r="N44" s="98" t="s">
        <v>71</v>
      </c>
      <c r="O44" s="98" t="s">
        <v>380</v>
      </c>
      <c r="P44" s="98" t="s">
        <v>73</v>
      </c>
      <c r="Q44" s="98" t="s">
        <v>2631</v>
      </c>
      <c r="R44" s="98" t="s">
        <v>2631</v>
      </c>
      <c r="S44" s="98" t="s">
        <v>162</v>
      </c>
      <c r="T44" s="98" t="s">
        <v>2668</v>
      </c>
      <c r="U44" s="100"/>
      <c r="V44" s="98" t="s">
        <v>2668</v>
      </c>
      <c r="W44" s="101"/>
      <c r="X44" s="101"/>
      <c r="Y44" s="101"/>
      <c r="Z44" s="101"/>
    </row>
    <row r="45" ht="22.5" customHeight="1">
      <c r="A45" s="10">
        <v>260044.0</v>
      </c>
      <c r="B45" s="4">
        <v>45997.980853483794</v>
      </c>
      <c r="C45" s="5" t="s">
        <v>364</v>
      </c>
      <c r="D45" s="5" t="s">
        <v>381</v>
      </c>
      <c r="E45" s="5" t="s">
        <v>364</v>
      </c>
      <c r="F45" s="5" t="s">
        <v>64</v>
      </c>
      <c r="G45" s="11" t="s">
        <v>382</v>
      </c>
      <c r="H45" s="11" t="s">
        <v>375</v>
      </c>
      <c r="I45" s="11" t="s">
        <v>383</v>
      </c>
      <c r="J45" s="11" t="s">
        <v>384</v>
      </c>
      <c r="K45" s="11" t="s">
        <v>385</v>
      </c>
      <c r="L45" s="5" t="s">
        <v>30</v>
      </c>
      <c r="M45" s="5" t="s">
        <v>386</v>
      </c>
      <c r="N45" s="5" t="s">
        <v>71</v>
      </c>
      <c r="O45" s="5" t="s">
        <v>219</v>
      </c>
      <c r="P45" s="5" t="s">
        <v>52</v>
      </c>
      <c r="Q45" s="3" t="s">
        <v>2618</v>
      </c>
      <c r="R45" s="3" t="s">
        <v>2353</v>
      </c>
      <c r="S45" s="3" t="s">
        <v>2677</v>
      </c>
      <c r="T45" s="3" t="s">
        <v>2666</v>
      </c>
      <c r="U45" s="12"/>
      <c r="V45" s="12"/>
    </row>
    <row r="46" ht="22.5" customHeight="1">
      <c r="A46" s="10">
        <v>260045.0</v>
      </c>
      <c r="B46" s="4">
        <v>45999.81358971065</v>
      </c>
      <c r="C46" s="5" t="s">
        <v>387</v>
      </c>
      <c r="D46" s="5" t="s">
        <v>388</v>
      </c>
      <c r="E46" s="5" t="s">
        <v>387</v>
      </c>
      <c r="F46" s="5" t="s">
        <v>17</v>
      </c>
      <c r="G46" s="11" t="s">
        <v>389</v>
      </c>
      <c r="H46" s="11" t="s">
        <v>390</v>
      </c>
      <c r="I46" s="11" t="s">
        <v>391</v>
      </c>
      <c r="J46" s="11" t="s">
        <v>392</v>
      </c>
      <c r="K46" s="11" t="s">
        <v>393</v>
      </c>
      <c r="L46" s="5" t="s">
        <v>30</v>
      </c>
      <c r="M46" s="5" t="s">
        <v>394</v>
      </c>
      <c r="N46" s="5" t="s">
        <v>39</v>
      </c>
      <c r="O46" s="5" t="s">
        <v>51</v>
      </c>
      <c r="P46" s="5" t="s">
        <v>52</v>
      </c>
      <c r="Q46" s="3" t="s">
        <v>2359</v>
      </c>
      <c r="R46" s="3" t="s">
        <v>2396</v>
      </c>
      <c r="S46" s="3" t="s">
        <v>30</v>
      </c>
      <c r="T46" s="12"/>
      <c r="U46" s="12"/>
      <c r="V46" s="12"/>
    </row>
    <row r="47" ht="22.5" customHeight="1">
      <c r="A47" s="10">
        <v>260046.0</v>
      </c>
      <c r="B47" s="4">
        <v>46000.40799091435</v>
      </c>
      <c r="C47" s="5" t="s">
        <v>395</v>
      </c>
      <c r="D47" s="5" t="s">
        <v>396</v>
      </c>
      <c r="E47" s="5" t="s">
        <v>395</v>
      </c>
      <c r="F47" s="5" t="s">
        <v>17</v>
      </c>
      <c r="G47" s="11" t="s">
        <v>397</v>
      </c>
      <c r="H47" s="11" t="s">
        <v>398</v>
      </c>
      <c r="I47" s="11" t="s">
        <v>399</v>
      </c>
      <c r="J47" s="11" t="s">
        <v>400</v>
      </c>
      <c r="K47" s="11" t="s">
        <v>401</v>
      </c>
      <c r="L47" s="5" t="s">
        <v>30</v>
      </c>
      <c r="M47" s="5" t="s">
        <v>402</v>
      </c>
      <c r="N47" s="5" t="s">
        <v>119</v>
      </c>
      <c r="O47" s="5" t="s">
        <v>403</v>
      </c>
      <c r="P47" s="5" t="s">
        <v>404</v>
      </c>
      <c r="Q47" s="3" t="s">
        <v>2455</v>
      </c>
      <c r="R47" s="3" t="s">
        <v>2520</v>
      </c>
      <c r="S47" s="3" t="s">
        <v>30</v>
      </c>
      <c r="T47" s="12"/>
      <c r="U47" s="12"/>
      <c r="V47" s="12"/>
    </row>
    <row r="48" ht="22.5" customHeight="1">
      <c r="A48" s="10">
        <v>260047.0</v>
      </c>
      <c r="B48" s="4">
        <v>46000.5171346875</v>
      </c>
      <c r="C48" s="5" t="s">
        <v>405</v>
      </c>
      <c r="D48" s="5" t="s">
        <v>406</v>
      </c>
      <c r="E48" s="5" t="s">
        <v>405</v>
      </c>
      <c r="F48" s="5" t="s">
        <v>17</v>
      </c>
      <c r="G48" s="11" t="s">
        <v>407</v>
      </c>
      <c r="H48" s="11" t="s">
        <v>408</v>
      </c>
      <c r="I48" s="11" t="s">
        <v>409</v>
      </c>
      <c r="J48" s="11" t="s">
        <v>410</v>
      </c>
      <c r="K48" s="11" t="s">
        <v>411</v>
      </c>
      <c r="L48" s="5" t="s">
        <v>162</v>
      </c>
      <c r="M48" s="5" t="s">
        <v>412</v>
      </c>
      <c r="N48" s="5" t="s">
        <v>413</v>
      </c>
      <c r="O48" s="5" t="s">
        <v>26</v>
      </c>
      <c r="P48" s="5" t="s">
        <v>26</v>
      </c>
      <c r="Q48" s="3" t="s">
        <v>2644</v>
      </c>
      <c r="R48" s="3" t="s">
        <v>2544</v>
      </c>
      <c r="S48" s="3" t="s">
        <v>30</v>
      </c>
      <c r="T48" s="3" t="s">
        <v>2678</v>
      </c>
      <c r="U48" s="12"/>
      <c r="V48" s="12"/>
    </row>
    <row r="49" ht="22.5" customHeight="1">
      <c r="A49" s="10">
        <v>260048.0</v>
      </c>
      <c r="B49" s="4">
        <v>46005.84276788194</v>
      </c>
      <c r="C49" s="5" t="s">
        <v>414</v>
      </c>
      <c r="D49" s="5" t="s">
        <v>415</v>
      </c>
      <c r="E49" s="5" t="s">
        <v>414</v>
      </c>
      <c r="F49" s="5" t="s">
        <v>17</v>
      </c>
      <c r="G49" s="11" t="s">
        <v>416</v>
      </c>
      <c r="H49" s="11" t="s">
        <v>417</v>
      </c>
      <c r="I49" s="11" t="s">
        <v>418</v>
      </c>
      <c r="J49" s="11" t="s">
        <v>419</v>
      </c>
      <c r="K49" s="11" t="s">
        <v>420</v>
      </c>
      <c r="L49" s="5" t="s">
        <v>30</v>
      </c>
      <c r="M49" s="5" t="s">
        <v>421</v>
      </c>
      <c r="N49" s="5" t="s">
        <v>61</v>
      </c>
      <c r="O49" s="5" t="s">
        <v>267</v>
      </c>
      <c r="P49" s="5" t="s">
        <v>268</v>
      </c>
      <c r="Q49" s="3" t="s">
        <v>2440</v>
      </c>
      <c r="R49" s="3" t="s">
        <v>2571</v>
      </c>
      <c r="S49" s="3" t="s">
        <v>30</v>
      </c>
      <c r="T49" s="12"/>
      <c r="U49" s="12"/>
      <c r="V49" s="12"/>
    </row>
    <row r="50" ht="22.5" customHeight="1">
      <c r="A50" s="10">
        <v>260049.0</v>
      </c>
      <c r="B50" s="4">
        <v>46005.97040075231</v>
      </c>
      <c r="C50" s="5" t="s">
        <v>422</v>
      </c>
      <c r="D50" s="5" t="s">
        <v>423</v>
      </c>
      <c r="E50" s="5" t="s">
        <v>422</v>
      </c>
      <c r="F50" s="5" t="s">
        <v>17</v>
      </c>
      <c r="G50" s="11" t="s">
        <v>424</v>
      </c>
      <c r="H50" s="11" t="s">
        <v>425</v>
      </c>
      <c r="I50" s="11" t="s">
        <v>426</v>
      </c>
      <c r="J50" s="11" t="s">
        <v>145</v>
      </c>
      <c r="K50" s="11" t="s">
        <v>427</v>
      </c>
      <c r="L50" s="5" t="s">
        <v>30</v>
      </c>
      <c r="M50" s="5" t="s">
        <v>145</v>
      </c>
      <c r="N50" s="5" t="s">
        <v>71</v>
      </c>
      <c r="O50" s="5" t="s">
        <v>51</v>
      </c>
      <c r="P50" s="5" t="s">
        <v>52</v>
      </c>
      <c r="Q50" s="3" t="s">
        <v>2420</v>
      </c>
      <c r="R50" s="3" t="s">
        <v>2508</v>
      </c>
      <c r="S50" s="3" t="s">
        <v>30</v>
      </c>
      <c r="T50" s="12"/>
      <c r="U50" s="12"/>
      <c r="V50" s="12"/>
    </row>
    <row r="51" ht="22.5" customHeight="1">
      <c r="A51" s="10">
        <v>260050.0</v>
      </c>
      <c r="B51" s="4">
        <v>46006.88478525463</v>
      </c>
      <c r="C51" s="5" t="s">
        <v>428</v>
      </c>
      <c r="D51" s="5" t="s">
        <v>429</v>
      </c>
      <c r="E51" s="5" t="s">
        <v>428</v>
      </c>
      <c r="F51" s="5" t="s">
        <v>17</v>
      </c>
      <c r="G51" s="11" t="s">
        <v>430</v>
      </c>
      <c r="H51" s="11" t="s">
        <v>431</v>
      </c>
      <c r="I51" s="11" t="s">
        <v>432</v>
      </c>
      <c r="J51" s="11" t="s">
        <v>433</v>
      </c>
      <c r="K51" s="11" t="s">
        <v>434</v>
      </c>
      <c r="L51" s="5" t="s">
        <v>23</v>
      </c>
      <c r="M51" s="5" t="s">
        <v>435</v>
      </c>
      <c r="N51" s="5" t="s">
        <v>436</v>
      </c>
      <c r="O51" s="5" t="s">
        <v>437</v>
      </c>
      <c r="P51" s="5" t="s">
        <v>328</v>
      </c>
      <c r="Q51" s="3" t="s">
        <v>2607</v>
      </c>
      <c r="R51" s="3" t="s">
        <v>2401</v>
      </c>
      <c r="S51" s="3" t="s">
        <v>30</v>
      </c>
      <c r="T51" s="12"/>
      <c r="U51" s="12"/>
      <c r="V51" s="12"/>
    </row>
    <row r="52">
      <c r="A52" s="18"/>
      <c r="G52" s="19"/>
      <c r="H52" s="19"/>
      <c r="I52" s="19"/>
      <c r="J52" s="19"/>
      <c r="K52" s="19"/>
    </row>
    <row r="53">
      <c r="A53" s="18"/>
      <c r="G53" s="19"/>
      <c r="H53" s="19"/>
      <c r="I53" s="19"/>
      <c r="J53" s="19"/>
      <c r="K53" s="19"/>
    </row>
    <row r="54">
      <c r="A54" s="18"/>
      <c r="G54" s="19"/>
      <c r="H54" s="19"/>
      <c r="I54" s="19"/>
      <c r="J54" s="19"/>
      <c r="K54" s="19"/>
    </row>
    <row r="55">
      <c r="A55" s="18"/>
      <c r="G55" s="19"/>
      <c r="H55" s="19"/>
      <c r="I55" s="19"/>
      <c r="J55" s="19"/>
      <c r="K55" s="19"/>
    </row>
    <row r="56">
      <c r="A56" s="18"/>
      <c r="G56" s="19"/>
      <c r="H56" s="19"/>
      <c r="I56" s="19"/>
      <c r="J56" s="19"/>
      <c r="K56" s="19"/>
    </row>
    <row r="57">
      <c r="A57" s="18"/>
      <c r="G57" s="19"/>
      <c r="H57" s="19"/>
      <c r="I57" s="19"/>
      <c r="J57" s="19"/>
      <c r="K57" s="19"/>
    </row>
    <row r="58">
      <c r="A58" s="18"/>
      <c r="G58" s="19"/>
      <c r="H58" s="19"/>
      <c r="I58" s="19"/>
      <c r="J58" s="19"/>
      <c r="K58" s="19"/>
    </row>
    <row r="59">
      <c r="A59" s="18"/>
      <c r="G59" s="19"/>
      <c r="H59" s="19"/>
      <c r="I59" s="19"/>
      <c r="J59" s="19"/>
      <c r="K59" s="19"/>
    </row>
    <row r="60">
      <c r="A60" s="18"/>
      <c r="G60" s="19"/>
      <c r="H60" s="19"/>
      <c r="I60" s="19"/>
      <c r="J60" s="19"/>
      <c r="K60" s="19"/>
    </row>
    <row r="61">
      <c r="A61" s="18"/>
      <c r="G61" s="19"/>
      <c r="H61" s="19"/>
      <c r="I61" s="19"/>
      <c r="J61" s="19"/>
      <c r="K61" s="19"/>
    </row>
    <row r="62">
      <c r="A62" s="18"/>
      <c r="G62" s="19"/>
      <c r="H62" s="19"/>
      <c r="I62" s="19"/>
      <c r="J62" s="19"/>
      <c r="K62" s="19"/>
    </row>
    <row r="63">
      <c r="A63" s="18"/>
      <c r="G63" s="19"/>
      <c r="H63" s="19"/>
      <c r="I63" s="19"/>
      <c r="J63" s="19"/>
      <c r="K63" s="19"/>
    </row>
    <row r="64">
      <c r="A64" s="18"/>
      <c r="G64" s="19"/>
      <c r="H64" s="19"/>
      <c r="I64" s="19"/>
      <c r="J64" s="19"/>
      <c r="K64" s="19"/>
    </row>
    <row r="65">
      <c r="A65" s="18"/>
      <c r="G65" s="19"/>
      <c r="H65" s="19"/>
      <c r="I65" s="19"/>
      <c r="J65" s="19"/>
      <c r="K65" s="19"/>
    </row>
    <row r="66">
      <c r="A66" s="18"/>
      <c r="G66" s="19"/>
      <c r="H66" s="19"/>
      <c r="I66" s="19"/>
      <c r="J66" s="19"/>
      <c r="K66" s="19"/>
    </row>
    <row r="67">
      <c r="A67" s="18"/>
      <c r="G67" s="19"/>
      <c r="H67" s="19"/>
      <c r="I67" s="19"/>
      <c r="J67" s="19"/>
      <c r="K67" s="19"/>
    </row>
    <row r="68">
      <c r="A68" s="18"/>
      <c r="G68" s="19"/>
      <c r="H68" s="19"/>
      <c r="I68" s="19"/>
      <c r="J68" s="19"/>
      <c r="K68" s="19"/>
    </row>
    <row r="69">
      <c r="A69" s="18"/>
      <c r="G69" s="19"/>
      <c r="H69" s="19"/>
      <c r="I69" s="19"/>
      <c r="J69" s="19"/>
      <c r="K69" s="19"/>
    </row>
    <row r="70">
      <c r="A70" s="18"/>
      <c r="G70" s="19"/>
      <c r="H70" s="19"/>
      <c r="I70" s="19"/>
      <c r="J70" s="19"/>
      <c r="K70" s="19"/>
    </row>
    <row r="71">
      <c r="A71" s="18"/>
      <c r="G71" s="19"/>
      <c r="H71" s="19"/>
      <c r="I71" s="19"/>
      <c r="J71" s="19"/>
      <c r="K71" s="19"/>
    </row>
    <row r="72">
      <c r="A72" s="18"/>
      <c r="G72" s="19"/>
      <c r="H72" s="19"/>
      <c r="I72" s="19"/>
      <c r="J72" s="19"/>
      <c r="K72" s="19"/>
    </row>
    <row r="73">
      <c r="A73" s="18"/>
      <c r="G73" s="19"/>
      <c r="H73" s="19"/>
      <c r="I73" s="19"/>
      <c r="J73" s="19"/>
      <c r="K73" s="19"/>
    </row>
    <row r="74">
      <c r="A74" s="18"/>
      <c r="G74" s="19"/>
      <c r="H74" s="19"/>
      <c r="I74" s="19"/>
      <c r="J74" s="19"/>
      <c r="K74" s="19"/>
    </row>
    <row r="75">
      <c r="A75" s="18"/>
      <c r="G75" s="19"/>
      <c r="H75" s="19"/>
      <c r="I75" s="19"/>
      <c r="J75" s="19"/>
      <c r="K75" s="19"/>
    </row>
    <row r="76">
      <c r="A76" s="18"/>
      <c r="G76" s="19"/>
      <c r="H76" s="19"/>
      <c r="I76" s="19"/>
      <c r="J76" s="19"/>
      <c r="K76" s="19"/>
    </row>
    <row r="77">
      <c r="A77" s="18"/>
      <c r="G77" s="19"/>
      <c r="H77" s="19"/>
      <c r="I77" s="19"/>
      <c r="J77" s="19"/>
      <c r="K77" s="19"/>
    </row>
    <row r="78">
      <c r="A78" s="18"/>
      <c r="G78" s="19"/>
      <c r="H78" s="19"/>
      <c r="I78" s="19"/>
      <c r="J78" s="19"/>
      <c r="K78" s="19"/>
    </row>
    <row r="79">
      <c r="A79" s="18"/>
      <c r="G79" s="19"/>
      <c r="H79" s="19"/>
      <c r="I79" s="19"/>
      <c r="J79" s="19"/>
      <c r="K79" s="19"/>
    </row>
    <row r="80">
      <c r="A80" s="18"/>
      <c r="G80" s="19"/>
      <c r="H80" s="19"/>
      <c r="I80" s="19"/>
      <c r="J80" s="19"/>
      <c r="K80" s="19"/>
    </row>
    <row r="81">
      <c r="A81" s="18"/>
      <c r="G81" s="19"/>
      <c r="H81" s="19"/>
      <c r="I81" s="19"/>
      <c r="J81" s="19"/>
      <c r="K81" s="19"/>
    </row>
    <row r="82">
      <c r="A82" s="18"/>
      <c r="G82" s="19"/>
      <c r="H82" s="19"/>
      <c r="I82" s="19"/>
      <c r="J82" s="19"/>
      <c r="K82" s="19"/>
    </row>
    <row r="83">
      <c r="A83" s="18"/>
      <c r="G83" s="19"/>
      <c r="H83" s="19"/>
      <c r="I83" s="19"/>
      <c r="J83" s="19"/>
      <c r="K83" s="19"/>
    </row>
    <row r="84">
      <c r="A84" s="18"/>
      <c r="G84" s="19"/>
      <c r="H84" s="19"/>
      <c r="I84" s="19"/>
      <c r="J84" s="19"/>
      <c r="K84" s="19"/>
    </row>
    <row r="85">
      <c r="A85" s="18"/>
      <c r="G85" s="19"/>
      <c r="H85" s="19"/>
      <c r="I85" s="19"/>
      <c r="J85" s="19"/>
      <c r="K85" s="19"/>
    </row>
    <row r="86">
      <c r="A86" s="18"/>
      <c r="G86" s="19"/>
      <c r="H86" s="19"/>
      <c r="I86" s="19"/>
      <c r="J86" s="19"/>
      <c r="K86" s="19"/>
    </row>
    <row r="87">
      <c r="A87" s="18"/>
      <c r="G87" s="19"/>
      <c r="H87" s="19"/>
      <c r="I87" s="19"/>
      <c r="J87" s="19"/>
      <c r="K87" s="19"/>
    </row>
    <row r="88">
      <c r="A88" s="18"/>
      <c r="G88" s="19"/>
      <c r="H88" s="19"/>
      <c r="I88" s="19"/>
      <c r="J88" s="19"/>
      <c r="K88" s="19"/>
    </row>
    <row r="89">
      <c r="A89" s="18"/>
      <c r="G89" s="19"/>
      <c r="H89" s="19"/>
      <c r="I89" s="19"/>
      <c r="J89" s="19"/>
      <c r="K89" s="19"/>
    </row>
    <row r="90">
      <c r="A90" s="18"/>
      <c r="G90" s="19"/>
      <c r="H90" s="19"/>
      <c r="I90" s="19"/>
      <c r="J90" s="19"/>
      <c r="K90" s="19"/>
    </row>
    <row r="91">
      <c r="A91" s="18"/>
      <c r="G91" s="19"/>
      <c r="H91" s="19"/>
      <c r="I91" s="19"/>
      <c r="J91" s="19"/>
      <c r="K91" s="19"/>
    </row>
    <row r="92">
      <c r="A92" s="18"/>
      <c r="G92" s="19"/>
      <c r="H92" s="19"/>
      <c r="I92" s="19"/>
      <c r="J92" s="19"/>
      <c r="K92" s="19"/>
    </row>
    <row r="93">
      <c r="A93" s="18"/>
      <c r="G93" s="19"/>
      <c r="H93" s="19"/>
      <c r="I93" s="19"/>
      <c r="J93" s="19"/>
      <c r="K93" s="19"/>
    </row>
    <row r="94">
      <c r="A94" s="18"/>
      <c r="G94" s="19"/>
      <c r="H94" s="19"/>
      <c r="I94" s="19"/>
      <c r="J94" s="19"/>
      <c r="K94" s="19"/>
    </row>
    <row r="95">
      <c r="A95" s="18"/>
      <c r="G95" s="19"/>
      <c r="H95" s="19"/>
      <c r="I95" s="19"/>
      <c r="J95" s="19"/>
      <c r="K95" s="19"/>
    </row>
    <row r="96">
      <c r="A96" s="18"/>
      <c r="G96" s="19"/>
      <c r="H96" s="19"/>
      <c r="I96" s="19"/>
      <c r="J96" s="19"/>
      <c r="K96" s="19"/>
    </row>
    <row r="97">
      <c r="A97" s="18"/>
      <c r="G97" s="19"/>
      <c r="H97" s="19"/>
      <c r="I97" s="19"/>
      <c r="J97" s="19"/>
      <c r="K97" s="19"/>
    </row>
    <row r="98">
      <c r="A98" s="18"/>
      <c r="G98" s="19"/>
      <c r="H98" s="19"/>
      <c r="I98" s="19"/>
      <c r="J98" s="19"/>
      <c r="K98" s="19"/>
    </row>
    <row r="99">
      <c r="A99" s="18"/>
      <c r="G99" s="19"/>
      <c r="H99" s="19"/>
      <c r="I99" s="19"/>
      <c r="J99" s="19"/>
      <c r="K99" s="19"/>
    </row>
    <row r="100">
      <c r="A100" s="18"/>
      <c r="G100" s="19"/>
      <c r="H100" s="19"/>
      <c r="I100" s="19"/>
      <c r="J100" s="19"/>
      <c r="K100" s="19"/>
    </row>
    <row r="101">
      <c r="A101" s="18"/>
      <c r="G101" s="19"/>
      <c r="H101" s="19"/>
      <c r="I101" s="19"/>
      <c r="J101" s="19"/>
      <c r="K101" s="19"/>
    </row>
    <row r="102">
      <c r="A102" s="18"/>
      <c r="G102" s="19"/>
      <c r="H102" s="19"/>
      <c r="I102" s="19"/>
      <c r="J102" s="19"/>
      <c r="K102" s="19"/>
    </row>
    <row r="103">
      <c r="A103" s="18"/>
      <c r="G103" s="19"/>
      <c r="H103" s="19"/>
      <c r="I103" s="19"/>
      <c r="J103" s="19"/>
      <c r="K103" s="19"/>
    </row>
    <row r="104">
      <c r="A104" s="18"/>
      <c r="G104" s="19"/>
      <c r="H104" s="19"/>
      <c r="I104" s="19"/>
      <c r="J104" s="19"/>
      <c r="K104" s="19"/>
    </row>
    <row r="105">
      <c r="A105" s="18"/>
      <c r="G105" s="19"/>
      <c r="H105" s="19"/>
      <c r="I105" s="19"/>
      <c r="J105" s="19"/>
      <c r="K105" s="19"/>
    </row>
    <row r="106">
      <c r="A106" s="18"/>
      <c r="G106" s="19"/>
      <c r="H106" s="19"/>
      <c r="I106" s="19"/>
      <c r="J106" s="19"/>
      <c r="K106" s="19"/>
    </row>
    <row r="107">
      <c r="A107" s="18"/>
      <c r="G107" s="19"/>
      <c r="H107" s="19"/>
      <c r="I107" s="19"/>
      <c r="J107" s="19"/>
      <c r="K107" s="19"/>
    </row>
    <row r="108">
      <c r="A108" s="18"/>
      <c r="G108" s="19"/>
      <c r="H108" s="19"/>
      <c r="I108" s="19"/>
      <c r="J108" s="19"/>
      <c r="K108" s="19"/>
    </row>
    <row r="109">
      <c r="A109" s="18"/>
      <c r="G109" s="19"/>
      <c r="H109" s="19"/>
      <c r="I109" s="19"/>
      <c r="J109" s="19"/>
      <c r="K109" s="19"/>
    </row>
    <row r="110">
      <c r="A110" s="18"/>
      <c r="G110" s="19"/>
      <c r="H110" s="19"/>
      <c r="I110" s="19"/>
      <c r="J110" s="19"/>
      <c r="K110" s="19"/>
    </row>
    <row r="111">
      <c r="A111" s="18"/>
      <c r="G111" s="19"/>
      <c r="H111" s="19"/>
      <c r="I111" s="19"/>
      <c r="J111" s="19"/>
      <c r="K111" s="19"/>
    </row>
    <row r="112">
      <c r="A112" s="18"/>
      <c r="G112" s="19"/>
      <c r="H112" s="19"/>
      <c r="I112" s="19"/>
      <c r="J112" s="19"/>
      <c r="K112" s="19"/>
    </row>
    <row r="113">
      <c r="A113" s="18"/>
      <c r="G113" s="19"/>
      <c r="H113" s="19"/>
      <c r="I113" s="19"/>
      <c r="J113" s="19"/>
      <c r="K113" s="19"/>
    </row>
    <row r="114">
      <c r="A114" s="18"/>
      <c r="G114" s="19"/>
      <c r="H114" s="19"/>
      <c r="I114" s="19"/>
      <c r="J114" s="19"/>
      <c r="K114" s="19"/>
    </row>
    <row r="115">
      <c r="A115" s="18"/>
      <c r="G115" s="19"/>
      <c r="H115" s="19"/>
      <c r="I115" s="19"/>
      <c r="J115" s="19"/>
      <c r="K115" s="19"/>
    </row>
    <row r="116">
      <c r="A116" s="18"/>
      <c r="G116" s="19"/>
      <c r="H116" s="19"/>
      <c r="I116" s="19"/>
      <c r="J116" s="19"/>
      <c r="K116" s="19"/>
    </row>
    <row r="117">
      <c r="A117" s="18"/>
      <c r="G117" s="19"/>
      <c r="H117" s="19"/>
      <c r="I117" s="19"/>
      <c r="J117" s="19"/>
      <c r="K117" s="19"/>
    </row>
    <row r="118">
      <c r="A118" s="18"/>
      <c r="G118" s="19"/>
      <c r="H118" s="19"/>
      <c r="I118" s="19"/>
      <c r="J118" s="19"/>
      <c r="K118" s="19"/>
    </row>
    <row r="119">
      <c r="A119" s="18"/>
      <c r="G119" s="19"/>
      <c r="H119" s="19"/>
      <c r="I119" s="19"/>
      <c r="J119" s="19"/>
      <c r="K119" s="19"/>
    </row>
    <row r="120">
      <c r="A120" s="18"/>
      <c r="G120" s="19"/>
      <c r="H120" s="19"/>
      <c r="I120" s="19"/>
      <c r="J120" s="19"/>
      <c r="K120" s="19"/>
    </row>
    <row r="121">
      <c r="A121" s="18"/>
      <c r="G121" s="19"/>
      <c r="H121" s="19"/>
      <c r="I121" s="19"/>
      <c r="J121" s="19"/>
      <c r="K121" s="19"/>
    </row>
    <row r="122">
      <c r="A122" s="18"/>
      <c r="G122" s="19"/>
      <c r="H122" s="19"/>
      <c r="I122" s="19"/>
      <c r="J122" s="19"/>
      <c r="K122" s="19"/>
    </row>
    <row r="123">
      <c r="A123" s="18"/>
      <c r="G123" s="19"/>
      <c r="H123" s="19"/>
      <c r="I123" s="19"/>
      <c r="J123" s="19"/>
      <c r="K123" s="19"/>
    </row>
    <row r="124">
      <c r="A124" s="18"/>
      <c r="G124" s="19"/>
      <c r="H124" s="19"/>
      <c r="I124" s="19"/>
      <c r="J124" s="19"/>
      <c r="K124" s="19"/>
    </row>
    <row r="125">
      <c r="A125" s="18"/>
      <c r="G125" s="19"/>
      <c r="H125" s="19"/>
      <c r="I125" s="19"/>
      <c r="J125" s="19"/>
      <c r="K125" s="19"/>
    </row>
    <row r="126">
      <c r="A126" s="18"/>
      <c r="G126" s="19"/>
      <c r="H126" s="19"/>
      <c r="I126" s="19"/>
      <c r="J126" s="19"/>
      <c r="K126" s="19"/>
    </row>
    <row r="127">
      <c r="A127" s="18"/>
      <c r="G127" s="19"/>
      <c r="H127" s="19"/>
      <c r="I127" s="19"/>
      <c r="J127" s="19"/>
      <c r="K127" s="19"/>
    </row>
    <row r="128">
      <c r="A128" s="18"/>
      <c r="G128" s="19"/>
      <c r="H128" s="19"/>
      <c r="I128" s="19"/>
      <c r="J128" s="19"/>
      <c r="K128" s="19"/>
    </row>
    <row r="129">
      <c r="A129" s="18"/>
      <c r="G129" s="19"/>
      <c r="H129" s="19"/>
      <c r="I129" s="19"/>
      <c r="J129" s="19"/>
      <c r="K129" s="19"/>
    </row>
    <row r="130">
      <c r="A130" s="18"/>
      <c r="G130" s="19"/>
      <c r="H130" s="19"/>
      <c r="I130" s="19"/>
      <c r="J130" s="19"/>
      <c r="K130" s="19"/>
    </row>
    <row r="131">
      <c r="A131" s="18"/>
      <c r="G131" s="19"/>
      <c r="H131" s="19"/>
      <c r="I131" s="19"/>
      <c r="J131" s="19"/>
      <c r="K131" s="19"/>
    </row>
    <row r="132">
      <c r="A132" s="18"/>
      <c r="G132" s="19"/>
      <c r="H132" s="19"/>
      <c r="I132" s="19"/>
      <c r="J132" s="19"/>
      <c r="K132" s="19"/>
    </row>
    <row r="133">
      <c r="A133" s="18"/>
      <c r="G133" s="19"/>
      <c r="H133" s="19"/>
      <c r="I133" s="19"/>
      <c r="J133" s="19"/>
      <c r="K133" s="19"/>
    </row>
    <row r="134">
      <c r="A134" s="18"/>
      <c r="G134" s="19"/>
      <c r="H134" s="19"/>
      <c r="I134" s="19"/>
      <c r="J134" s="19"/>
      <c r="K134" s="19"/>
    </row>
    <row r="135">
      <c r="A135" s="18"/>
      <c r="G135" s="19"/>
      <c r="H135" s="19"/>
      <c r="I135" s="19"/>
      <c r="J135" s="19"/>
      <c r="K135" s="19"/>
    </row>
    <row r="136">
      <c r="A136" s="18"/>
      <c r="G136" s="19"/>
      <c r="H136" s="19"/>
      <c r="I136" s="19"/>
      <c r="J136" s="19"/>
      <c r="K136" s="19"/>
    </row>
    <row r="137">
      <c r="A137" s="18"/>
      <c r="G137" s="19"/>
      <c r="H137" s="19"/>
      <c r="I137" s="19"/>
      <c r="J137" s="19"/>
      <c r="K137" s="19"/>
    </row>
    <row r="138">
      <c r="A138" s="18"/>
      <c r="G138" s="19"/>
      <c r="H138" s="19"/>
      <c r="I138" s="19"/>
      <c r="J138" s="19"/>
      <c r="K138" s="19"/>
    </row>
    <row r="139">
      <c r="A139" s="18"/>
      <c r="G139" s="19"/>
      <c r="H139" s="19"/>
      <c r="I139" s="19"/>
      <c r="J139" s="19"/>
      <c r="K139" s="19"/>
    </row>
    <row r="140">
      <c r="A140" s="18"/>
      <c r="G140" s="19"/>
      <c r="H140" s="19"/>
      <c r="I140" s="19"/>
      <c r="J140" s="19"/>
      <c r="K140" s="19"/>
    </row>
    <row r="141">
      <c r="A141" s="18"/>
      <c r="G141" s="19"/>
      <c r="H141" s="19"/>
      <c r="I141" s="19"/>
      <c r="J141" s="19"/>
      <c r="K141" s="19"/>
    </row>
    <row r="142">
      <c r="A142" s="18"/>
      <c r="G142" s="19"/>
      <c r="H142" s="19"/>
      <c r="I142" s="19"/>
      <c r="J142" s="19"/>
      <c r="K142" s="19"/>
    </row>
    <row r="143">
      <c r="A143" s="18"/>
      <c r="G143" s="19"/>
      <c r="H143" s="19"/>
      <c r="I143" s="19"/>
      <c r="J143" s="19"/>
      <c r="K143" s="19"/>
    </row>
    <row r="144">
      <c r="A144" s="18"/>
      <c r="G144" s="19"/>
      <c r="H144" s="19"/>
      <c r="I144" s="19"/>
      <c r="J144" s="19"/>
      <c r="K144" s="19"/>
    </row>
    <row r="145">
      <c r="A145" s="18"/>
      <c r="G145" s="19"/>
      <c r="H145" s="19"/>
      <c r="I145" s="19"/>
      <c r="J145" s="19"/>
      <c r="K145" s="19"/>
    </row>
    <row r="146">
      <c r="A146" s="18"/>
      <c r="G146" s="19"/>
      <c r="H146" s="19"/>
      <c r="I146" s="19"/>
      <c r="J146" s="19"/>
      <c r="K146" s="19"/>
    </row>
    <row r="147">
      <c r="A147" s="18"/>
      <c r="G147" s="19"/>
      <c r="H147" s="19"/>
      <c r="I147" s="19"/>
      <c r="J147" s="19"/>
      <c r="K147" s="19"/>
    </row>
    <row r="148">
      <c r="A148" s="18"/>
      <c r="G148" s="19"/>
      <c r="H148" s="19"/>
      <c r="I148" s="19"/>
      <c r="J148" s="19"/>
      <c r="K148" s="19"/>
    </row>
    <row r="149">
      <c r="A149" s="18"/>
      <c r="G149" s="19"/>
      <c r="H149" s="19"/>
      <c r="I149" s="19"/>
      <c r="J149" s="19"/>
      <c r="K149" s="19"/>
    </row>
    <row r="150">
      <c r="A150" s="18"/>
      <c r="G150" s="19"/>
      <c r="H150" s="19"/>
      <c r="I150" s="19"/>
      <c r="J150" s="19"/>
      <c r="K150" s="19"/>
    </row>
  </sheetData>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18.88"/>
    <col customWidth="1" min="3" max="3" width="17.63"/>
    <col customWidth="1" min="4" max="4" width="18.88"/>
    <col customWidth="1" hidden="1" min="5" max="5" width="20.88"/>
    <col customWidth="1" min="6" max="6" width="20.38"/>
    <col customWidth="1" min="7" max="7" width="63.75"/>
    <col customWidth="1" min="8" max="8" width="178.25"/>
    <col customWidth="1" min="9" max="11" width="18.88"/>
    <col customWidth="1" hidden="1" min="12" max="12" width="37.63"/>
    <col customWidth="1" min="13" max="13" width="18.88"/>
    <col customWidth="1" hidden="1" min="14" max="14" width="18.88"/>
    <col customWidth="1" min="15" max="15" width="20.88"/>
    <col customWidth="1" min="16" max="16" width="15.63"/>
    <col customWidth="1" min="17" max="18" width="18.88"/>
    <col customWidth="1" min="19" max="20" width="16.13"/>
    <col customWidth="1" min="21" max="21" width="18.38"/>
    <col customWidth="1" min="22" max="22" width="51.25"/>
    <col customWidth="1" min="23" max="23" width="27.0"/>
    <col customWidth="1" min="26" max="28" width="18.88"/>
  </cols>
  <sheetData>
    <row r="1" ht="22.5" customHeight="1">
      <c r="A1" s="7" t="s">
        <v>2311</v>
      </c>
      <c r="B1" s="1" t="s">
        <v>0</v>
      </c>
      <c r="C1" s="1" t="s">
        <v>1</v>
      </c>
      <c r="D1" s="1" t="s">
        <v>2</v>
      </c>
      <c r="E1" s="1" t="s">
        <v>3</v>
      </c>
      <c r="F1" s="1" t="s">
        <v>4</v>
      </c>
      <c r="G1" s="8" t="s">
        <v>5</v>
      </c>
      <c r="H1" s="8" t="s">
        <v>6</v>
      </c>
      <c r="I1" s="8" t="s">
        <v>7</v>
      </c>
      <c r="J1" s="8" t="s">
        <v>8</v>
      </c>
      <c r="K1" s="8" t="s">
        <v>9</v>
      </c>
      <c r="L1" s="1" t="s">
        <v>10</v>
      </c>
      <c r="M1" s="1" t="s">
        <v>11</v>
      </c>
      <c r="N1" s="1" t="s">
        <v>12</v>
      </c>
      <c r="O1" s="1" t="s">
        <v>13</v>
      </c>
      <c r="P1" s="1" t="s">
        <v>14</v>
      </c>
      <c r="Q1" s="94" t="s">
        <v>2649</v>
      </c>
      <c r="R1" s="94" t="s">
        <v>2650</v>
      </c>
      <c r="S1" s="95" t="s">
        <v>2651</v>
      </c>
      <c r="T1" s="95" t="s">
        <v>2652</v>
      </c>
      <c r="U1" s="95" t="s">
        <v>2653</v>
      </c>
      <c r="V1" s="9" t="s">
        <v>2679</v>
      </c>
      <c r="W1" s="104" t="s">
        <v>2680</v>
      </c>
    </row>
    <row r="2" ht="22.5" customHeight="1">
      <c r="A2" s="10">
        <v>260051.0</v>
      </c>
      <c r="B2" s="4">
        <v>46007.54120821759</v>
      </c>
      <c r="C2" s="5" t="s">
        <v>438</v>
      </c>
      <c r="D2" s="5" t="s">
        <v>439</v>
      </c>
      <c r="E2" s="5" t="s">
        <v>438</v>
      </c>
      <c r="F2" s="5" t="s">
        <v>17</v>
      </c>
      <c r="G2" s="11" t="s">
        <v>440</v>
      </c>
      <c r="H2" s="11" t="s">
        <v>441</v>
      </c>
      <c r="I2" s="11" t="s">
        <v>442</v>
      </c>
      <c r="J2" s="11" t="s">
        <v>443</v>
      </c>
      <c r="K2" s="11" t="s">
        <v>444</v>
      </c>
      <c r="L2" s="5" t="s">
        <v>23</v>
      </c>
      <c r="M2" s="5" t="s">
        <v>445</v>
      </c>
      <c r="N2" s="5" t="s">
        <v>119</v>
      </c>
      <c r="O2" s="5" t="s">
        <v>446</v>
      </c>
      <c r="P2" s="5" t="s">
        <v>447</v>
      </c>
      <c r="Q2" s="3" t="s">
        <v>1859</v>
      </c>
      <c r="R2" s="3" t="s">
        <v>2681</v>
      </c>
      <c r="S2" s="3" t="s">
        <v>30</v>
      </c>
      <c r="T2" s="3" t="s">
        <v>2682</v>
      </c>
      <c r="U2" s="3"/>
      <c r="V2" s="3" t="s">
        <v>2682</v>
      </c>
      <c r="W2" s="17" t="s">
        <v>2683</v>
      </c>
    </row>
    <row r="3" ht="22.5" customHeight="1">
      <c r="A3" s="105">
        <v>260052.0</v>
      </c>
      <c r="B3" s="106">
        <v>46007.848261886575</v>
      </c>
      <c r="C3" s="107" t="s">
        <v>448</v>
      </c>
      <c r="D3" s="107" t="s">
        <v>449</v>
      </c>
      <c r="E3" s="107" t="s">
        <v>450</v>
      </c>
      <c r="F3" s="107" t="s">
        <v>17</v>
      </c>
      <c r="G3" s="108" t="s">
        <v>451</v>
      </c>
      <c r="H3" s="108" t="s">
        <v>452</v>
      </c>
      <c r="I3" s="108" t="s">
        <v>453</v>
      </c>
      <c r="J3" s="108" t="s">
        <v>454</v>
      </c>
      <c r="K3" s="108" t="s">
        <v>20</v>
      </c>
      <c r="L3" s="107" t="s">
        <v>30</v>
      </c>
      <c r="M3" s="107" t="s">
        <v>455</v>
      </c>
      <c r="N3" s="107" t="s">
        <v>456</v>
      </c>
      <c r="O3" s="107" t="s">
        <v>51</v>
      </c>
      <c r="P3" s="107" t="s">
        <v>52</v>
      </c>
      <c r="Q3" s="107" t="s">
        <v>2580</v>
      </c>
      <c r="R3" s="107" t="s">
        <v>2635</v>
      </c>
      <c r="S3" s="107" t="s">
        <v>30</v>
      </c>
      <c r="T3" s="107" t="s">
        <v>2684</v>
      </c>
      <c r="U3" s="107"/>
      <c r="V3" s="108" t="s">
        <v>2685</v>
      </c>
      <c r="W3" s="108" t="s">
        <v>2686</v>
      </c>
    </row>
    <row r="4" ht="22.5" customHeight="1">
      <c r="A4" s="10">
        <v>260053.0</v>
      </c>
      <c r="B4" s="4">
        <v>46008.00482423611</v>
      </c>
      <c r="C4" s="5" t="s">
        <v>457</v>
      </c>
      <c r="D4" s="5" t="s">
        <v>458</v>
      </c>
      <c r="E4" s="5" t="s">
        <v>457</v>
      </c>
      <c r="F4" s="5" t="s">
        <v>17</v>
      </c>
      <c r="G4" s="11" t="s">
        <v>459</v>
      </c>
      <c r="H4" s="11" t="s">
        <v>460</v>
      </c>
      <c r="I4" s="11" t="s">
        <v>461</v>
      </c>
      <c r="J4" s="11" t="s">
        <v>462</v>
      </c>
      <c r="K4" s="11" t="s">
        <v>463</v>
      </c>
      <c r="L4" s="5" t="s">
        <v>162</v>
      </c>
      <c r="M4" s="5" t="s">
        <v>464</v>
      </c>
      <c r="N4" s="5" t="s">
        <v>61</v>
      </c>
      <c r="O4" s="5" t="s">
        <v>181</v>
      </c>
      <c r="P4" s="5" t="s">
        <v>181</v>
      </c>
      <c r="Q4" s="107" t="s">
        <v>2687</v>
      </c>
      <c r="R4" s="3" t="s">
        <v>2688</v>
      </c>
      <c r="S4" s="3" t="s">
        <v>30</v>
      </c>
      <c r="T4" s="3" t="s">
        <v>2682</v>
      </c>
      <c r="U4" s="3"/>
      <c r="V4" s="3" t="s">
        <v>2682</v>
      </c>
      <c r="W4" s="17" t="s">
        <v>2689</v>
      </c>
    </row>
    <row r="5" ht="22.5" customHeight="1">
      <c r="A5" s="10">
        <v>260054.0</v>
      </c>
      <c r="B5" s="4">
        <v>46008.31772184028</v>
      </c>
      <c r="C5" s="5" t="s">
        <v>465</v>
      </c>
      <c r="D5" s="5" t="s">
        <v>466</v>
      </c>
      <c r="E5" s="5" t="s">
        <v>465</v>
      </c>
      <c r="F5" s="5" t="s">
        <v>17</v>
      </c>
      <c r="G5" s="11" t="s">
        <v>467</v>
      </c>
      <c r="H5" s="11" t="s">
        <v>2314</v>
      </c>
      <c r="I5" s="11" t="s">
        <v>409</v>
      </c>
      <c r="J5" s="11" t="s">
        <v>469</v>
      </c>
      <c r="K5" s="11" t="s">
        <v>470</v>
      </c>
      <c r="L5" s="5" t="s">
        <v>23</v>
      </c>
      <c r="M5" s="5" t="s">
        <v>471</v>
      </c>
      <c r="N5" s="5" t="s">
        <v>119</v>
      </c>
      <c r="O5" s="5" t="s">
        <v>472</v>
      </c>
      <c r="P5" s="5" t="s">
        <v>473</v>
      </c>
      <c r="Q5" s="3" t="s">
        <v>2690</v>
      </c>
      <c r="R5" s="3" t="s">
        <v>2691</v>
      </c>
      <c r="S5" s="3" t="s">
        <v>30</v>
      </c>
      <c r="T5" s="3" t="s">
        <v>2692</v>
      </c>
      <c r="U5" s="3"/>
      <c r="V5" s="3" t="s">
        <v>2692</v>
      </c>
      <c r="W5" s="17" t="s">
        <v>2693</v>
      </c>
    </row>
    <row r="6" ht="22.5" customHeight="1">
      <c r="A6" s="96">
        <v>260055.0</v>
      </c>
      <c r="B6" s="97">
        <v>46009.61777222222</v>
      </c>
      <c r="C6" s="98" t="s">
        <v>474</v>
      </c>
      <c r="D6" s="98" t="s">
        <v>475</v>
      </c>
      <c r="E6" s="98" t="s">
        <v>474</v>
      </c>
      <c r="F6" s="98" t="s">
        <v>17</v>
      </c>
      <c r="G6" s="99" t="s">
        <v>476</v>
      </c>
      <c r="H6" s="99" t="s">
        <v>477</v>
      </c>
      <c r="I6" s="99" t="s">
        <v>478</v>
      </c>
      <c r="J6" s="99" t="s">
        <v>479</v>
      </c>
      <c r="K6" s="99" t="s">
        <v>480</v>
      </c>
      <c r="L6" s="98" t="s">
        <v>23</v>
      </c>
      <c r="M6" s="98" t="s">
        <v>481</v>
      </c>
      <c r="N6" s="98" t="s">
        <v>119</v>
      </c>
      <c r="O6" s="98" t="s">
        <v>51</v>
      </c>
      <c r="P6" s="98" t="s">
        <v>52</v>
      </c>
      <c r="Q6" s="98" t="s">
        <v>2631</v>
      </c>
      <c r="R6" s="98" t="s">
        <v>2631</v>
      </c>
      <c r="S6" s="98" t="s">
        <v>162</v>
      </c>
      <c r="T6" s="98"/>
      <c r="U6" s="98"/>
      <c r="V6" s="98" t="s">
        <v>2694</v>
      </c>
      <c r="W6" s="99" t="s">
        <v>2695</v>
      </c>
    </row>
    <row r="7" ht="22.5" customHeight="1">
      <c r="A7" s="10">
        <v>260056.0</v>
      </c>
      <c r="B7" s="4">
        <v>46009.6199905324</v>
      </c>
      <c r="C7" s="5" t="s">
        <v>474</v>
      </c>
      <c r="D7" s="5" t="s">
        <v>475</v>
      </c>
      <c r="E7" s="5" t="s">
        <v>474</v>
      </c>
      <c r="F7" s="5" t="s">
        <v>17</v>
      </c>
      <c r="G7" s="11" t="s">
        <v>482</v>
      </c>
      <c r="H7" s="11" t="s">
        <v>477</v>
      </c>
      <c r="I7" s="11" t="s">
        <v>478</v>
      </c>
      <c r="J7" s="11" t="s">
        <v>479</v>
      </c>
      <c r="K7" s="11" t="s">
        <v>480</v>
      </c>
      <c r="L7" s="5" t="s">
        <v>23</v>
      </c>
      <c r="M7" s="5" t="s">
        <v>481</v>
      </c>
      <c r="N7" s="5" t="s">
        <v>119</v>
      </c>
      <c r="O7" s="5" t="s">
        <v>51</v>
      </c>
      <c r="P7" s="5" t="s">
        <v>52</v>
      </c>
      <c r="Q7" s="3" t="s">
        <v>2690</v>
      </c>
      <c r="R7" s="3" t="s">
        <v>2612</v>
      </c>
      <c r="S7" s="3" t="s">
        <v>30</v>
      </c>
      <c r="T7" s="3"/>
      <c r="U7" s="3"/>
      <c r="V7" s="3" t="s">
        <v>2696</v>
      </c>
      <c r="W7" s="109"/>
    </row>
    <row r="8" ht="22.5" customHeight="1">
      <c r="A8" s="10">
        <v>260057.0</v>
      </c>
      <c r="B8" s="4">
        <v>46009.88627265046</v>
      </c>
      <c r="C8" s="5" t="s">
        <v>483</v>
      </c>
      <c r="D8" s="5" t="s">
        <v>484</v>
      </c>
      <c r="E8" s="5" t="s">
        <v>483</v>
      </c>
      <c r="F8" s="5" t="s">
        <v>64</v>
      </c>
      <c r="G8" s="11" t="s">
        <v>485</v>
      </c>
      <c r="H8" s="11" t="s">
        <v>486</v>
      </c>
      <c r="I8" s="11" t="s">
        <v>487</v>
      </c>
      <c r="J8" s="11" t="s">
        <v>488</v>
      </c>
      <c r="K8" s="11" t="s">
        <v>195</v>
      </c>
      <c r="L8" s="5" t="s">
        <v>30</v>
      </c>
      <c r="M8" s="5" t="s">
        <v>489</v>
      </c>
      <c r="N8" s="5" t="s">
        <v>164</v>
      </c>
      <c r="O8" s="5" t="s">
        <v>490</v>
      </c>
      <c r="P8" s="5" t="s">
        <v>52</v>
      </c>
      <c r="Q8" s="3" t="s">
        <v>2697</v>
      </c>
      <c r="R8" s="3" t="s">
        <v>2018</v>
      </c>
      <c r="S8" s="3" t="s">
        <v>30</v>
      </c>
      <c r="T8" s="3"/>
      <c r="U8" s="3"/>
      <c r="V8" s="3" t="s">
        <v>2698</v>
      </c>
      <c r="W8" s="17" t="s">
        <v>2699</v>
      </c>
    </row>
    <row r="9" ht="22.5" customHeight="1">
      <c r="A9" s="10">
        <v>260058.0</v>
      </c>
      <c r="B9" s="4">
        <v>46011.11834981482</v>
      </c>
      <c r="C9" s="5" t="s">
        <v>491</v>
      </c>
      <c r="D9" s="5" t="s">
        <v>492</v>
      </c>
      <c r="E9" s="5" t="s">
        <v>491</v>
      </c>
      <c r="F9" s="5" t="s">
        <v>17</v>
      </c>
      <c r="G9" s="11" t="s">
        <v>493</v>
      </c>
      <c r="H9" s="11" t="s">
        <v>494</v>
      </c>
      <c r="I9" s="11" t="s">
        <v>495</v>
      </c>
      <c r="J9" s="11" t="s">
        <v>496</v>
      </c>
      <c r="K9" s="11" t="s">
        <v>497</v>
      </c>
      <c r="L9" s="5" t="s">
        <v>30</v>
      </c>
      <c r="M9" s="5" t="s">
        <v>498</v>
      </c>
      <c r="N9" s="5" t="s">
        <v>111</v>
      </c>
      <c r="O9" s="5" t="s">
        <v>51</v>
      </c>
      <c r="P9" s="5" t="s">
        <v>52</v>
      </c>
      <c r="Q9" s="5" t="s">
        <v>2612</v>
      </c>
      <c r="R9" s="5" t="s">
        <v>2571</v>
      </c>
      <c r="S9" s="5" t="s">
        <v>30</v>
      </c>
      <c r="T9" s="5"/>
      <c r="U9" s="5"/>
      <c r="V9" s="5" t="s">
        <v>2692</v>
      </c>
      <c r="W9" s="11" t="s">
        <v>2700</v>
      </c>
    </row>
    <row r="10" ht="22.5" customHeight="1">
      <c r="A10" s="96">
        <v>260059.0</v>
      </c>
      <c r="B10" s="97">
        <v>46011.23641533565</v>
      </c>
      <c r="C10" s="98" t="s">
        <v>499</v>
      </c>
      <c r="D10" s="98" t="s">
        <v>500</v>
      </c>
      <c r="E10" s="98" t="s">
        <v>499</v>
      </c>
      <c r="F10" s="98" t="s">
        <v>17</v>
      </c>
      <c r="G10" s="99" t="s">
        <v>501</v>
      </c>
      <c r="H10" s="99" t="s">
        <v>502</v>
      </c>
      <c r="I10" s="99" t="s">
        <v>503</v>
      </c>
      <c r="J10" s="99" t="s">
        <v>504</v>
      </c>
      <c r="K10" s="99" t="s">
        <v>505</v>
      </c>
      <c r="L10" s="98" t="s">
        <v>30</v>
      </c>
      <c r="M10" s="98" t="s">
        <v>506</v>
      </c>
      <c r="N10" s="98" t="s">
        <v>295</v>
      </c>
      <c r="O10" s="98" t="s">
        <v>507</v>
      </c>
      <c r="P10" s="98" t="s">
        <v>52</v>
      </c>
      <c r="Q10" s="98" t="s">
        <v>2688</v>
      </c>
      <c r="R10" s="98" t="s">
        <v>2701</v>
      </c>
      <c r="S10" s="98" t="s">
        <v>162</v>
      </c>
      <c r="T10" s="98" t="s">
        <v>2702</v>
      </c>
      <c r="U10" s="98"/>
      <c r="V10" s="99" t="s">
        <v>2703</v>
      </c>
      <c r="W10" s="99" t="s">
        <v>2704</v>
      </c>
    </row>
    <row r="11" ht="22.5" customHeight="1">
      <c r="A11" s="96">
        <v>260060.0</v>
      </c>
      <c r="B11" s="97">
        <v>46011.277141122686</v>
      </c>
      <c r="C11" s="98" t="s">
        <v>508</v>
      </c>
      <c r="D11" s="98" t="s">
        <v>509</v>
      </c>
      <c r="E11" s="98" t="s">
        <v>508</v>
      </c>
      <c r="F11" s="98" t="s">
        <v>17</v>
      </c>
      <c r="G11" s="99" t="s">
        <v>510</v>
      </c>
      <c r="H11" s="99" t="s">
        <v>511</v>
      </c>
      <c r="I11" s="99" t="s">
        <v>512</v>
      </c>
      <c r="J11" s="99" t="s">
        <v>513</v>
      </c>
      <c r="K11" s="99" t="s">
        <v>514</v>
      </c>
      <c r="L11" s="98" t="s">
        <v>30</v>
      </c>
      <c r="M11" s="98" t="s">
        <v>515</v>
      </c>
      <c r="N11" s="98" t="s">
        <v>119</v>
      </c>
      <c r="O11" s="98" t="s">
        <v>51</v>
      </c>
      <c r="P11" s="98" t="s">
        <v>52</v>
      </c>
      <c r="Q11" s="98" t="s">
        <v>2631</v>
      </c>
      <c r="R11" s="98" t="s">
        <v>2631</v>
      </c>
      <c r="S11" s="98" t="s">
        <v>162</v>
      </c>
      <c r="T11" s="98" t="s">
        <v>2705</v>
      </c>
      <c r="U11" s="98"/>
      <c r="V11" s="98" t="s">
        <v>2706</v>
      </c>
      <c r="W11" s="99" t="s">
        <v>2707</v>
      </c>
      <c r="X11" s="101"/>
      <c r="Y11" s="101"/>
      <c r="Z11" s="101"/>
      <c r="AA11" s="101"/>
      <c r="AB11" s="101"/>
    </row>
    <row r="12" ht="22.5" customHeight="1">
      <c r="A12" s="10">
        <v>260061.0</v>
      </c>
      <c r="B12" s="4">
        <v>46011.44342289351</v>
      </c>
      <c r="C12" s="5" t="s">
        <v>516</v>
      </c>
      <c r="D12" s="5" t="s">
        <v>517</v>
      </c>
      <c r="E12" s="5" t="s">
        <v>518</v>
      </c>
      <c r="F12" s="5" t="s">
        <v>131</v>
      </c>
      <c r="G12" s="11" t="s">
        <v>519</v>
      </c>
      <c r="H12" s="11" t="s">
        <v>520</v>
      </c>
      <c r="I12" s="11" t="s">
        <v>521</v>
      </c>
      <c r="J12" s="11" t="s">
        <v>522</v>
      </c>
      <c r="K12" s="11" t="s">
        <v>523</v>
      </c>
      <c r="L12" s="5" t="s">
        <v>162</v>
      </c>
      <c r="M12" s="5" t="s">
        <v>524</v>
      </c>
      <c r="N12" s="5" t="s">
        <v>61</v>
      </c>
      <c r="O12" s="5" t="s">
        <v>525</v>
      </c>
      <c r="P12" s="5" t="s">
        <v>73</v>
      </c>
      <c r="Q12" s="3" t="s">
        <v>2708</v>
      </c>
      <c r="R12" s="5" t="s">
        <v>2709</v>
      </c>
      <c r="S12" s="3" t="s">
        <v>30</v>
      </c>
      <c r="T12" s="3"/>
      <c r="U12" s="3"/>
      <c r="V12" s="3" t="s">
        <v>2710</v>
      </c>
      <c r="W12" s="17" t="s">
        <v>2711</v>
      </c>
    </row>
    <row r="13" ht="22.5" customHeight="1">
      <c r="A13" s="10">
        <v>260062.0</v>
      </c>
      <c r="B13" s="4">
        <v>46011.94055318287</v>
      </c>
      <c r="C13" s="5" t="s">
        <v>526</v>
      </c>
      <c r="D13" s="5" t="s">
        <v>527</v>
      </c>
      <c r="E13" s="5" t="s">
        <v>526</v>
      </c>
      <c r="F13" s="5" t="s">
        <v>17</v>
      </c>
      <c r="G13" s="11" t="s">
        <v>528</v>
      </c>
      <c r="H13" s="11" t="s">
        <v>529</v>
      </c>
      <c r="I13" s="11" t="s">
        <v>530</v>
      </c>
      <c r="J13" s="11" t="s">
        <v>531</v>
      </c>
      <c r="K13" s="11" t="s">
        <v>532</v>
      </c>
      <c r="L13" s="5" t="s">
        <v>30</v>
      </c>
      <c r="M13" s="5" t="s">
        <v>533</v>
      </c>
      <c r="N13" s="5" t="s">
        <v>25</v>
      </c>
      <c r="O13" s="5" t="s">
        <v>51</v>
      </c>
      <c r="P13" s="5" t="s">
        <v>52</v>
      </c>
      <c r="Q13" s="3" t="s">
        <v>2712</v>
      </c>
      <c r="R13" s="3" t="s">
        <v>2688</v>
      </c>
      <c r="S13" s="3" t="s">
        <v>30</v>
      </c>
      <c r="T13" s="3"/>
      <c r="U13" s="3"/>
      <c r="V13" s="3" t="s">
        <v>2682</v>
      </c>
      <c r="W13" s="17" t="s">
        <v>2713</v>
      </c>
    </row>
    <row r="14" ht="22.5" customHeight="1">
      <c r="A14" s="10">
        <v>260063.0</v>
      </c>
      <c r="B14" s="4">
        <v>46012.81772482639</v>
      </c>
      <c r="C14" s="5" t="s">
        <v>516</v>
      </c>
      <c r="D14" s="5" t="s">
        <v>517</v>
      </c>
      <c r="E14" s="5" t="s">
        <v>518</v>
      </c>
      <c r="F14" s="5" t="s">
        <v>64</v>
      </c>
      <c r="G14" s="11" t="s">
        <v>534</v>
      </c>
      <c r="H14" s="11" t="s">
        <v>535</v>
      </c>
      <c r="I14" s="11" t="s">
        <v>536</v>
      </c>
      <c r="J14" s="11" t="s">
        <v>537</v>
      </c>
      <c r="K14" s="11" t="s">
        <v>538</v>
      </c>
      <c r="L14" s="5" t="s">
        <v>162</v>
      </c>
      <c r="M14" s="5" t="s">
        <v>539</v>
      </c>
      <c r="N14" s="5" t="s">
        <v>61</v>
      </c>
      <c r="O14" s="5" t="s">
        <v>525</v>
      </c>
      <c r="P14" s="5" t="s">
        <v>73</v>
      </c>
      <c r="Q14" s="3" t="s">
        <v>2708</v>
      </c>
      <c r="R14" s="5" t="s">
        <v>2709</v>
      </c>
      <c r="S14" s="5" t="s">
        <v>30</v>
      </c>
      <c r="T14" s="5"/>
      <c r="U14" s="5"/>
      <c r="V14" s="5" t="s">
        <v>2714</v>
      </c>
      <c r="W14" s="17" t="s">
        <v>2715</v>
      </c>
    </row>
    <row r="15" ht="22.5" customHeight="1">
      <c r="A15" s="14">
        <v>260064.0</v>
      </c>
      <c r="B15" s="4">
        <v>46012.889185011576</v>
      </c>
      <c r="C15" s="5" t="s">
        <v>540</v>
      </c>
      <c r="D15" s="5" t="s">
        <v>541</v>
      </c>
      <c r="E15" s="5" t="s">
        <v>540</v>
      </c>
      <c r="F15" s="5" t="s">
        <v>17</v>
      </c>
      <c r="G15" s="13" t="s">
        <v>542</v>
      </c>
      <c r="H15" s="13" t="s">
        <v>543</v>
      </c>
      <c r="I15" s="11" t="s">
        <v>544</v>
      </c>
      <c r="J15" s="11" t="s">
        <v>545</v>
      </c>
      <c r="K15" s="11" t="s">
        <v>546</v>
      </c>
      <c r="L15" s="5" t="s">
        <v>162</v>
      </c>
      <c r="M15" s="5" t="s">
        <v>547</v>
      </c>
      <c r="N15" s="5" t="s">
        <v>436</v>
      </c>
      <c r="O15" s="5" t="s">
        <v>548</v>
      </c>
      <c r="P15" s="5" t="s">
        <v>549</v>
      </c>
      <c r="Q15" s="3" t="s">
        <v>2449</v>
      </c>
      <c r="R15" s="3" t="s">
        <v>2716</v>
      </c>
      <c r="S15" s="3" t="s">
        <v>30</v>
      </c>
      <c r="T15" s="3"/>
      <c r="U15" s="3"/>
      <c r="V15" s="3" t="s">
        <v>2717</v>
      </c>
      <c r="W15" s="17" t="s">
        <v>2718</v>
      </c>
    </row>
    <row r="16" ht="22.5" customHeight="1">
      <c r="A16" s="10">
        <v>260065.0</v>
      </c>
      <c r="B16" s="4">
        <v>46013.02834600695</v>
      </c>
      <c r="C16" s="5" t="s">
        <v>550</v>
      </c>
      <c r="D16" s="5" t="s">
        <v>551</v>
      </c>
      <c r="E16" s="5" t="s">
        <v>550</v>
      </c>
      <c r="F16" s="5" t="s">
        <v>64</v>
      </c>
      <c r="G16" s="11" t="s">
        <v>552</v>
      </c>
      <c r="H16" s="11" t="s">
        <v>553</v>
      </c>
      <c r="I16" s="11" t="s">
        <v>554</v>
      </c>
      <c r="J16" s="11" t="s">
        <v>555</v>
      </c>
      <c r="K16" s="11" t="s">
        <v>556</v>
      </c>
      <c r="L16" s="5" t="s">
        <v>30</v>
      </c>
      <c r="M16" s="5" t="s">
        <v>557</v>
      </c>
      <c r="N16" s="5" t="s">
        <v>119</v>
      </c>
      <c r="O16" s="5" t="s">
        <v>437</v>
      </c>
      <c r="P16" s="5" t="s">
        <v>328</v>
      </c>
      <c r="Q16" s="3" t="s">
        <v>2719</v>
      </c>
      <c r="R16" s="3" t="s">
        <v>2720</v>
      </c>
      <c r="S16" s="3" t="s">
        <v>30</v>
      </c>
      <c r="T16" s="3"/>
      <c r="U16" s="3"/>
      <c r="V16" s="3" t="s">
        <v>2717</v>
      </c>
      <c r="W16" s="17" t="s">
        <v>2721</v>
      </c>
    </row>
    <row r="17" ht="22.5" customHeight="1">
      <c r="A17" s="10">
        <v>260066.0</v>
      </c>
      <c r="B17" s="4">
        <v>46013.88109043981</v>
      </c>
      <c r="C17" s="5" t="s">
        <v>558</v>
      </c>
      <c r="D17" s="5" t="s">
        <v>559</v>
      </c>
      <c r="E17" s="5" t="s">
        <v>558</v>
      </c>
      <c r="F17" s="5" t="s">
        <v>17</v>
      </c>
      <c r="G17" s="11" t="s">
        <v>560</v>
      </c>
      <c r="H17" s="11" t="s">
        <v>561</v>
      </c>
      <c r="I17" s="11" t="s">
        <v>562</v>
      </c>
      <c r="J17" s="11" t="s">
        <v>563</v>
      </c>
      <c r="K17" s="11" t="s">
        <v>564</v>
      </c>
      <c r="L17" s="5" t="s">
        <v>30</v>
      </c>
      <c r="M17" s="5" t="s">
        <v>565</v>
      </c>
      <c r="N17" s="5" t="s">
        <v>119</v>
      </c>
      <c r="O17" s="5" t="s">
        <v>548</v>
      </c>
      <c r="P17" s="5" t="s">
        <v>566</v>
      </c>
      <c r="Q17" s="3" t="s">
        <v>2630</v>
      </c>
      <c r="R17" s="3" t="s">
        <v>2344</v>
      </c>
      <c r="S17" s="3" t="s">
        <v>30</v>
      </c>
      <c r="T17" s="3"/>
      <c r="U17" s="3"/>
      <c r="V17" s="3" t="s">
        <v>2722</v>
      </c>
      <c r="W17" s="17" t="s">
        <v>2723</v>
      </c>
    </row>
    <row r="18" ht="22.5" customHeight="1">
      <c r="A18" s="10">
        <v>260067.0</v>
      </c>
      <c r="B18" s="4">
        <v>46013.95161520834</v>
      </c>
      <c r="C18" s="5" t="s">
        <v>567</v>
      </c>
      <c r="D18" s="5" t="s">
        <v>568</v>
      </c>
      <c r="E18" s="5" t="s">
        <v>567</v>
      </c>
      <c r="F18" s="5" t="s">
        <v>17</v>
      </c>
      <c r="G18" s="11" t="s">
        <v>569</v>
      </c>
      <c r="H18" s="11" t="s">
        <v>570</v>
      </c>
      <c r="I18" s="11" t="s">
        <v>571</v>
      </c>
      <c r="J18" s="11" t="s">
        <v>572</v>
      </c>
      <c r="K18" s="11" t="s">
        <v>573</v>
      </c>
      <c r="L18" s="5" t="s">
        <v>30</v>
      </c>
      <c r="M18" s="5" t="s">
        <v>574</v>
      </c>
      <c r="N18" s="5" t="s">
        <v>71</v>
      </c>
      <c r="O18" s="5" t="s">
        <v>51</v>
      </c>
      <c r="P18" s="5" t="s">
        <v>52</v>
      </c>
      <c r="Q18" s="3" t="s">
        <v>2724</v>
      </c>
      <c r="R18" s="3" t="s">
        <v>2640</v>
      </c>
      <c r="S18" s="3" t="s">
        <v>2677</v>
      </c>
      <c r="T18" s="3"/>
      <c r="U18" s="3"/>
      <c r="V18" s="3" t="s">
        <v>2725</v>
      </c>
      <c r="W18" s="17" t="s">
        <v>2726</v>
      </c>
    </row>
    <row r="19" ht="22.5" customHeight="1">
      <c r="A19" s="10">
        <v>260068.0</v>
      </c>
      <c r="B19" s="4">
        <v>46014.77528809028</v>
      </c>
      <c r="C19" s="5" t="s">
        <v>575</v>
      </c>
      <c r="D19" s="5" t="s">
        <v>576</v>
      </c>
      <c r="E19" s="5" t="s">
        <v>575</v>
      </c>
      <c r="F19" s="5" t="s">
        <v>17</v>
      </c>
      <c r="G19" s="11" t="s">
        <v>577</v>
      </c>
      <c r="H19" s="11" t="s">
        <v>578</v>
      </c>
      <c r="I19" s="11" t="s">
        <v>579</v>
      </c>
      <c r="J19" s="11" t="s">
        <v>580</v>
      </c>
      <c r="K19" s="11" t="s">
        <v>581</v>
      </c>
      <c r="L19" s="5" t="s">
        <v>162</v>
      </c>
      <c r="M19" s="5" t="s">
        <v>582</v>
      </c>
      <c r="N19" s="5" t="s">
        <v>25</v>
      </c>
      <c r="O19" s="5" t="s">
        <v>446</v>
      </c>
      <c r="P19" s="5" t="s">
        <v>583</v>
      </c>
      <c r="Q19" s="3" t="s">
        <v>2727</v>
      </c>
      <c r="R19" s="3" t="s">
        <v>2687</v>
      </c>
      <c r="S19" s="3" t="s">
        <v>30</v>
      </c>
      <c r="T19" s="3"/>
      <c r="U19" s="3"/>
      <c r="V19" s="3" t="s">
        <v>2728</v>
      </c>
      <c r="W19" s="17" t="s">
        <v>2729</v>
      </c>
    </row>
    <row r="20" ht="22.5" customHeight="1">
      <c r="A20" s="10">
        <v>260069.0</v>
      </c>
      <c r="B20" s="4">
        <v>46019.42048075232</v>
      </c>
      <c r="C20" s="5" t="s">
        <v>584</v>
      </c>
      <c r="D20" s="5" t="s">
        <v>585</v>
      </c>
      <c r="E20" s="5" t="s">
        <v>584</v>
      </c>
      <c r="F20" s="5" t="s">
        <v>17</v>
      </c>
      <c r="G20" s="11" t="s">
        <v>586</v>
      </c>
      <c r="H20" s="11" t="s">
        <v>587</v>
      </c>
      <c r="I20" s="11" t="s">
        <v>588</v>
      </c>
      <c r="J20" s="11" t="s">
        <v>589</v>
      </c>
      <c r="K20" s="11" t="s">
        <v>590</v>
      </c>
      <c r="L20" s="5" t="s">
        <v>30</v>
      </c>
      <c r="M20" s="5" t="s">
        <v>591</v>
      </c>
      <c r="N20" s="5" t="s">
        <v>71</v>
      </c>
      <c r="O20" s="5" t="s">
        <v>592</v>
      </c>
      <c r="P20" s="5" t="s">
        <v>593</v>
      </c>
      <c r="Q20" s="3" t="s">
        <v>2730</v>
      </c>
      <c r="R20" s="3" t="s">
        <v>2731</v>
      </c>
      <c r="S20" s="3" t="s">
        <v>30</v>
      </c>
      <c r="T20" s="3"/>
      <c r="U20" s="3"/>
      <c r="V20" s="3" t="s">
        <v>2732</v>
      </c>
      <c r="W20" s="17" t="s">
        <v>2733</v>
      </c>
    </row>
    <row r="21" ht="22.5" customHeight="1">
      <c r="A21" s="10">
        <v>260070.0</v>
      </c>
      <c r="B21" s="4">
        <v>46019.924238437496</v>
      </c>
      <c r="C21" s="5" t="s">
        <v>594</v>
      </c>
      <c r="D21" s="5" t="s">
        <v>595</v>
      </c>
      <c r="E21" s="5" t="s">
        <v>594</v>
      </c>
      <c r="F21" s="5" t="s">
        <v>17</v>
      </c>
      <c r="G21" s="11" t="s">
        <v>596</v>
      </c>
      <c r="H21" s="11" t="s">
        <v>597</v>
      </c>
      <c r="I21" s="11" t="s">
        <v>598</v>
      </c>
      <c r="J21" s="11" t="s">
        <v>599</v>
      </c>
      <c r="K21" s="11" t="s">
        <v>600</v>
      </c>
      <c r="L21" s="5" t="s">
        <v>30</v>
      </c>
      <c r="M21" s="5" t="s">
        <v>601</v>
      </c>
      <c r="N21" s="5" t="s">
        <v>25</v>
      </c>
      <c r="O21" s="5" t="s">
        <v>51</v>
      </c>
      <c r="P21" s="5" t="s">
        <v>52</v>
      </c>
      <c r="Q21" s="3" t="s">
        <v>2734</v>
      </c>
      <c r="R21" s="3" t="s">
        <v>2735</v>
      </c>
      <c r="S21" s="3" t="s">
        <v>30</v>
      </c>
      <c r="T21" s="3"/>
      <c r="U21" s="3"/>
      <c r="V21" s="3" t="s">
        <v>2732</v>
      </c>
      <c r="W21" s="17" t="s">
        <v>2736</v>
      </c>
    </row>
    <row r="22" ht="22.5" customHeight="1">
      <c r="A22" s="96">
        <v>260071.0</v>
      </c>
      <c r="B22" s="97">
        <v>46020.11814233796</v>
      </c>
      <c r="C22" s="98" t="s">
        <v>602</v>
      </c>
      <c r="D22" s="98" t="s">
        <v>603</v>
      </c>
      <c r="E22" s="98" t="s">
        <v>602</v>
      </c>
      <c r="F22" s="98" t="s">
        <v>17</v>
      </c>
      <c r="G22" s="99" t="s">
        <v>604</v>
      </c>
      <c r="H22" s="99" t="s">
        <v>605</v>
      </c>
      <c r="I22" s="99" t="s">
        <v>606</v>
      </c>
      <c r="J22" s="99" t="s">
        <v>607</v>
      </c>
      <c r="K22" s="99" t="s">
        <v>608</v>
      </c>
      <c r="L22" s="98" t="s">
        <v>30</v>
      </c>
      <c r="M22" s="98" t="s">
        <v>609</v>
      </c>
      <c r="N22" s="98" t="s">
        <v>61</v>
      </c>
      <c r="O22" s="98" t="s">
        <v>72</v>
      </c>
      <c r="P22" s="98" t="s">
        <v>73</v>
      </c>
      <c r="Q22" s="98" t="s">
        <v>2735</v>
      </c>
      <c r="R22" s="98" t="s">
        <v>2737</v>
      </c>
      <c r="S22" s="98" t="s">
        <v>162</v>
      </c>
      <c r="T22" s="98"/>
      <c r="U22" s="98"/>
      <c r="V22" s="98" t="s">
        <v>2694</v>
      </c>
      <c r="W22" s="99"/>
    </row>
    <row r="23" ht="22.5" customHeight="1">
      <c r="A23" s="10">
        <v>260072.0</v>
      </c>
      <c r="B23" s="4">
        <v>46020.13940921296</v>
      </c>
      <c r="C23" s="5" t="s">
        <v>602</v>
      </c>
      <c r="D23" s="5" t="s">
        <v>610</v>
      </c>
      <c r="E23" s="5" t="s">
        <v>602</v>
      </c>
      <c r="F23" s="5" t="s">
        <v>17</v>
      </c>
      <c r="G23" s="11" t="s">
        <v>611</v>
      </c>
      <c r="H23" s="11" t="s">
        <v>612</v>
      </c>
      <c r="I23" s="11" t="s">
        <v>613</v>
      </c>
      <c r="J23" s="11" t="s">
        <v>614</v>
      </c>
      <c r="K23" s="11" t="s">
        <v>608</v>
      </c>
      <c r="L23" s="5" t="s">
        <v>30</v>
      </c>
      <c r="M23" s="5" t="s">
        <v>615</v>
      </c>
      <c r="N23" s="5" t="s">
        <v>61</v>
      </c>
      <c r="O23" s="5" t="s">
        <v>72</v>
      </c>
      <c r="P23" s="5" t="s">
        <v>73</v>
      </c>
      <c r="Q23" s="3" t="s">
        <v>2560</v>
      </c>
      <c r="R23" s="3" t="s">
        <v>2597</v>
      </c>
      <c r="S23" s="3" t="s">
        <v>30</v>
      </c>
      <c r="T23" s="3"/>
      <c r="U23" s="3"/>
      <c r="V23" s="3" t="s">
        <v>2732</v>
      </c>
      <c r="W23" s="17" t="s">
        <v>2738</v>
      </c>
    </row>
    <row r="24" ht="22.5" customHeight="1">
      <c r="A24" s="14">
        <v>260073.0</v>
      </c>
      <c r="B24" s="4">
        <v>46020.6864296875</v>
      </c>
      <c r="C24" s="5" t="s">
        <v>616</v>
      </c>
      <c r="D24" s="5" t="s">
        <v>617</v>
      </c>
      <c r="E24" s="5" t="s">
        <v>616</v>
      </c>
      <c r="F24" s="5" t="s">
        <v>17</v>
      </c>
      <c r="G24" s="13" t="s">
        <v>618</v>
      </c>
      <c r="H24" s="13" t="s">
        <v>619</v>
      </c>
      <c r="I24" s="11" t="s">
        <v>620</v>
      </c>
      <c r="J24" s="11" t="s">
        <v>621</v>
      </c>
      <c r="K24" s="11" t="s">
        <v>622</v>
      </c>
      <c r="L24" s="5" t="s">
        <v>30</v>
      </c>
      <c r="M24" s="5" t="s">
        <v>623</v>
      </c>
      <c r="N24" s="5" t="s">
        <v>61</v>
      </c>
      <c r="O24" s="5" t="s">
        <v>51</v>
      </c>
      <c r="P24" s="5" t="s">
        <v>73</v>
      </c>
      <c r="Q24" s="3" t="s">
        <v>2687</v>
      </c>
      <c r="R24" s="3" t="s">
        <v>2716</v>
      </c>
      <c r="S24" s="3" t="s">
        <v>30</v>
      </c>
      <c r="T24" s="17" t="s">
        <v>2739</v>
      </c>
      <c r="U24" s="3"/>
      <c r="V24" s="3" t="s">
        <v>2739</v>
      </c>
      <c r="W24" s="17" t="s">
        <v>2740</v>
      </c>
    </row>
    <row r="25" ht="22.5" customHeight="1">
      <c r="A25" s="10">
        <v>260074.0</v>
      </c>
      <c r="B25" s="4">
        <v>46020.83637142361</v>
      </c>
      <c r="C25" s="5" t="s">
        <v>624</v>
      </c>
      <c r="D25" s="5" t="s">
        <v>625</v>
      </c>
      <c r="E25" s="5" t="s">
        <v>626</v>
      </c>
      <c r="F25" s="5" t="s">
        <v>64</v>
      </c>
      <c r="G25" s="11" t="s">
        <v>627</v>
      </c>
      <c r="H25" s="11" t="s">
        <v>628</v>
      </c>
      <c r="I25" s="11" t="s">
        <v>629</v>
      </c>
      <c r="J25" s="11" t="s">
        <v>630</v>
      </c>
      <c r="K25" s="11" t="s">
        <v>631</v>
      </c>
      <c r="L25" s="5" t="s">
        <v>30</v>
      </c>
      <c r="M25" s="5" t="s">
        <v>632</v>
      </c>
      <c r="N25" s="5" t="s">
        <v>39</v>
      </c>
      <c r="O25" s="5" t="s">
        <v>51</v>
      </c>
      <c r="P25" s="5" t="s">
        <v>52</v>
      </c>
      <c r="Q25" s="3" t="s">
        <v>2737</v>
      </c>
      <c r="R25" s="3" t="s">
        <v>2741</v>
      </c>
      <c r="S25" s="3" t="s">
        <v>30</v>
      </c>
      <c r="T25" s="3"/>
      <c r="U25" s="3"/>
      <c r="V25" s="3" t="s">
        <v>2742</v>
      </c>
      <c r="W25" s="17" t="s">
        <v>2743</v>
      </c>
    </row>
    <row r="26" ht="22.5" customHeight="1">
      <c r="A26" s="10">
        <v>260075.0</v>
      </c>
      <c r="B26" s="4">
        <v>46021.79745049769</v>
      </c>
      <c r="C26" s="5" t="s">
        <v>633</v>
      </c>
      <c r="D26" s="5" t="s">
        <v>634</v>
      </c>
      <c r="E26" s="5" t="s">
        <v>633</v>
      </c>
      <c r="F26" s="5" t="s">
        <v>17</v>
      </c>
      <c r="G26" s="11" t="s">
        <v>635</v>
      </c>
      <c r="H26" s="11" t="s">
        <v>636</v>
      </c>
      <c r="I26" s="11" t="s">
        <v>637</v>
      </c>
      <c r="J26" s="11" t="s">
        <v>638</v>
      </c>
      <c r="K26" s="11" t="s">
        <v>639</v>
      </c>
      <c r="L26" s="5" t="s">
        <v>30</v>
      </c>
      <c r="M26" s="5" t="s">
        <v>640</v>
      </c>
      <c r="N26" s="5" t="s">
        <v>119</v>
      </c>
      <c r="O26" s="5" t="s">
        <v>641</v>
      </c>
      <c r="P26" s="5" t="s">
        <v>642</v>
      </c>
      <c r="Q26" s="3" t="s">
        <v>2744</v>
      </c>
      <c r="R26" s="3" t="s">
        <v>2712</v>
      </c>
      <c r="S26" s="5" t="s">
        <v>30</v>
      </c>
      <c r="T26" s="5"/>
      <c r="U26" s="5"/>
      <c r="V26" s="5" t="s">
        <v>2745</v>
      </c>
      <c r="W26" s="17" t="s">
        <v>2746</v>
      </c>
    </row>
    <row r="27" ht="22.5" customHeight="1">
      <c r="A27" s="96">
        <v>260076.0</v>
      </c>
      <c r="B27" s="97">
        <v>46022.02933295139</v>
      </c>
      <c r="C27" s="98" t="s">
        <v>643</v>
      </c>
      <c r="D27" s="98" t="s">
        <v>644</v>
      </c>
      <c r="E27" s="98" t="s">
        <v>643</v>
      </c>
      <c r="F27" s="98" t="s">
        <v>64</v>
      </c>
      <c r="G27" s="99" t="s">
        <v>645</v>
      </c>
      <c r="H27" s="99" t="s">
        <v>646</v>
      </c>
      <c r="I27" s="99" t="s">
        <v>647</v>
      </c>
      <c r="J27" s="99" t="s">
        <v>648</v>
      </c>
      <c r="K27" s="99" t="s">
        <v>649</v>
      </c>
      <c r="L27" s="98" t="s">
        <v>30</v>
      </c>
      <c r="M27" s="98" t="s">
        <v>650</v>
      </c>
      <c r="N27" s="98" t="s">
        <v>119</v>
      </c>
      <c r="O27" s="98" t="s">
        <v>267</v>
      </c>
      <c r="P27" s="98" t="s">
        <v>267</v>
      </c>
      <c r="Q27" s="98" t="s">
        <v>2747</v>
      </c>
      <c r="R27" s="98" t="s">
        <v>2737</v>
      </c>
      <c r="S27" s="98" t="s">
        <v>162</v>
      </c>
      <c r="T27" s="99" t="s">
        <v>2748</v>
      </c>
      <c r="U27" s="98"/>
      <c r="V27" s="99" t="s">
        <v>2749</v>
      </c>
      <c r="W27" s="99" t="s">
        <v>2750</v>
      </c>
    </row>
    <row r="28" ht="22.5" customHeight="1">
      <c r="A28" s="10">
        <v>260077.0</v>
      </c>
      <c r="B28" s="4">
        <v>46022.09623420139</v>
      </c>
      <c r="C28" s="5" t="s">
        <v>651</v>
      </c>
      <c r="D28" s="5" t="s">
        <v>652</v>
      </c>
      <c r="E28" s="5" t="s">
        <v>651</v>
      </c>
      <c r="F28" s="5" t="s">
        <v>64</v>
      </c>
      <c r="G28" s="11" t="s">
        <v>653</v>
      </c>
      <c r="H28" s="11" t="s">
        <v>654</v>
      </c>
      <c r="I28" s="11" t="s">
        <v>655</v>
      </c>
      <c r="J28" s="11" t="s">
        <v>656</v>
      </c>
      <c r="K28" s="11" t="s">
        <v>657</v>
      </c>
      <c r="L28" s="5" t="s">
        <v>23</v>
      </c>
      <c r="M28" s="5" t="s">
        <v>658</v>
      </c>
      <c r="N28" s="5" t="s">
        <v>659</v>
      </c>
      <c r="O28" s="5" t="s">
        <v>181</v>
      </c>
      <c r="P28" s="5" t="s">
        <v>660</v>
      </c>
      <c r="Q28" s="3" t="s">
        <v>2727</v>
      </c>
      <c r="R28" s="5" t="s">
        <v>2737</v>
      </c>
      <c r="S28" s="3" t="s">
        <v>30</v>
      </c>
      <c r="T28" s="3"/>
      <c r="U28" s="3"/>
      <c r="V28" s="3" t="s">
        <v>2666</v>
      </c>
      <c r="W28" s="17" t="s">
        <v>2751</v>
      </c>
    </row>
    <row r="29" ht="22.5" customHeight="1">
      <c r="A29" s="10">
        <v>260078.0</v>
      </c>
      <c r="B29" s="4">
        <v>46023.168129375</v>
      </c>
      <c r="C29" s="5" t="s">
        <v>661</v>
      </c>
      <c r="D29" s="5" t="s">
        <v>662</v>
      </c>
      <c r="E29" s="5" t="s">
        <v>661</v>
      </c>
      <c r="F29" s="5" t="s">
        <v>64</v>
      </c>
      <c r="G29" s="11" t="s">
        <v>663</v>
      </c>
      <c r="H29" s="11" t="s">
        <v>664</v>
      </c>
      <c r="I29" s="11" t="s">
        <v>665</v>
      </c>
      <c r="J29" s="11" t="s">
        <v>666</v>
      </c>
      <c r="K29" s="11" t="s">
        <v>667</v>
      </c>
      <c r="L29" s="5" t="s">
        <v>30</v>
      </c>
      <c r="M29" s="5" t="s">
        <v>668</v>
      </c>
      <c r="N29" s="5" t="s">
        <v>61</v>
      </c>
      <c r="O29" s="5" t="s">
        <v>669</v>
      </c>
      <c r="P29" s="5" t="s">
        <v>73</v>
      </c>
      <c r="Q29" s="3" t="s">
        <v>2640</v>
      </c>
      <c r="R29" s="3" t="s">
        <v>2724</v>
      </c>
      <c r="S29" s="3" t="s">
        <v>30</v>
      </c>
      <c r="T29" s="3"/>
      <c r="U29" s="3"/>
      <c r="V29" s="3" t="s">
        <v>2666</v>
      </c>
      <c r="W29" s="17" t="s">
        <v>2752</v>
      </c>
    </row>
    <row r="30" ht="22.5" customHeight="1">
      <c r="A30" s="14">
        <v>260079.0</v>
      </c>
      <c r="B30" s="4">
        <v>46023.785281006945</v>
      </c>
      <c r="C30" s="5" t="s">
        <v>670</v>
      </c>
      <c r="D30" s="5" t="s">
        <v>671</v>
      </c>
      <c r="E30" s="5" t="s">
        <v>670</v>
      </c>
      <c r="F30" s="5" t="s">
        <v>17</v>
      </c>
      <c r="G30" s="13" t="s">
        <v>672</v>
      </c>
      <c r="H30" s="13" t="s">
        <v>673</v>
      </c>
      <c r="I30" s="11" t="s">
        <v>674</v>
      </c>
      <c r="J30" s="11" t="s">
        <v>675</v>
      </c>
      <c r="K30" s="11" t="s">
        <v>676</v>
      </c>
      <c r="L30" s="5" t="s">
        <v>162</v>
      </c>
      <c r="M30" s="5" t="s">
        <v>677</v>
      </c>
      <c r="N30" s="5" t="s">
        <v>119</v>
      </c>
      <c r="O30" s="5" t="s">
        <v>26</v>
      </c>
      <c r="P30" s="5" t="s">
        <v>26</v>
      </c>
      <c r="Q30" s="3" t="s">
        <v>2716</v>
      </c>
      <c r="R30" s="3" t="s">
        <v>2753</v>
      </c>
      <c r="S30" s="3" t="s">
        <v>30</v>
      </c>
      <c r="T30" s="3"/>
      <c r="U30" s="3"/>
      <c r="V30" s="3" t="s">
        <v>2754</v>
      </c>
      <c r="W30" s="17" t="s">
        <v>2755</v>
      </c>
    </row>
    <row r="31" ht="22.5" customHeight="1">
      <c r="A31" s="14">
        <v>260080.0</v>
      </c>
      <c r="B31" s="4">
        <v>46023.78988265047</v>
      </c>
      <c r="C31" s="5" t="s">
        <v>670</v>
      </c>
      <c r="D31" s="5" t="s">
        <v>671</v>
      </c>
      <c r="E31" s="5" t="s">
        <v>670</v>
      </c>
      <c r="F31" s="5" t="s">
        <v>131</v>
      </c>
      <c r="G31" s="13" t="s">
        <v>678</v>
      </c>
      <c r="H31" s="13" t="s">
        <v>679</v>
      </c>
      <c r="I31" s="11" t="s">
        <v>680</v>
      </c>
      <c r="J31" s="11" t="s">
        <v>681</v>
      </c>
      <c r="K31" s="11" t="s">
        <v>682</v>
      </c>
      <c r="L31" s="5" t="s">
        <v>162</v>
      </c>
      <c r="M31" s="5" t="s">
        <v>677</v>
      </c>
      <c r="N31" s="5" t="s">
        <v>119</v>
      </c>
      <c r="O31" s="5" t="s">
        <v>26</v>
      </c>
      <c r="P31" s="5" t="s">
        <v>26</v>
      </c>
      <c r="Q31" s="3" t="s">
        <v>2716</v>
      </c>
      <c r="R31" s="3" t="s">
        <v>2753</v>
      </c>
      <c r="S31" s="3" t="s">
        <v>30</v>
      </c>
      <c r="T31" s="3"/>
      <c r="U31" s="3"/>
      <c r="V31" s="3" t="s">
        <v>2754</v>
      </c>
      <c r="W31" s="109"/>
    </row>
    <row r="32" ht="22.5" customHeight="1">
      <c r="A32" s="10">
        <v>260081.0</v>
      </c>
      <c r="B32" s="4">
        <v>46024.91489547453</v>
      </c>
      <c r="C32" s="5" t="s">
        <v>683</v>
      </c>
      <c r="D32" s="5" t="s">
        <v>684</v>
      </c>
      <c r="E32" s="5" t="s">
        <v>683</v>
      </c>
      <c r="F32" s="5" t="s">
        <v>64</v>
      </c>
      <c r="G32" s="11" t="s">
        <v>685</v>
      </c>
      <c r="H32" s="11" t="s">
        <v>686</v>
      </c>
      <c r="I32" s="11" t="s">
        <v>687</v>
      </c>
      <c r="J32" s="11" t="s">
        <v>688</v>
      </c>
      <c r="K32" s="11" t="s">
        <v>689</v>
      </c>
      <c r="L32" s="5" t="s">
        <v>30</v>
      </c>
      <c r="M32" s="5" t="s">
        <v>690</v>
      </c>
      <c r="N32" s="5" t="s">
        <v>61</v>
      </c>
      <c r="O32" s="5" t="s">
        <v>51</v>
      </c>
      <c r="P32" s="5" t="s">
        <v>52</v>
      </c>
      <c r="Q32" s="3" t="s">
        <v>2756</v>
      </c>
      <c r="R32" s="3" t="s">
        <v>2727</v>
      </c>
      <c r="S32" s="3" t="s">
        <v>30</v>
      </c>
      <c r="T32" s="3"/>
      <c r="U32" s="3"/>
      <c r="V32" s="3" t="s">
        <v>2666</v>
      </c>
      <c r="W32" s="17" t="s">
        <v>2757</v>
      </c>
    </row>
    <row r="33" ht="22.5" customHeight="1">
      <c r="A33" s="10">
        <v>260082.0</v>
      </c>
      <c r="B33" s="4">
        <v>46024.91808635417</v>
      </c>
      <c r="C33" s="5" t="s">
        <v>683</v>
      </c>
      <c r="D33" s="5" t="s">
        <v>684</v>
      </c>
      <c r="E33" s="5" t="s">
        <v>683</v>
      </c>
      <c r="F33" s="5" t="s">
        <v>64</v>
      </c>
      <c r="G33" s="11" t="s">
        <v>691</v>
      </c>
      <c r="H33" s="11" t="s">
        <v>692</v>
      </c>
      <c r="I33" s="11" t="s">
        <v>667</v>
      </c>
      <c r="J33" s="11" t="s">
        <v>693</v>
      </c>
      <c r="K33" s="11" t="s">
        <v>694</v>
      </c>
      <c r="L33" s="5" t="s">
        <v>30</v>
      </c>
      <c r="M33" s="5" t="s">
        <v>145</v>
      </c>
      <c r="N33" s="5" t="s">
        <v>61</v>
      </c>
      <c r="O33" s="5" t="s">
        <v>51</v>
      </c>
      <c r="P33" s="5" t="s">
        <v>52</v>
      </c>
      <c r="Q33" s="3" t="s">
        <v>2688</v>
      </c>
      <c r="R33" s="3" t="s">
        <v>2734</v>
      </c>
      <c r="S33" s="3" t="s">
        <v>30</v>
      </c>
      <c r="T33" s="3"/>
      <c r="U33" s="3"/>
      <c r="V33" s="3" t="s">
        <v>2666</v>
      </c>
      <c r="W33" s="17" t="s">
        <v>2758</v>
      </c>
    </row>
    <row r="34" ht="22.5" customHeight="1">
      <c r="A34" s="10">
        <v>260083.0</v>
      </c>
      <c r="B34" s="4">
        <v>46024.9212206713</v>
      </c>
      <c r="C34" s="5" t="s">
        <v>695</v>
      </c>
      <c r="D34" s="5" t="s">
        <v>696</v>
      </c>
      <c r="E34" s="5" t="s">
        <v>695</v>
      </c>
      <c r="F34" s="5" t="s">
        <v>64</v>
      </c>
      <c r="G34" s="11" t="s">
        <v>697</v>
      </c>
      <c r="H34" s="11" t="s">
        <v>698</v>
      </c>
      <c r="I34" s="11" t="s">
        <v>688</v>
      </c>
      <c r="J34" s="11" t="s">
        <v>699</v>
      </c>
      <c r="K34" s="11" t="s">
        <v>689</v>
      </c>
      <c r="L34" s="5" t="s">
        <v>30</v>
      </c>
      <c r="M34" s="5" t="s">
        <v>145</v>
      </c>
      <c r="N34" s="5" t="s">
        <v>31</v>
      </c>
      <c r="O34" s="5" t="s">
        <v>51</v>
      </c>
      <c r="P34" s="5" t="s">
        <v>52</v>
      </c>
      <c r="Q34" s="3" t="s">
        <v>2756</v>
      </c>
      <c r="R34" s="3" t="s">
        <v>2018</v>
      </c>
      <c r="S34" s="3" t="s">
        <v>30</v>
      </c>
      <c r="T34" s="3"/>
      <c r="U34" s="3"/>
      <c r="V34" s="3" t="s">
        <v>2666</v>
      </c>
      <c r="W34" s="17" t="s">
        <v>2759</v>
      </c>
    </row>
    <row r="35" ht="22.5" customHeight="1">
      <c r="A35" s="10">
        <v>260084.0</v>
      </c>
      <c r="B35" s="4">
        <v>46024.923114895835</v>
      </c>
      <c r="C35" s="5" t="s">
        <v>695</v>
      </c>
      <c r="D35" s="5" t="s">
        <v>696</v>
      </c>
      <c r="E35" s="5" t="s">
        <v>695</v>
      </c>
      <c r="F35" s="5" t="s">
        <v>64</v>
      </c>
      <c r="G35" s="11" t="s">
        <v>700</v>
      </c>
      <c r="H35" s="11" t="s">
        <v>701</v>
      </c>
      <c r="I35" s="11" t="s">
        <v>688</v>
      </c>
      <c r="J35" s="11" t="s">
        <v>702</v>
      </c>
      <c r="K35" s="11" t="s">
        <v>274</v>
      </c>
      <c r="L35" s="5" t="s">
        <v>30</v>
      </c>
      <c r="M35" s="5" t="s">
        <v>145</v>
      </c>
      <c r="N35" s="5" t="s">
        <v>31</v>
      </c>
      <c r="O35" s="5" t="s">
        <v>51</v>
      </c>
      <c r="P35" s="5" t="s">
        <v>52</v>
      </c>
      <c r="Q35" s="3" t="s">
        <v>2756</v>
      </c>
      <c r="R35" s="3" t="s">
        <v>2760</v>
      </c>
      <c r="S35" s="3" t="s">
        <v>30</v>
      </c>
      <c r="T35" s="3"/>
      <c r="U35" s="3"/>
      <c r="V35" s="3" t="s">
        <v>2761</v>
      </c>
      <c r="W35" s="17" t="s">
        <v>2759</v>
      </c>
    </row>
    <row r="36" ht="22.5" customHeight="1">
      <c r="A36" s="10">
        <v>260085.0</v>
      </c>
      <c r="B36" s="4">
        <v>46024.925478749996</v>
      </c>
      <c r="C36" s="5" t="s">
        <v>703</v>
      </c>
      <c r="D36" s="5" t="s">
        <v>704</v>
      </c>
      <c r="E36" s="5" t="s">
        <v>703</v>
      </c>
      <c r="F36" s="5" t="s">
        <v>64</v>
      </c>
      <c r="G36" s="11" t="s">
        <v>705</v>
      </c>
      <c r="H36" s="11" t="s">
        <v>706</v>
      </c>
      <c r="I36" s="11" t="s">
        <v>707</v>
      </c>
      <c r="J36" s="11" t="s">
        <v>708</v>
      </c>
      <c r="K36" s="11" t="s">
        <v>709</v>
      </c>
      <c r="L36" s="5" t="s">
        <v>30</v>
      </c>
      <c r="M36" s="5" t="s">
        <v>710</v>
      </c>
      <c r="N36" s="5" t="s">
        <v>71</v>
      </c>
      <c r="O36" s="5" t="s">
        <v>51</v>
      </c>
      <c r="P36" s="5" t="s">
        <v>52</v>
      </c>
      <c r="Q36" s="3" t="s">
        <v>2760</v>
      </c>
      <c r="R36" s="3" t="s">
        <v>2762</v>
      </c>
      <c r="S36" s="3" t="s">
        <v>30</v>
      </c>
      <c r="T36" s="3"/>
      <c r="U36" s="3"/>
      <c r="V36" s="3" t="s">
        <v>2763</v>
      </c>
      <c r="W36" s="17" t="s">
        <v>2764</v>
      </c>
    </row>
    <row r="37" ht="22.5" customHeight="1">
      <c r="A37" s="10">
        <v>260086.0</v>
      </c>
      <c r="B37" s="4">
        <v>46024.92717028935</v>
      </c>
      <c r="C37" s="5" t="s">
        <v>703</v>
      </c>
      <c r="D37" s="5" t="s">
        <v>704</v>
      </c>
      <c r="E37" s="5" t="s">
        <v>703</v>
      </c>
      <c r="F37" s="5" t="s">
        <v>64</v>
      </c>
      <c r="G37" s="11" t="s">
        <v>711</v>
      </c>
      <c r="H37" s="11" t="s">
        <v>712</v>
      </c>
      <c r="I37" s="11" t="s">
        <v>713</v>
      </c>
      <c r="J37" s="11" t="s">
        <v>714</v>
      </c>
      <c r="K37" s="11" t="s">
        <v>715</v>
      </c>
      <c r="L37" s="5" t="s">
        <v>30</v>
      </c>
      <c r="M37" s="5" t="s">
        <v>710</v>
      </c>
      <c r="N37" s="5" t="s">
        <v>71</v>
      </c>
      <c r="O37" s="5" t="s">
        <v>51</v>
      </c>
      <c r="P37" s="5" t="s">
        <v>52</v>
      </c>
      <c r="Q37" s="3" t="s">
        <v>2018</v>
      </c>
      <c r="R37" s="3" t="s">
        <v>2688</v>
      </c>
      <c r="S37" s="3" t="s">
        <v>30</v>
      </c>
      <c r="T37" s="3"/>
      <c r="U37" s="3"/>
      <c r="V37" s="3" t="s">
        <v>2765</v>
      </c>
      <c r="W37" s="17" t="s">
        <v>2766</v>
      </c>
    </row>
    <row r="38" ht="22.5" customHeight="1">
      <c r="A38" s="10">
        <v>260087.0</v>
      </c>
      <c r="B38" s="4">
        <v>46024.92927359954</v>
      </c>
      <c r="C38" s="5" t="s">
        <v>703</v>
      </c>
      <c r="D38" s="5" t="s">
        <v>704</v>
      </c>
      <c r="E38" s="5" t="s">
        <v>703</v>
      </c>
      <c r="F38" s="5" t="s">
        <v>17</v>
      </c>
      <c r="G38" s="11" t="s">
        <v>716</v>
      </c>
      <c r="H38" s="11" t="s">
        <v>717</v>
      </c>
      <c r="I38" s="11" t="s">
        <v>718</v>
      </c>
      <c r="J38" s="11" t="s">
        <v>719</v>
      </c>
      <c r="K38" s="11" t="s">
        <v>720</v>
      </c>
      <c r="L38" s="5" t="s">
        <v>30</v>
      </c>
      <c r="M38" s="5" t="s">
        <v>710</v>
      </c>
      <c r="N38" s="5" t="s">
        <v>71</v>
      </c>
      <c r="O38" s="5" t="s">
        <v>51</v>
      </c>
      <c r="P38" s="5" t="s">
        <v>52</v>
      </c>
      <c r="Q38" s="3" t="s">
        <v>2767</v>
      </c>
      <c r="R38" s="3" t="s">
        <v>2720</v>
      </c>
      <c r="S38" s="3" t="s">
        <v>30</v>
      </c>
      <c r="T38" s="3"/>
      <c r="U38" s="3"/>
      <c r="V38" s="3" t="s">
        <v>2754</v>
      </c>
      <c r="W38" s="17" t="s">
        <v>2768</v>
      </c>
    </row>
    <row r="39" ht="22.5" customHeight="1">
      <c r="A39" s="10">
        <v>260088.0</v>
      </c>
      <c r="B39" s="4">
        <v>46024.93662425926</v>
      </c>
      <c r="C39" s="5" t="s">
        <v>703</v>
      </c>
      <c r="D39" s="5" t="s">
        <v>704</v>
      </c>
      <c r="E39" s="5" t="s">
        <v>703</v>
      </c>
      <c r="F39" s="5" t="s">
        <v>17</v>
      </c>
      <c r="G39" s="11" t="s">
        <v>721</v>
      </c>
      <c r="H39" s="11" t="s">
        <v>722</v>
      </c>
      <c r="I39" s="11" t="s">
        <v>723</v>
      </c>
      <c r="J39" s="11" t="s">
        <v>724</v>
      </c>
      <c r="K39" s="11" t="s">
        <v>171</v>
      </c>
      <c r="L39" s="5" t="s">
        <v>30</v>
      </c>
      <c r="M39" s="5" t="s">
        <v>710</v>
      </c>
      <c r="N39" s="5" t="s">
        <v>71</v>
      </c>
      <c r="O39" s="5" t="s">
        <v>51</v>
      </c>
      <c r="P39" s="5" t="s">
        <v>52</v>
      </c>
      <c r="Q39" s="5" t="s">
        <v>2381</v>
      </c>
      <c r="R39" s="5" t="s">
        <v>2769</v>
      </c>
      <c r="S39" s="3" t="s">
        <v>2677</v>
      </c>
      <c r="T39" s="3"/>
      <c r="U39" s="3"/>
      <c r="V39" s="3" t="s">
        <v>2770</v>
      </c>
      <c r="W39" s="17" t="s">
        <v>2771</v>
      </c>
    </row>
    <row r="40" ht="22.5" customHeight="1">
      <c r="A40" s="10">
        <v>260089.0</v>
      </c>
      <c r="B40" s="4">
        <v>46024.939624502316</v>
      </c>
      <c r="C40" s="5" t="s">
        <v>725</v>
      </c>
      <c r="D40" s="5" t="s">
        <v>726</v>
      </c>
      <c r="E40" s="5" t="s">
        <v>725</v>
      </c>
      <c r="F40" s="5" t="s">
        <v>17</v>
      </c>
      <c r="G40" s="11" t="s">
        <v>727</v>
      </c>
      <c r="H40" s="11" t="s">
        <v>728</v>
      </c>
      <c r="I40" s="11" t="s">
        <v>729</v>
      </c>
      <c r="J40" s="11" t="s">
        <v>730</v>
      </c>
      <c r="K40" s="11" t="s">
        <v>731</v>
      </c>
      <c r="L40" s="5" t="s">
        <v>30</v>
      </c>
      <c r="M40" s="5" t="s">
        <v>732</v>
      </c>
      <c r="N40" s="5" t="s">
        <v>733</v>
      </c>
      <c r="O40" s="5" t="s">
        <v>734</v>
      </c>
      <c r="P40" s="5" t="s">
        <v>182</v>
      </c>
      <c r="Q40" s="3" t="s">
        <v>2612</v>
      </c>
      <c r="R40" s="3" t="s">
        <v>2734</v>
      </c>
      <c r="S40" s="3" t="s">
        <v>30</v>
      </c>
      <c r="T40" s="3"/>
      <c r="U40" s="3"/>
      <c r="V40" s="3" t="s">
        <v>2772</v>
      </c>
      <c r="W40" s="17" t="s">
        <v>2773</v>
      </c>
    </row>
    <row r="41" ht="22.5" customHeight="1">
      <c r="A41" s="10">
        <v>260090.0</v>
      </c>
      <c r="B41" s="4">
        <v>46025.02681576389</v>
      </c>
      <c r="C41" s="5" t="s">
        <v>735</v>
      </c>
      <c r="D41" s="5" t="s">
        <v>736</v>
      </c>
      <c r="E41" s="5" t="s">
        <v>735</v>
      </c>
      <c r="F41" s="5" t="s">
        <v>17</v>
      </c>
      <c r="G41" s="11" t="s">
        <v>737</v>
      </c>
      <c r="H41" s="11" t="s">
        <v>738</v>
      </c>
      <c r="I41" s="11" t="s">
        <v>739</v>
      </c>
      <c r="J41" s="11" t="s">
        <v>740</v>
      </c>
      <c r="K41" s="11" t="s">
        <v>741</v>
      </c>
      <c r="L41" s="5" t="s">
        <v>30</v>
      </c>
      <c r="M41" s="5" t="s">
        <v>742</v>
      </c>
      <c r="N41" s="5" t="s">
        <v>71</v>
      </c>
      <c r="O41" s="5" t="s">
        <v>743</v>
      </c>
      <c r="P41" s="5" t="s">
        <v>404</v>
      </c>
      <c r="Q41" s="3" t="s">
        <v>2514</v>
      </c>
      <c r="R41" s="3" t="s">
        <v>2612</v>
      </c>
      <c r="S41" s="3" t="s">
        <v>30</v>
      </c>
      <c r="T41" s="3"/>
      <c r="U41" s="3"/>
      <c r="V41" s="3" t="s">
        <v>2774</v>
      </c>
      <c r="W41" s="17" t="s">
        <v>2775</v>
      </c>
    </row>
    <row r="42" ht="22.5" customHeight="1">
      <c r="A42" s="10">
        <v>260091.0</v>
      </c>
      <c r="B42" s="4">
        <v>46039.24155078703</v>
      </c>
      <c r="C42" s="5" t="s">
        <v>744</v>
      </c>
      <c r="D42" s="5" t="s">
        <v>745</v>
      </c>
      <c r="E42" s="5" t="s">
        <v>744</v>
      </c>
      <c r="F42" s="5" t="s">
        <v>17</v>
      </c>
      <c r="G42" s="11" t="s">
        <v>746</v>
      </c>
      <c r="H42" s="11" t="s">
        <v>747</v>
      </c>
      <c r="I42" s="11" t="s">
        <v>748</v>
      </c>
      <c r="J42" s="11" t="s">
        <v>749</v>
      </c>
      <c r="K42" s="11" t="s">
        <v>750</v>
      </c>
      <c r="L42" s="5" t="s">
        <v>30</v>
      </c>
      <c r="M42" s="5" t="s">
        <v>751</v>
      </c>
      <c r="N42" s="5" t="s">
        <v>456</v>
      </c>
      <c r="O42" s="5" t="s">
        <v>181</v>
      </c>
      <c r="P42" s="5" t="s">
        <v>660</v>
      </c>
      <c r="Q42" s="3" t="s">
        <v>2734</v>
      </c>
      <c r="R42" s="3" t="s">
        <v>2776</v>
      </c>
      <c r="S42" s="3" t="s">
        <v>30</v>
      </c>
      <c r="T42" s="3"/>
      <c r="U42" s="3"/>
      <c r="V42" s="3" t="s">
        <v>2666</v>
      </c>
      <c r="W42" s="17" t="s">
        <v>2777</v>
      </c>
    </row>
    <row r="43" ht="22.5" customHeight="1">
      <c r="A43" s="10">
        <v>260092.0</v>
      </c>
      <c r="B43" s="4">
        <v>46025.51792950231</v>
      </c>
      <c r="C43" s="5" t="s">
        <v>752</v>
      </c>
      <c r="D43" s="5" t="s">
        <v>753</v>
      </c>
      <c r="E43" s="5" t="s">
        <v>752</v>
      </c>
      <c r="F43" s="5" t="s">
        <v>131</v>
      </c>
      <c r="G43" s="11" t="s">
        <v>754</v>
      </c>
      <c r="H43" s="11" t="s">
        <v>755</v>
      </c>
      <c r="I43" s="11" t="s">
        <v>341</v>
      </c>
      <c r="J43" s="11" t="s">
        <v>756</v>
      </c>
      <c r="K43" s="11" t="s">
        <v>757</v>
      </c>
      <c r="L43" s="5" t="s">
        <v>30</v>
      </c>
      <c r="M43" s="5" t="s">
        <v>758</v>
      </c>
      <c r="N43" s="5" t="s">
        <v>759</v>
      </c>
      <c r="O43" s="5" t="s">
        <v>51</v>
      </c>
      <c r="P43" s="5" t="s">
        <v>73</v>
      </c>
      <c r="Q43" s="3" t="s">
        <v>2440</v>
      </c>
      <c r="R43" s="3" t="s">
        <v>2623</v>
      </c>
      <c r="S43" s="3" t="s">
        <v>30</v>
      </c>
      <c r="T43" s="3"/>
      <c r="U43" s="3"/>
      <c r="V43" s="3" t="s">
        <v>2778</v>
      </c>
      <c r="W43" s="17" t="s">
        <v>2779</v>
      </c>
    </row>
    <row r="44" ht="22.5" customHeight="1">
      <c r="A44" s="10">
        <v>260093.0</v>
      </c>
      <c r="B44" s="4">
        <v>46025.522143483795</v>
      </c>
      <c r="C44" s="5" t="s">
        <v>760</v>
      </c>
      <c r="D44" s="5" t="s">
        <v>761</v>
      </c>
      <c r="E44" s="5" t="s">
        <v>760</v>
      </c>
      <c r="F44" s="5" t="s">
        <v>64</v>
      </c>
      <c r="G44" s="11" t="s">
        <v>762</v>
      </c>
      <c r="H44" s="11" t="s">
        <v>763</v>
      </c>
      <c r="I44" s="11" t="s">
        <v>764</v>
      </c>
      <c r="J44" s="11" t="s">
        <v>765</v>
      </c>
      <c r="K44" s="11" t="s">
        <v>766</v>
      </c>
      <c r="L44" s="5" t="s">
        <v>30</v>
      </c>
      <c r="M44" s="5" t="s">
        <v>767</v>
      </c>
      <c r="N44" s="5" t="s">
        <v>759</v>
      </c>
      <c r="O44" s="5" t="s">
        <v>51</v>
      </c>
      <c r="P44" s="5" t="s">
        <v>52</v>
      </c>
      <c r="Q44" s="3" t="s">
        <v>2647</v>
      </c>
      <c r="R44" s="3" t="s">
        <v>2440</v>
      </c>
      <c r="S44" s="3" t="s">
        <v>30</v>
      </c>
      <c r="T44" s="3"/>
      <c r="U44" s="3"/>
      <c r="V44" s="3" t="s">
        <v>2666</v>
      </c>
      <c r="W44" s="17" t="s">
        <v>2780</v>
      </c>
    </row>
    <row r="45" ht="22.5" customHeight="1">
      <c r="A45" s="10">
        <v>260094.0</v>
      </c>
      <c r="B45" s="4">
        <v>46025.69238850694</v>
      </c>
      <c r="C45" s="5" t="s">
        <v>768</v>
      </c>
      <c r="D45" s="5" t="s">
        <v>769</v>
      </c>
      <c r="E45" s="5" t="s">
        <v>768</v>
      </c>
      <c r="F45" s="5" t="s">
        <v>64</v>
      </c>
      <c r="G45" s="11" t="s">
        <v>770</v>
      </c>
      <c r="H45" s="11" t="s">
        <v>771</v>
      </c>
      <c r="I45" s="11" t="s">
        <v>772</v>
      </c>
      <c r="J45" s="11" t="s">
        <v>773</v>
      </c>
      <c r="K45" s="11" t="s">
        <v>774</v>
      </c>
      <c r="L45" s="5" t="s">
        <v>30</v>
      </c>
      <c r="M45" s="5" t="s">
        <v>775</v>
      </c>
      <c r="N45" s="5" t="s">
        <v>119</v>
      </c>
      <c r="O45" s="5" t="s">
        <v>776</v>
      </c>
      <c r="P45" s="5" t="s">
        <v>777</v>
      </c>
      <c r="Q45" s="3" t="s">
        <v>2697</v>
      </c>
      <c r="R45" s="3" t="s">
        <v>2781</v>
      </c>
      <c r="S45" s="3" t="s">
        <v>30</v>
      </c>
      <c r="T45" s="3"/>
      <c r="U45" s="3"/>
      <c r="V45" s="3" t="s">
        <v>2782</v>
      </c>
      <c r="W45" s="17" t="s">
        <v>2783</v>
      </c>
    </row>
    <row r="46" ht="22.5" customHeight="1">
      <c r="A46" s="10">
        <v>260095.0</v>
      </c>
      <c r="B46" s="4">
        <v>46026.15609359954</v>
      </c>
      <c r="C46" s="5" t="s">
        <v>778</v>
      </c>
      <c r="D46" s="5" t="s">
        <v>779</v>
      </c>
      <c r="E46" s="5" t="s">
        <v>778</v>
      </c>
      <c r="F46" s="5" t="s">
        <v>17</v>
      </c>
      <c r="G46" s="11" t="s">
        <v>780</v>
      </c>
      <c r="H46" s="11" t="s">
        <v>781</v>
      </c>
      <c r="I46" s="11" t="s">
        <v>782</v>
      </c>
      <c r="J46" s="11" t="s">
        <v>783</v>
      </c>
      <c r="K46" s="11" t="s">
        <v>784</v>
      </c>
      <c r="L46" s="5" t="s">
        <v>30</v>
      </c>
      <c r="M46" s="5" t="s">
        <v>785</v>
      </c>
      <c r="N46" s="5" t="s">
        <v>61</v>
      </c>
      <c r="O46" s="5" t="s">
        <v>72</v>
      </c>
      <c r="P46" s="5" t="s">
        <v>73</v>
      </c>
      <c r="Q46" s="3" t="s">
        <v>2784</v>
      </c>
      <c r="R46" s="3" t="s">
        <v>2785</v>
      </c>
      <c r="S46" s="3" t="s">
        <v>30</v>
      </c>
      <c r="T46" s="3"/>
      <c r="U46" s="3"/>
      <c r="V46" s="3" t="s">
        <v>2786</v>
      </c>
      <c r="W46" s="110"/>
    </row>
    <row r="47" ht="22.5" customHeight="1">
      <c r="A47" s="10">
        <v>260096.0</v>
      </c>
      <c r="B47" s="4">
        <v>46027.04515576389</v>
      </c>
      <c r="C47" s="5" t="s">
        <v>786</v>
      </c>
      <c r="D47" s="5" t="s">
        <v>787</v>
      </c>
      <c r="E47" s="5" t="s">
        <v>786</v>
      </c>
      <c r="F47" s="5" t="s">
        <v>131</v>
      </c>
      <c r="G47" s="11" t="s">
        <v>788</v>
      </c>
      <c r="H47" s="11" t="s">
        <v>789</v>
      </c>
      <c r="I47" s="11" t="s">
        <v>790</v>
      </c>
      <c r="J47" s="11" t="s">
        <v>791</v>
      </c>
      <c r="K47" s="11" t="s">
        <v>792</v>
      </c>
      <c r="L47" s="5" t="s">
        <v>23</v>
      </c>
      <c r="M47" s="5" t="s">
        <v>793</v>
      </c>
      <c r="N47" s="5" t="s">
        <v>164</v>
      </c>
      <c r="O47" s="5" t="s">
        <v>794</v>
      </c>
      <c r="P47" s="5" t="s">
        <v>794</v>
      </c>
      <c r="Q47" s="3" t="s">
        <v>2737</v>
      </c>
      <c r="R47" s="3" t="s">
        <v>2762</v>
      </c>
      <c r="S47" s="3" t="s">
        <v>30</v>
      </c>
      <c r="T47" s="3"/>
      <c r="U47" s="3"/>
      <c r="V47" s="3" t="s">
        <v>2666</v>
      </c>
      <c r="W47" s="17" t="s">
        <v>2787</v>
      </c>
    </row>
    <row r="48" ht="22.5" customHeight="1">
      <c r="A48" s="10">
        <v>260097.0</v>
      </c>
      <c r="B48" s="4">
        <v>46027.12617930556</v>
      </c>
      <c r="C48" s="5" t="s">
        <v>795</v>
      </c>
      <c r="D48" s="5" t="s">
        <v>796</v>
      </c>
      <c r="E48" s="5" t="s">
        <v>795</v>
      </c>
      <c r="F48" s="5" t="s">
        <v>17</v>
      </c>
      <c r="G48" s="11" t="s">
        <v>797</v>
      </c>
      <c r="H48" s="11" t="s">
        <v>798</v>
      </c>
      <c r="I48" s="11" t="s">
        <v>799</v>
      </c>
      <c r="J48" s="11" t="s">
        <v>739</v>
      </c>
      <c r="K48" s="11" t="s">
        <v>800</v>
      </c>
      <c r="L48" s="5" t="s">
        <v>162</v>
      </c>
      <c r="M48" s="5" t="s">
        <v>801</v>
      </c>
      <c r="N48" s="5" t="s">
        <v>119</v>
      </c>
      <c r="O48" s="5" t="s">
        <v>734</v>
      </c>
      <c r="P48" s="5" t="s">
        <v>734</v>
      </c>
      <c r="Q48" s="3" t="s">
        <v>2396</v>
      </c>
      <c r="R48" s="3" t="s">
        <v>2727</v>
      </c>
      <c r="S48" s="3" t="s">
        <v>30</v>
      </c>
      <c r="T48" s="3"/>
      <c r="U48" s="3"/>
      <c r="V48" s="3" t="s">
        <v>2666</v>
      </c>
      <c r="W48" s="17" t="s">
        <v>2788</v>
      </c>
    </row>
    <row r="49" ht="22.5" customHeight="1">
      <c r="A49" s="10">
        <v>260098.0</v>
      </c>
      <c r="B49" s="4">
        <v>46027.15420065972</v>
      </c>
      <c r="C49" s="5" t="s">
        <v>802</v>
      </c>
      <c r="D49" s="5" t="s">
        <v>803</v>
      </c>
      <c r="E49" s="5" t="s">
        <v>802</v>
      </c>
      <c r="F49" s="5" t="s">
        <v>17</v>
      </c>
      <c r="G49" s="11" t="s">
        <v>804</v>
      </c>
      <c r="H49" s="11" t="s">
        <v>805</v>
      </c>
      <c r="I49" s="11" t="s">
        <v>806</v>
      </c>
      <c r="J49" s="11" t="s">
        <v>807</v>
      </c>
      <c r="K49" s="11" t="s">
        <v>808</v>
      </c>
      <c r="L49" s="5" t="s">
        <v>30</v>
      </c>
      <c r="M49" s="5" t="s">
        <v>809</v>
      </c>
      <c r="N49" s="5" t="s">
        <v>128</v>
      </c>
      <c r="O49" s="5" t="s">
        <v>51</v>
      </c>
      <c r="P49" s="5" t="s">
        <v>52</v>
      </c>
      <c r="Q49" s="3" t="s">
        <v>2789</v>
      </c>
      <c r="R49" s="3" t="s">
        <v>2731</v>
      </c>
      <c r="S49" s="3" t="s">
        <v>30</v>
      </c>
      <c r="T49" s="3"/>
      <c r="U49" s="3"/>
      <c r="V49" s="3" t="s">
        <v>2790</v>
      </c>
      <c r="W49" s="17" t="s">
        <v>2791</v>
      </c>
    </row>
    <row r="50" ht="22.5" customHeight="1">
      <c r="A50" s="10">
        <v>260099.0</v>
      </c>
      <c r="B50" s="4">
        <v>46027.168054988426</v>
      </c>
      <c r="C50" s="5" t="s">
        <v>810</v>
      </c>
      <c r="D50" s="5" t="s">
        <v>811</v>
      </c>
      <c r="E50" s="5" t="s">
        <v>810</v>
      </c>
      <c r="F50" s="5" t="s">
        <v>131</v>
      </c>
      <c r="G50" s="11" t="s">
        <v>812</v>
      </c>
      <c r="H50" s="11" t="s">
        <v>813</v>
      </c>
      <c r="I50" s="11" t="s">
        <v>814</v>
      </c>
      <c r="J50" s="11" t="s">
        <v>815</v>
      </c>
      <c r="K50" s="11" t="s">
        <v>816</v>
      </c>
      <c r="L50" s="5" t="s">
        <v>30</v>
      </c>
      <c r="M50" s="5" t="s">
        <v>557</v>
      </c>
      <c r="N50" s="5" t="s">
        <v>119</v>
      </c>
      <c r="O50" s="5" t="s">
        <v>437</v>
      </c>
      <c r="P50" s="5" t="s">
        <v>437</v>
      </c>
      <c r="Q50" s="3" t="s">
        <v>2756</v>
      </c>
      <c r="R50" s="3" t="s">
        <v>2792</v>
      </c>
      <c r="S50" s="3" t="s">
        <v>30</v>
      </c>
      <c r="T50" s="3"/>
      <c r="U50" s="3"/>
      <c r="V50" s="3" t="s">
        <v>2793</v>
      </c>
      <c r="W50" s="17" t="s">
        <v>2794</v>
      </c>
    </row>
    <row r="51" ht="22.5" customHeight="1">
      <c r="A51" s="10">
        <v>260100.0</v>
      </c>
      <c r="B51" s="4">
        <v>46027.20015542824</v>
      </c>
      <c r="C51" s="5" t="s">
        <v>817</v>
      </c>
      <c r="D51" s="5" t="s">
        <v>818</v>
      </c>
      <c r="E51" s="5" t="s">
        <v>817</v>
      </c>
      <c r="F51" s="5" t="s">
        <v>17</v>
      </c>
      <c r="G51" s="11" t="s">
        <v>819</v>
      </c>
      <c r="H51" s="11" t="s">
        <v>820</v>
      </c>
      <c r="I51" s="11" t="s">
        <v>821</v>
      </c>
      <c r="J51" s="11" t="s">
        <v>822</v>
      </c>
      <c r="K51" s="11" t="s">
        <v>823</v>
      </c>
      <c r="L51" s="5" t="s">
        <v>23</v>
      </c>
      <c r="M51" s="5" t="s">
        <v>824</v>
      </c>
      <c r="N51" s="5" t="s">
        <v>119</v>
      </c>
      <c r="O51" s="5" t="s">
        <v>26</v>
      </c>
      <c r="P51" s="5" t="s">
        <v>825</v>
      </c>
      <c r="Q51" s="3" t="s">
        <v>2744</v>
      </c>
      <c r="R51" s="3" t="s">
        <v>2712</v>
      </c>
      <c r="S51" s="3" t="s">
        <v>30</v>
      </c>
      <c r="T51" s="3"/>
      <c r="U51" s="3"/>
      <c r="V51" s="3" t="s">
        <v>2795</v>
      </c>
      <c r="W51" s="17" t="s">
        <v>2796</v>
      </c>
    </row>
    <row r="52">
      <c r="A52" s="18"/>
      <c r="G52" s="19"/>
      <c r="H52" s="19"/>
      <c r="I52" s="19"/>
      <c r="J52" s="19"/>
      <c r="K52" s="19"/>
      <c r="W52" s="19"/>
    </row>
    <row r="53">
      <c r="A53" s="18"/>
      <c r="G53" s="19"/>
      <c r="H53" s="19"/>
      <c r="I53" s="19"/>
      <c r="J53" s="19"/>
      <c r="K53" s="19"/>
      <c r="W53" s="19"/>
    </row>
    <row r="54">
      <c r="A54" s="18"/>
      <c r="G54" s="19"/>
      <c r="H54" s="19"/>
      <c r="I54" s="19"/>
      <c r="J54" s="19"/>
      <c r="K54" s="19"/>
      <c r="W54" s="19"/>
    </row>
    <row r="55">
      <c r="A55" s="18"/>
      <c r="G55" s="19"/>
      <c r="H55" s="19"/>
      <c r="I55" s="19"/>
      <c r="J55" s="19"/>
      <c r="K55" s="19"/>
      <c r="W55" s="19"/>
    </row>
    <row r="56">
      <c r="A56" s="18"/>
      <c r="G56" s="19"/>
      <c r="H56" s="19"/>
      <c r="I56" s="19"/>
      <c r="J56" s="19"/>
      <c r="K56" s="19"/>
      <c r="W56" s="19"/>
    </row>
    <row r="57">
      <c r="A57" s="18"/>
      <c r="G57" s="19"/>
      <c r="H57" s="19"/>
      <c r="I57" s="19"/>
      <c r="J57" s="19"/>
      <c r="K57" s="19"/>
      <c r="W57" s="19"/>
    </row>
    <row r="58">
      <c r="A58" s="18"/>
      <c r="G58" s="19"/>
      <c r="H58" s="19"/>
      <c r="I58" s="19"/>
      <c r="J58" s="19"/>
      <c r="K58" s="19"/>
      <c r="W58" s="19"/>
    </row>
    <row r="59">
      <c r="A59" s="18"/>
      <c r="G59" s="19"/>
      <c r="H59" s="19"/>
      <c r="I59" s="19"/>
      <c r="J59" s="19"/>
      <c r="K59" s="19"/>
      <c r="W59" s="19"/>
    </row>
    <row r="60">
      <c r="A60" s="18"/>
      <c r="G60" s="19"/>
      <c r="H60" s="19"/>
      <c r="I60" s="19"/>
      <c r="J60" s="19"/>
      <c r="K60" s="19"/>
      <c r="W60" s="19"/>
    </row>
    <row r="61">
      <c r="A61" s="18"/>
      <c r="G61" s="19"/>
      <c r="H61" s="19"/>
      <c r="I61" s="19"/>
      <c r="J61" s="19"/>
      <c r="K61" s="19"/>
      <c r="W61" s="19"/>
    </row>
    <row r="62">
      <c r="A62" s="18"/>
      <c r="G62" s="19"/>
      <c r="H62" s="19"/>
      <c r="I62" s="19"/>
      <c r="J62" s="19"/>
      <c r="K62" s="19"/>
      <c r="W62" s="19"/>
    </row>
    <row r="63">
      <c r="A63" s="18"/>
      <c r="G63" s="19"/>
      <c r="H63" s="19"/>
      <c r="I63" s="19"/>
      <c r="J63" s="19"/>
      <c r="K63" s="19"/>
      <c r="W63" s="19"/>
    </row>
    <row r="64">
      <c r="A64" s="18"/>
      <c r="G64" s="19"/>
      <c r="H64" s="19"/>
      <c r="I64" s="19"/>
      <c r="J64" s="19"/>
      <c r="K64" s="19"/>
      <c r="W64" s="19"/>
    </row>
    <row r="65">
      <c r="A65" s="18"/>
      <c r="G65" s="19"/>
      <c r="H65" s="19"/>
      <c r="I65" s="19"/>
      <c r="J65" s="19"/>
      <c r="K65" s="19"/>
      <c r="W65" s="19"/>
    </row>
    <row r="66">
      <c r="A66" s="18"/>
      <c r="G66" s="19"/>
      <c r="H66" s="19"/>
      <c r="I66" s="19"/>
      <c r="J66" s="19"/>
      <c r="K66" s="19"/>
      <c r="W66" s="19"/>
    </row>
    <row r="67">
      <c r="A67" s="18"/>
      <c r="G67" s="19"/>
      <c r="H67" s="19"/>
      <c r="I67" s="19"/>
      <c r="J67" s="19"/>
      <c r="K67" s="19"/>
      <c r="W67" s="19"/>
    </row>
    <row r="68">
      <c r="A68" s="18"/>
      <c r="G68" s="19"/>
      <c r="H68" s="19"/>
      <c r="I68" s="19"/>
      <c r="J68" s="19"/>
      <c r="K68" s="19"/>
      <c r="W68" s="19"/>
    </row>
    <row r="69">
      <c r="A69" s="18"/>
      <c r="G69" s="19"/>
      <c r="H69" s="19"/>
      <c r="I69" s="19"/>
      <c r="J69" s="19"/>
      <c r="K69" s="19"/>
      <c r="W69" s="19"/>
    </row>
    <row r="70">
      <c r="A70" s="18"/>
      <c r="G70" s="19"/>
      <c r="H70" s="19"/>
      <c r="I70" s="19"/>
      <c r="J70" s="19"/>
      <c r="K70" s="19"/>
      <c r="W70" s="19"/>
    </row>
    <row r="71">
      <c r="A71" s="18"/>
      <c r="G71" s="19"/>
      <c r="H71" s="19"/>
      <c r="I71" s="19"/>
      <c r="J71" s="19"/>
      <c r="K71" s="19"/>
      <c r="W71" s="19"/>
    </row>
    <row r="72">
      <c r="A72" s="18"/>
      <c r="G72" s="19"/>
      <c r="H72" s="19"/>
      <c r="I72" s="19"/>
      <c r="J72" s="19"/>
      <c r="K72" s="19"/>
      <c r="W72" s="19"/>
    </row>
    <row r="73">
      <c r="A73" s="18"/>
      <c r="G73" s="19"/>
      <c r="H73" s="19"/>
      <c r="I73" s="19"/>
      <c r="J73" s="19"/>
      <c r="K73" s="19"/>
      <c r="W73" s="19"/>
    </row>
    <row r="74">
      <c r="A74" s="18"/>
      <c r="G74" s="19"/>
      <c r="H74" s="19"/>
      <c r="I74" s="19"/>
      <c r="J74" s="19"/>
      <c r="K74" s="19"/>
      <c r="W74" s="19"/>
    </row>
    <row r="75">
      <c r="A75" s="18"/>
      <c r="G75" s="19"/>
      <c r="H75" s="19"/>
      <c r="I75" s="19"/>
      <c r="J75" s="19"/>
      <c r="K75" s="19"/>
      <c r="W75" s="19"/>
    </row>
    <row r="76">
      <c r="A76" s="18"/>
      <c r="G76" s="19"/>
      <c r="H76" s="19"/>
      <c r="I76" s="19"/>
      <c r="J76" s="19"/>
      <c r="K76" s="19"/>
      <c r="W76" s="19"/>
    </row>
    <row r="77">
      <c r="A77" s="18"/>
      <c r="G77" s="19"/>
      <c r="H77" s="19"/>
      <c r="I77" s="19"/>
      <c r="J77" s="19"/>
      <c r="K77" s="19"/>
      <c r="W77" s="19"/>
    </row>
    <row r="78">
      <c r="A78" s="18"/>
      <c r="G78" s="19"/>
      <c r="H78" s="19"/>
      <c r="I78" s="19"/>
      <c r="J78" s="19"/>
      <c r="K78" s="19"/>
      <c r="W78" s="19"/>
    </row>
    <row r="79">
      <c r="A79" s="18"/>
      <c r="G79" s="19"/>
      <c r="H79" s="19"/>
      <c r="I79" s="19"/>
      <c r="J79" s="19"/>
      <c r="K79" s="19"/>
      <c r="W79" s="19"/>
    </row>
    <row r="80">
      <c r="A80" s="18"/>
      <c r="G80" s="19"/>
      <c r="H80" s="19"/>
      <c r="I80" s="19"/>
      <c r="J80" s="19"/>
      <c r="K80" s="19"/>
      <c r="W80" s="19"/>
    </row>
    <row r="81">
      <c r="A81" s="18"/>
      <c r="G81" s="19"/>
      <c r="H81" s="19"/>
      <c r="I81" s="19"/>
      <c r="J81" s="19"/>
      <c r="K81" s="19"/>
      <c r="W81" s="19"/>
    </row>
    <row r="82">
      <c r="A82" s="18"/>
      <c r="G82" s="19"/>
      <c r="H82" s="19"/>
      <c r="I82" s="19"/>
      <c r="J82" s="19"/>
      <c r="K82" s="19"/>
      <c r="W82" s="19"/>
    </row>
    <row r="83">
      <c r="A83" s="18"/>
      <c r="G83" s="19"/>
      <c r="H83" s="19"/>
      <c r="I83" s="19"/>
      <c r="J83" s="19"/>
      <c r="K83" s="19"/>
      <c r="W83" s="19"/>
    </row>
    <row r="84">
      <c r="A84" s="18"/>
      <c r="G84" s="19"/>
      <c r="H84" s="19"/>
      <c r="I84" s="19"/>
      <c r="J84" s="19"/>
      <c r="K84" s="19"/>
      <c r="W84" s="19"/>
    </row>
    <row r="85">
      <c r="A85" s="18"/>
      <c r="G85" s="19"/>
      <c r="H85" s="19"/>
      <c r="I85" s="19"/>
      <c r="J85" s="19"/>
      <c r="K85" s="19"/>
      <c r="W85" s="19"/>
    </row>
    <row r="86">
      <c r="A86" s="18"/>
      <c r="G86" s="19"/>
      <c r="H86" s="19"/>
      <c r="I86" s="19"/>
      <c r="J86" s="19"/>
      <c r="K86" s="19"/>
      <c r="W86" s="19"/>
    </row>
    <row r="87">
      <c r="A87" s="18"/>
      <c r="G87" s="19"/>
      <c r="H87" s="19"/>
      <c r="I87" s="19"/>
      <c r="J87" s="19"/>
      <c r="K87" s="19"/>
      <c r="W87" s="19"/>
    </row>
    <row r="88">
      <c r="A88" s="18"/>
      <c r="G88" s="19"/>
      <c r="H88" s="19"/>
      <c r="I88" s="19"/>
      <c r="J88" s="19"/>
      <c r="K88" s="19"/>
      <c r="W88" s="19"/>
    </row>
    <row r="89">
      <c r="A89" s="18"/>
      <c r="G89" s="19"/>
      <c r="H89" s="19"/>
      <c r="I89" s="19"/>
      <c r="J89" s="19"/>
      <c r="K89" s="19"/>
      <c r="W89" s="19"/>
    </row>
    <row r="90">
      <c r="A90" s="18"/>
      <c r="G90" s="19"/>
      <c r="H90" s="19"/>
      <c r="I90" s="19"/>
      <c r="J90" s="19"/>
      <c r="K90" s="19"/>
      <c r="W90" s="19"/>
    </row>
    <row r="91">
      <c r="A91" s="18"/>
      <c r="G91" s="19"/>
      <c r="H91" s="19"/>
      <c r="I91" s="19"/>
      <c r="J91" s="19"/>
      <c r="K91" s="19"/>
      <c r="W91" s="19"/>
    </row>
    <row r="92">
      <c r="A92" s="18"/>
      <c r="G92" s="19"/>
      <c r="H92" s="19"/>
      <c r="I92" s="19"/>
      <c r="J92" s="19"/>
      <c r="K92" s="19"/>
      <c r="W92" s="19"/>
    </row>
    <row r="93">
      <c r="A93" s="18"/>
      <c r="G93" s="19"/>
      <c r="H93" s="19"/>
      <c r="I93" s="19"/>
      <c r="J93" s="19"/>
      <c r="K93" s="19"/>
      <c r="W93" s="19"/>
    </row>
    <row r="94">
      <c r="A94" s="18"/>
      <c r="G94" s="19"/>
      <c r="H94" s="19"/>
      <c r="I94" s="19"/>
      <c r="J94" s="19"/>
      <c r="K94" s="19"/>
      <c r="W94" s="19"/>
    </row>
    <row r="95">
      <c r="A95" s="18"/>
      <c r="G95" s="19"/>
      <c r="H95" s="19"/>
      <c r="I95" s="19"/>
      <c r="J95" s="19"/>
      <c r="K95" s="19"/>
      <c r="W95" s="19"/>
    </row>
    <row r="96">
      <c r="A96" s="18"/>
      <c r="G96" s="19"/>
      <c r="H96" s="19"/>
      <c r="I96" s="19"/>
      <c r="J96" s="19"/>
      <c r="K96" s="19"/>
      <c r="W96" s="19"/>
    </row>
    <row r="97">
      <c r="A97" s="18"/>
      <c r="G97" s="19"/>
      <c r="H97" s="19"/>
      <c r="I97" s="19"/>
      <c r="J97" s="19"/>
      <c r="K97" s="19"/>
      <c r="W97" s="19"/>
    </row>
    <row r="98">
      <c r="A98" s="18"/>
      <c r="G98" s="19"/>
      <c r="H98" s="19"/>
      <c r="I98" s="19"/>
      <c r="J98" s="19"/>
      <c r="K98" s="19"/>
      <c r="W98" s="19"/>
    </row>
    <row r="99">
      <c r="A99" s="18"/>
      <c r="G99" s="19"/>
      <c r="H99" s="19"/>
      <c r="I99" s="19"/>
      <c r="J99" s="19"/>
      <c r="K99" s="19"/>
      <c r="W99" s="19"/>
    </row>
    <row r="100">
      <c r="A100" s="18"/>
      <c r="G100" s="19"/>
      <c r="H100" s="19"/>
      <c r="I100" s="19"/>
      <c r="J100" s="19"/>
      <c r="K100" s="19"/>
      <c r="W100" s="19"/>
    </row>
    <row r="101">
      <c r="A101" s="18"/>
      <c r="G101" s="19"/>
      <c r="H101" s="19"/>
      <c r="I101" s="19"/>
      <c r="J101" s="19"/>
      <c r="K101" s="19"/>
      <c r="W101" s="19"/>
    </row>
    <row r="102">
      <c r="A102" s="18"/>
      <c r="G102" s="19"/>
      <c r="H102" s="19"/>
      <c r="I102" s="19"/>
      <c r="J102" s="19"/>
      <c r="K102" s="19"/>
      <c r="W102" s="19"/>
    </row>
    <row r="103">
      <c r="A103" s="18"/>
      <c r="G103" s="19"/>
      <c r="H103" s="19"/>
      <c r="I103" s="19"/>
      <c r="J103" s="19"/>
      <c r="K103" s="19"/>
      <c r="W103" s="19"/>
    </row>
    <row r="104">
      <c r="A104" s="18"/>
      <c r="G104" s="19"/>
      <c r="H104" s="19"/>
      <c r="I104" s="19"/>
      <c r="J104" s="19"/>
      <c r="K104" s="19"/>
      <c r="W104" s="19"/>
    </row>
    <row r="105">
      <c r="A105" s="18"/>
      <c r="G105" s="19"/>
      <c r="H105" s="19"/>
      <c r="I105" s="19"/>
      <c r="J105" s="19"/>
      <c r="K105" s="19"/>
      <c r="W105" s="19"/>
    </row>
    <row r="106">
      <c r="A106" s="18"/>
      <c r="G106" s="19"/>
      <c r="H106" s="19"/>
      <c r="I106" s="19"/>
      <c r="J106" s="19"/>
      <c r="K106" s="19"/>
      <c r="W106" s="19"/>
    </row>
    <row r="107">
      <c r="A107" s="18"/>
      <c r="G107" s="19"/>
      <c r="H107" s="19"/>
      <c r="I107" s="19"/>
      <c r="J107" s="19"/>
      <c r="K107" s="19"/>
      <c r="W107" s="19"/>
    </row>
    <row r="108">
      <c r="A108" s="18"/>
      <c r="G108" s="19"/>
      <c r="H108" s="19"/>
      <c r="I108" s="19"/>
      <c r="J108" s="19"/>
      <c r="K108" s="19"/>
      <c r="W108" s="19"/>
    </row>
    <row r="109">
      <c r="A109" s="18"/>
      <c r="G109" s="19"/>
      <c r="H109" s="19"/>
      <c r="I109" s="19"/>
      <c r="J109" s="19"/>
      <c r="K109" s="19"/>
      <c r="W109" s="19"/>
    </row>
    <row r="110">
      <c r="A110" s="18"/>
      <c r="G110" s="19"/>
      <c r="H110" s="19"/>
      <c r="I110" s="19"/>
      <c r="J110" s="19"/>
      <c r="K110" s="19"/>
      <c r="W110" s="19"/>
    </row>
    <row r="111">
      <c r="A111" s="18"/>
      <c r="G111" s="19"/>
      <c r="H111" s="19"/>
      <c r="I111" s="19"/>
      <c r="J111" s="19"/>
      <c r="K111" s="19"/>
      <c r="W111" s="19"/>
    </row>
    <row r="112">
      <c r="A112" s="18"/>
      <c r="G112" s="19"/>
      <c r="H112" s="19"/>
      <c r="I112" s="19"/>
      <c r="J112" s="19"/>
      <c r="K112" s="19"/>
      <c r="W112" s="19"/>
    </row>
    <row r="113">
      <c r="A113" s="18"/>
      <c r="G113" s="19"/>
      <c r="H113" s="19"/>
      <c r="I113" s="19"/>
      <c r="J113" s="19"/>
      <c r="K113" s="19"/>
      <c r="W113" s="19"/>
    </row>
    <row r="114">
      <c r="A114" s="18"/>
      <c r="G114" s="19"/>
      <c r="H114" s="19"/>
      <c r="I114" s="19"/>
      <c r="J114" s="19"/>
      <c r="K114" s="19"/>
      <c r="W114" s="19"/>
    </row>
    <row r="115">
      <c r="A115" s="18"/>
      <c r="G115" s="19"/>
      <c r="H115" s="19"/>
      <c r="I115" s="19"/>
      <c r="J115" s="19"/>
      <c r="K115" s="19"/>
      <c r="W115" s="19"/>
    </row>
    <row r="116">
      <c r="A116" s="18"/>
      <c r="G116" s="19"/>
      <c r="H116" s="19"/>
      <c r="I116" s="19"/>
      <c r="J116" s="19"/>
      <c r="K116" s="19"/>
      <c r="W116" s="19"/>
    </row>
    <row r="117">
      <c r="A117" s="18"/>
      <c r="G117" s="19"/>
      <c r="H117" s="19"/>
      <c r="I117" s="19"/>
      <c r="J117" s="19"/>
      <c r="K117" s="19"/>
      <c r="W117" s="19"/>
    </row>
    <row r="118">
      <c r="A118" s="18"/>
      <c r="G118" s="19"/>
      <c r="H118" s="19"/>
      <c r="I118" s="19"/>
      <c r="J118" s="19"/>
      <c r="K118" s="19"/>
      <c r="W118" s="19"/>
    </row>
    <row r="119">
      <c r="A119" s="18"/>
      <c r="G119" s="19"/>
      <c r="H119" s="19"/>
      <c r="I119" s="19"/>
      <c r="J119" s="19"/>
      <c r="K119" s="19"/>
      <c r="W119" s="19"/>
    </row>
    <row r="120">
      <c r="A120" s="18"/>
      <c r="G120" s="19"/>
      <c r="H120" s="19"/>
      <c r="I120" s="19"/>
      <c r="J120" s="19"/>
      <c r="K120" s="19"/>
      <c r="W120" s="19"/>
    </row>
    <row r="121">
      <c r="A121" s="18"/>
      <c r="G121" s="19"/>
      <c r="H121" s="19"/>
      <c r="I121" s="19"/>
      <c r="J121" s="19"/>
      <c r="K121" s="19"/>
      <c r="W121" s="19"/>
    </row>
    <row r="122">
      <c r="A122" s="18"/>
      <c r="G122" s="19"/>
      <c r="H122" s="19"/>
      <c r="I122" s="19"/>
      <c r="J122" s="19"/>
      <c r="K122" s="19"/>
      <c r="W122" s="19"/>
    </row>
    <row r="123">
      <c r="A123" s="18"/>
      <c r="G123" s="19"/>
      <c r="H123" s="19"/>
      <c r="I123" s="19"/>
      <c r="J123" s="19"/>
      <c r="K123" s="19"/>
      <c r="W123" s="19"/>
    </row>
    <row r="124">
      <c r="A124" s="18"/>
      <c r="G124" s="19"/>
      <c r="H124" s="19"/>
      <c r="I124" s="19"/>
      <c r="J124" s="19"/>
      <c r="K124" s="19"/>
      <c r="W124" s="19"/>
    </row>
    <row r="125">
      <c r="A125" s="18"/>
      <c r="G125" s="19"/>
      <c r="H125" s="19"/>
      <c r="I125" s="19"/>
      <c r="J125" s="19"/>
      <c r="K125" s="19"/>
      <c r="W125" s="19"/>
    </row>
    <row r="126">
      <c r="A126" s="18"/>
      <c r="G126" s="19"/>
      <c r="H126" s="19"/>
      <c r="I126" s="19"/>
      <c r="J126" s="19"/>
      <c r="K126" s="19"/>
      <c r="W126" s="19"/>
    </row>
    <row r="127">
      <c r="A127" s="18"/>
      <c r="G127" s="19"/>
      <c r="H127" s="19"/>
      <c r="I127" s="19"/>
      <c r="J127" s="19"/>
      <c r="K127" s="19"/>
      <c r="W127" s="19"/>
    </row>
    <row r="128">
      <c r="A128" s="18"/>
      <c r="G128" s="19"/>
      <c r="H128" s="19"/>
      <c r="I128" s="19"/>
      <c r="J128" s="19"/>
      <c r="K128" s="19"/>
      <c r="W128" s="19"/>
    </row>
    <row r="129">
      <c r="A129" s="18"/>
      <c r="G129" s="19"/>
      <c r="H129" s="19"/>
      <c r="I129" s="19"/>
      <c r="J129" s="19"/>
      <c r="K129" s="19"/>
      <c r="W129" s="19"/>
    </row>
    <row r="130">
      <c r="A130" s="18"/>
      <c r="G130" s="19"/>
      <c r="H130" s="19"/>
      <c r="I130" s="19"/>
      <c r="J130" s="19"/>
      <c r="K130" s="19"/>
      <c r="W130" s="19"/>
    </row>
    <row r="131">
      <c r="A131" s="18"/>
      <c r="G131" s="19"/>
      <c r="H131" s="19"/>
      <c r="I131" s="19"/>
      <c r="J131" s="19"/>
      <c r="K131" s="19"/>
      <c r="W131" s="19"/>
    </row>
    <row r="132">
      <c r="A132" s="18"/>
      <c r="G132" s="19"/>
      <c r="H132" s="19"/>
      <c r="I132" s="19"/>
      <c r="J132" s="19"/>
      <c r="K132" s="19"/>
      <c r="W132" s="19"/>
    </row>
    <row r="133">
      <c r="A133" s="18"/>
      <c r="G133" s="19"/>
      <c r="H133" s="19"/>
      <c r="I133" s="19"/>
      <c r="J133" s="19"/>
      <c r="K133" s="19"/>
      <c r="W133" s="19"/>
    </row>
    <row r="134">
      <c r="A134" s="18"/>
      <c r="G134" s="19"/>
      <c r="H134" s="19"/>
      <c r="I134" s="19"/>
      <c r="J134" s="19"/>
      <c r="K134" s="19"/>
      <c r="W134" s="19"/>
    </row>
    <row r="135">
      <c r="A135" s="18"/>
      <c r="G135" s="19"/>
      <c r="H135" s="19"/>
      <c r="I135" s="19"/>
      <c r="J135" s="19"/>
      <c r="K135" s="19"/>
      <c r="W135" s="19"/>
    </row>
    <row r="136">
      <c r="A136" s="18"/>
      <c r="G136" s="19"/>
      <c r="H136" s="19"/>
      <c r="I136" s="19"/>
      <c r="J136" s="19"/>
      <c r="K136" s="19"/>
      <c r="W136" s="19"/>
    </row>
    <row r="137">
      <c r="A137" s="18"/>
      <c r="G137" s="19"/>
      <c r="H137" s="19"/>
      <c r="I137" s="19"/>
      <c r="J137" s="19"/>
      <c r="K137" s="19"/>
      <c r="W137" s="19"/>
    </row>
    <row r="138">
      <c r="A138" s="18"/>
      <c r="G138" s="19"/>
      <c r="H138" s="19"/>
      <c r="I138" s="19"/>
      <c r="J138" s="19"/>
      <c r="K138" s="19"/>
      <c r="W138" s="19"/>
    </row>
    <row r="139">
      <c r="A139" s="18"/>
      <c r="G139" s="19"/>
      <c r="H139" s="19"/>
      <c r="I139" s="19"/>
      <c r="J139" s="19"/>
      <c r="K139" s="19"/>
      <c r="W139" s="19"/>
    </row>
    <row r="140">
      <c r="A140" s="18"/>
      <c r="G140" s="19"/>
      <c r="H140" s="19"/>
      <c r="I140" s="19"/>
      <c r="J140" s="19"/>
      <c r="K140" s="19"/>
      <c r="W140" s="19"/>
    </row>
    <row r="141">
      <c r="A141" s="18"/>
      <c r="G141" s="19"/>
      <c r="H141" s="19"/>
      <c r="I141" s="19"/>
      <c r="J141" s="19"/>
      <c r="K141" s="19"/>
      <c r="W141" s="19"/>
    </row>
    <row r="142">
      <c r="A142" s="18"/>
      <c r="G142" s="19"/>
      <c r="H142" s="19"/>
      <c r="I142" s="19"/>
      <c r="J142" s="19"/>
      <c r="K142" s="19"/>
      <c r="W142" s="19"/>
    </row>
    <row r="143">
      <c r="A143" s="18"/>
      <c r="G143" s="19"/>
      <c r="H143" s="19"/>
      <c r="I143" s="19"/>
      <c r="J143" s="19"/>
      <c r="K143" s="19"/>
      <c r="W143" s="19"/>
    </row>
    <row r="144">
      <c r="A144" s="18"/>
      <c r="G144" s="19"/>
      <c r="H144" s="19"/>
      <c r="I144" s="19"/>
      <c r="J144" s="19"/>
      <c r="K144" s="19"/>
      <c r="W144" s="19"/>
    </row>
    <row r="145">
      <c r="A145" s="18"/>
      <c r="G145" s="19"/>
      <c r="H145" s="19"/>
      <c r="I145" s="19"/>
      <c r="J145" s="19"/>
      <c r="K145" s="19"/>
      <c r="W145" s="19"/>
    </row>
    <row r="146">
      <c r="A146" s="18"/>
      <c r="G146" s="19"/>
      <c r="H146" s="19"/>
      <c r="I146" s="19"/>
      <c r="J146" s="19"/>
      <c r="K146" s="19"/>
      <c r="W146" s="19"/>
    </row>
    <row r="147">
      <c r="A147" s="18"/>
      <c r="G147" s="19"/>
      <c r="H147" s="19"/>
      <c r="I147" s="19"/>
      <c r="J147" s="19"/>
      <c r="K147" s="19"/>
      <c r="W147" s="19"/>
    </row>
    <row r="148">
      <c r="A148" s="18"/>
      <c r="G148" s="19"/>
      <c r="H148" s="19"/>
      <c r="I148" s="19"/>
      <c r="J148" s="19"/>
      <c r="K148" s="19"/>
      <c r="W148" s="19"/>
    </row>
    <row r="149">
      <c r="A149" s="18"/>
      <c r="G149" s="19"/>
      <c r="H149" s="19"/>
      <c r="I149" s="19"/>
      <c r="J149" s="19"/>
      <c r="K149" s="19"/>
      <c r="W149" s="19"/>
    </row>
    <row r="150">
      <c r="A150" s="18"/>
      <c r="G150" s="19"/>
      <c r="H150" s="19"/>
      <c r="I150" s="19"/>
      <c r="J150" s="19"/>
      <c r="K150" s="19"/>
      <c r="W150" s="19"/>
    </row>
    <row r="151">
      <c r="W151" s="19"/>
    </row>
  </sheetData>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18.88"/>
    <col customWidth="1" min="3" max="3" width="17.63"/>
    <col customWidth="1" min="4" max="4" width="18.88"/>
    <col customWidth="1" hidden="1" min="5" max="5" width="20.88"/>
    <col customWidth="1" min="6" max="6" width="20.38"/>
    <col customWidth="1" min="7" max="7" width="63.75"/>
    <col customWidth="1" min="8" max="8" width="178.25"/>
    <col customWidth="1" min="9" max="11" width="18.88"/>
    <col customWidth="1" hidden="1" min="12" max="12" width="37.63"/>
    <col customWidth="1" min="13" max="13" width="18.88"/>
    <col customWidth="1" hidden="1" min="14" max="14" width="18.88"/>
    <col customWidth="1" min="15" max="15" width="20.88"/>
    <col customWidth="1" min="16" max="16" width="15.63"/>
    <col customWidth="1" min="17" max="17" width="21.25"/>
    <col customWidth="1" min="18" max="18" width="20.13"/>
    <col customWidth="1" min="19" max="19" width="17.13"/>
    <col customWidth="1" min="20" max="20" width="18.63"/>
    <col customWidth="1" min="21" max="21" width="21.63"/>
    <col customWidth="1" min="22" max="22" width="51.25"/>
    <col customWidth="1" min="23" max="27" width="18.88"/>
  </cols>
  <sheetData>
    <row r="1" ht="22.5" customHeight="1">
      <c r="A1" s="7" t="s">
        <v>2311</v>
      </c>
      <c r="B1" s="1" t="s">
        <v>0</v>
      </c>
      <c r="C1" s="1" t="s">
        <v>1</v>
      </c>
      <c r="D1" s="1" t="s">
        <v>2</v>
      </c>
      <c r="E1" s="1" t="s">
        <v>3</v>
      </c>
      <c r="F1" s="1" t="s">
        <v>4</v>
      </c>
      <c r="G1" s="8" t="s">
        <v>5</v>
      </c>
      <c r="H1" s="8" t="s">
        <v>6</v>
      </c>
      <c r="I1" s="8" t="s">
        <v>7</v>
      </c>
      <c r="J1" s="8" t="s">
        <v>8</v>
      </c>
      <c r="K1" s="8" t="s">
        <v>9</v>
      </c>
      <c r="L1" s="1" t="s">
        <v>10</v>
      </c>
      <c r="M1" s="1" t="s">
        <v>11</v>
      </c>
      <c r="N1" s="1" t="s">
        <v>12</v>
      </c>
      <c r="O1" s="1" t="s">
        <v>13</v>
      </c>
      <c r="P1" s="1" t="s">
        <v>14</v>
      </c>
      <c r="Q1" s="94" t="s">
        <v>2649</v>
      </c>
      <c r="R1" s="94" t="s">
        <v>2650</v>
      </c>
      <c r="S1" s="95" t="s">
        <v>2651</v>
      </c>
      <c r="T1" s="95" t="s">
        <v>2652</v>
      </c>
      <c r="U1" s="95" t="s">
        <v>2653</v>
      </c>
      <c r="V1" s="104" t="s">
        <v>2312</v>
      </c>
    </row>
    <row r="2" ht="22.5" customHeight="1">
      <c r="A2" s="10">
        <v>260101.0</v>
      </c>
      <c r="B2" s="4">
        <v>46027.25898086806</v>
      </c>
      <c r="C2" s="5" t="s">
        <v>826</v>
      </c>
      <c r="D2" s="5" t="s">
        <v>827</v>
      </c>
      <c r="E2" s="5" t="s">
        <v>826</v>
      </c>
      <c r="F2" s="5" t="s">
        <v>64</v>
      </c>
      <c r="G2" s="11" t="s">
        <v>828</v>
      </c>
      <c r="H2" s="11" t="s">
        <v>829</v>
      </c>
      <c r="I2" s="11" t="s">
        <v>830</v>
      </c>
      <c r="J2" s="11" t="s">
        <v>831</v>
      </c>
      <c r="K2" s="11" t="s">
        <v>832</v>
      </c>
      <c r="L2" s="5" t="s">
        <v>23</v>
      </c>
      <c r="M2" s="5" t="s">
        <v>445</v>
      </c>
      <c r="N2" s="5" t="s">
        <v>119</v>
      </c>
      <c r="O2" s="5" t="s">
        <v>833</v>
      </c>
      <c r="P2" s="5" t="s">
        <v>548</v>
      </c>
      <c r="Q2" s="5" t="s">
        <v>2797</v>
      </c>
      <c r="R2" s="5" t="s">
        <v>2413</v>
      </c>
      <c r="S2" s="5" t="s">
        <v>30</v>
      </c>
      <c r="T2" s="11"/>
      <c r="U2" s="11"/>
      <c r="V2" s="110"/>
    </row>
    <row r="3" ht="22.5" customHeight="1">
      <c r="A3" s="111">
        <v>260102.0</v>
      </c>
      <c r="B3" s="112">
        <v>46027.260207824074</v>
      </c>
      <c r="C3" s="113" t="s">
        <v>337</v>
      </c>
      <c r="D3" s="113" t="s">
        <v>338</v>
      </c>
      <c r="E3" s="113" t="s">
        <v>337</v>
      </c>
      <c r="F3" s="113" t="s">
        <v>17</v>
      </c>
      <c r="G3" s="114" t="s">
        <v>834</v>
      </c>
      <c r="H3" s="114" t="s">
        <v>835</v>
      </c>
      <c r="I3" s="114" t="s">
        <v>463</v>
      </c>
      <c r="J3" s="114" t="s">
        <v>836</v>
      </c>
      <c r="K3" s="114" t="s">
        <v>837</v>
      </c>
      <c r="L3" s="113" t="s">
        <v>30</v>
      </c>
      <c r="M3" s="113" t="s">
        <v>319</v>
      </c>
      <c r="N3" s="113" t="s">
        <v>119</v>
      </c>
      <c r="O3" s="113" t="s">
        <v>72</v>
      </c>
      <c r="P3" s="113" t="s">
        <v>73</v>
      </c>
      <c r="Q3" s="115"/>
      <c r="R3" s="115"/>
      <c r="S3" s="113" t="s">
        <v>162</v>
      </c>
      <c r="T3" s="114" t="s">
        <v>2798</v>
      </c>
      <c r="U3" s="114" t="s">
        <v>2799</v>
      </c>
      <c r="V3" s="116"/>
      <c r="W3" s="117"/>
      <c r="X3" s="117"/>
      <c r="Y3" s="117"/>
      <c r="Z3" s="117"/>
      <c r="AA3" s="117"/>
    </row>
    <row r="4" ht="22.5" customHeight="1">
      <c r="A4" s="111">
        <v>260103.0</v>
      </c>
      <c r="B4" s="112">
        <v>46027.272927314814</v>
      </c>
      <c r="C4" s="113" t="s">
        <v>337</v>
      </c>
      <c r="D4" s="113" t="s">
        <v>338</v>
      </c>
      <c r="E4" s="113" t="s">
        <v>337</v>
      </c>
      <c r="F4" s="113" t="s">
        <v>17</v>
      </c>
      <c r="G4" s="114" t="s">
        <v>838</v>
      </c>
      <c r="H4" s="114" t="s">
        <v>839</v>
      </c>
      <c r="I4" s="114" t="s">
        <v>463</v>
      </c>
      <c r="J4" s="114" t="s">
        <v>840</v>
      </c>
      <c r="K4" s="114" t="s">
        <v>841</v>
      </c>
      <c r="L4" s="113" t="s">
        <v>30</v>
      </c>
      <c r="M4" s="113" t="s">
        <v>319</v>
      </c>
      <c r="N4" s="113" t="s">
        <v>119</v>
      </c>
      <c r="O4" s="113" t="s">
        <v>72</v>
      </c>
      <c r="P4" s="113" t="s">
        <v>73</v>
      </c>
      <c r="Q4" s="115"/>
      <c r="R4" s="115"/>
      <c r="S4" s="113" t="s">
        <v>162</v>
      </c>
      <c r="T4" s="114" t="s">
        <v>2798</v>
      </c>
      <c r="U4" s="114" t="s">
        <v>2799</v>
      </c>
      <c r="V4" s="116"/>
      <c r="W4" s="117"/>
      <c r="X4" s="117"/>
      <c r="Y4" s="117"/>
      <c r="Z4" s="117"/>
      <c r="AA4" s="117"/>
    </row>
    <row r="5" ht="22.5" customHeight="1">
      <c r="A5" s="96">
        <v>260104.0</v>
      </c>
      <c r="B5" s="97">
        <v>46027.28722805556</v>
      </c>
      <c r="C5" s="98" t="s">
        <v>337</v>
      </c>
      <c r="D5" s="98" t="s">
        <v>338</v>
      </c>
      <c r="E5" s="98" t="s">
        <v>337</v>
      </c>
      <c r="F5" s="98" t="s">
        <v>64</v>
      </c>
      <c r="G5" s="99" t="s">
        <v>842</v>
      </c>
      <c r="H5" s="99" t="s">
        <v>843</v>
      </c>
      <c r="I5" s="99" t="s">
        <v>841</v>
      </c>
      <c r="J5" s="99" t="s">
        <v>844</v>
      </c>
      <c r="K5" s="99" t="s">
        <v>845</v>
      </c>
      <c r="L5" s="98" t="s">
        <v>30</v>
      </c>
      <c r="M5" s="98" t="s">
        <v>319</v>
      </c>
      <c r="N5" s="98" t="s">
        <v>119</v>
      </c>
      <c r="O5" s="98" t="s">
        <v>72</v>
      </c>
      <c r="P5" s="98" t="s">
        <v>73</v>
      </c>
      <c r="Q5" s="100"/>
      <c r="R5" s="100"/>
      <c r="S5" s="98" t="s">
        <v>162</v>
      </c>
      <c r="T5" s="99" t="s">
        <v>2798</v>
      </c>
      <c r="U5" s="99" t="s">
        <v>2799</v>
      </c>
      <c r="V5" s="118"/>
      <c r="W5" s="101"/>
      <c r="X5" s="101"/>
      <c r="Y5" s="101"/>
      <c r="Z5" s="101"/>
      <c r="AA5" s="101"/>
    </row>
    <row r="6" ht="22.5" customHeight="1">
      <c r="A6" s="96">
        <v>260105.0</v>
      </c>
      <c r="B6" s="97">
        <v>46027.29880547454</v>
      </c>
      <c r="C6" s="98" t="s">
        <v>337</v>
      </c>
      <c r="D6" s="98" t="s">
        <v>338</v>
      </c>
      <c r="E6" s="98" t="s">
        <v>337</v>
      </c>
      <c r="F6" s="98" t="s">
        <v>64</v>
      </c>
      <c r="G6" s="99" t="s">
        <v>846</v>
      </c>
      <c r="H6" s="99" t="s">
        <v>847</v>
      </c>
      <c r="I6" s="99" t="s">
        <v>848</v>
      </c>
      <c r="J6" s="99" t="s">
        <v>849</v>
      </c>
      <c r="K6" s="99" t="s">
        <v>850</v>
      </c>
      <c r="L6" s="98" t="s">
        <v>30</v>
      </c>
      <c r="M6" s="98" t="s">
        <v>319</v>
      </c>
      <c r="N6" s="98" t="s">
        <v>119</v>
      </c>
      <c r="O6" s="98" t="s">
        <v>72</v>
      </c>
      <c r="P6" s="98" t="s">
        <v>73</v>
      </c>
      <c r="Q6" s="100"/>
      <c r="R6" s="100"/>
      <c r="S6" s="98" t="s">
        <v>162</v>
      </c>
      <c r="T6" s="99" t="s">
        <v>2798</v>
      </c>
      <c r="U6" s="99" t="s">
        <v>2799</v>
      </c>
      <c r="V6" s="118"/>
      <c r="W6" s="101"/>
      <c r="X6" s="101"/>
      <c r="Y6" s="101"/>
      <c r="Z6" s="101"/>
      <c r="AA6" s="101"/>
    </row>
    <row r="7" ht="22.5" customHeight="1">
      <c r="A7" s="96">
        <v>260106.0</v>
      </c>
      <c r="B7" s="97">
        <v>46027.31805740741</v>
      </c>
      <c r="C7" s="98" t="s">
        <v>337</v>
      </c>
      <c r="D7" s="98" t="s">
        <v>338</v>
      </c>
      <c r="E7" s="98" t="s">
        <v>337</v>
      </c>
      <c r="F7" s="98" t="s">
        <v>64</v>
      </c>
      <c r="G7" s="99" t="s">
        <v>851</v>
      </c>
      <c r="H7" s="99" t="s">
        <v>852</v>
      </c>
      <c r="I7" s="99" t="s">
        <v>853</v>
      </c>
      <c r="J7" s="99" t="s">
        <v>854</v>
      </c>
      <c r="K7" s="99" t="s">
        <v>855</v>
      </c>
      <c r="L7" s="98" t="s">
        <v>30</v>
      </c>
      <c r="M7" s="98" t="s">
        <v>319</v>
      </c>
      <c r="N7" s="98" t="s">
        <v>119</v>
      </c>
      <c r="O7" s="98" t="s">
        <v>72</v>
      </c>
      <c r="P7" s="98" t="s">
        <v>73</v>
      </c>
      <c r="Q7" s="100"/>
      <c r="R7" s="100"/>
      <c r="S7" s="98" t="s">
        <v>162</v>
      </c>
      <c r="T7" s="99" t="s">
        <v>2798</v>
      </c>
      <c r="U7" s="99" t="s">
        <v>2799</v>
      </c>
      <c r="V7" s="118"/>
      <c r="W7" s="101"/>
      <c r="X7" s="101"/>
      <c r="Y7" s="101"/>
      <c r="Z7" s="101"/>
      <c r="AA7" s="101"/>
    </row>
    <row r="8" ht="22.5" customHeight="1">
      <c r="A8" s="96">
        <v>260107.0</v>
      </c>
      <c r="B8" s="97">
        <v>46027.60267636574</v>
      </c>
      <c r="C8" s="98" t="s">
        <v>337</v>
      </c>
      <c r="D8" s="98" t="s">
        <v>338</v>
      </c>
      <c r="E8" s="98" t="s">
        <v>856</v>
      </c>
      <c r="F8" s="98" t="s">
        <v>64</v>
      </c>
      <c r="G8" s="99" t="s">
        <v>857</v>
      </c>
      <c r="H8" s="99" t="s">
        <v>858</v>
      </c>
      <c r="I8" s="99" t="s">
        <v>463</v>
      </c>
      <c r="J8" s="99" t="s">
        <v>532</v>
      </c>
      <c r="K8" s="99" t="s">
        <v>859</v>
      </c>
      <c r="L8" s="98" t="s">
        <v>30</v>
      </c>
      <c r="M8" s="98" t="s">
        <v>319</v>
      </c>
      <c r="N8" s="98" t="s">
        <v>119</v>
      </c>
      <c r="O8" s="98" t="s">
        <v>72</v>
      </c>
      <c r="P8" s="98" t="s">
        <v>73</v>
      </c>
      <c r="Q8" s="100"/>
      <c r="R8" s="100"/>
      <c r="S8" s="98" t="s">
        <v>162</v>
      </c>
      <c r="T8" s="99" t="s">
        <v>2798</v>
      </c>
      <c r="U8" s="99" t="s">
        <v>2799</v>
      </c>
      <c r="V8" s="118"/>
      <c r="W8" s="101"/>
      <c r="X8" s="101"/>
      <c r="Y8" s="101"/>
      <c r="Z8" s="101"/>
      <c r="AA8" s="101"/>
    </row>
    <row r="9" ht="22.5" customHeight="1">
      <c r="A9" s="10">
        <v>260108.0</v>
      </c>
      <c r="B9" s="4">
        <v>46027.65825486111</v>
      </c>
      <c r="C9" s="5" t="s">
        <v>337</v>
      </c>
      <c r="D9" s="5" t="s">
        <v>338</v>
      </c>
      <c r="E9" s="5" t="s">
        <v>337</v>
      </c>
      <c r="F9" s="5" t="s">
        <v>17</v>
      </c>
      <c r="G9" s="11" t="s">
        <v>860</v>
      </c>
      <c r="H9" s="11" t="s">
        <v>861</v>
      </c>
      <c r="I9" s="11" t="s">
        <v>862</v>
      </c>
      <c r="J9" s="11" t="s">
        <v>863</v>
      </c>
      <c r="K9" s="11" t="s">
        <v>864</v>
      </c>
      <c r="L9" s="5" t="s">
        <v>30</v>
      </c>
      <c r="M9" s="5" t="s">
        <v>319</v>
      </c>
      <c r="N9" s="5" t="s">
        <v>119</v>
      </c>
      <c r="O9" s="5" t="s">
        <v>72</v>
      </c>
      <c r="P9" s="5" t="s">
        <v>73</v>
      </c>
      <c r="Q9" s="5" t="s">
        <v>2586</v>
      </c>
      <c r="R9" s="5" t="s">
        <v>2635</v>
      </c>
      <c r="S9" s="5" t="s">
        <v>2800</v>
      </c>
      <c r="T9" s="11" t="s">
        <v>2801</v>
      </c>
      <c r="U9" s="11" t="s">
        <v>2802</v>
      </c>
      <c r="V9" s="11"/>
    </row>
    <row r="10" ht="22.5" customHeight="1">
      <c r="A10" s="10">
        <v>260109.0</v>
      </c>
      <c r="B10" s="4">
        <v>46027.713119224536</v>
      </c>
      <c r="C10" s="5" t="s">
        <v>865</v>
      </c>
      <c r="D10" s="5" t="s">
        <v>866</v>
      </c>
      <c r="E10" s="5" t="s">
        <v>865</v>
      </c>
      <c r="F10" s="5" t="s">
        <v>17</v>
      </c>
      <c r="G10" s="11" t="s">
        <v>867</v>
      </c>
      <c r="H10" s="11" t="s">
        <v>868</v>
      </c>
      <c r="I10" s="11" t="s">
        <v>869</v>
      </c>
      <c r="J10" s="11" t="s">
        <v>870</v>
      </c>
      <c r="K10" s="11" t="s">
        <v>871</v>
      </c>
      <c r="L10" s="5" t="s">
        <v>30</v>
      </c>
      <c r="M10" s="5" t="s">
        <v>872</v>
      </c>
      <c r="N10" s="5" t="s">
        <v>119</v>
      </c>
      <c r="O10" s="5" t="s">
        <v>181</v>
      </c>
      <c r="P10" s="5" t="s">
        <v>660</v>
      </c>
      <c r="Q10" s="3" t="s">
        <v>2549</v>
      </c>
      <c r="R10" s="3" t="s">
        <v>2389</v>
      </c>
      <c r="S10" s="3" t="s">
        <v>30</v>
      </c>
      <c r="T10" s="109"/>
      <c r="U10" s="109"/>
      <c r="V10" s="109"/>
    </row>
    <row r="11" ht="22.5" customHeight="1">
      <c r="A11" s="10">
        <v>260110.0</v>
      </c>
      <c r="B11" s="4">
        <v>46027.86765392361</v>
      </c>
      <c r="C11" s="5" t="s">
        <v>873</v>
      </c>
      <c r="D11" s="5" t="s">
        <v>874</v>
      </c>
      <c r="E11" s="5" t="s">
        <v>873</v>
      </c>
      <c r="F11" s="5" t="s">
        <v>17</v>
      </c>
      <c r="G11" s="11" t="s">
        <v>875</v>
      </c>
      <c r="H11" s="11" t="s">
        <v>876</v>
      </c>
      <c r="I11" s="11" t="s">
        <v>877</v>
      </c>
      <c r="J11" s="11" t="s">
        <v>215</v>
      </c>
      <c r="K11" s="11" t="s">
        <v>461</v>
      </c>
      <c r="L11" s="5" t="s">
        <v>162</v>
      </c>
      <c r="M11" s="5" t="s">
        <v>878</v>
      </c>
      <c r="N11" s="5" t="s">
        <v>119</v>
      </c>
      <c r="O11" s="5" t="s">
        <v>548</v>
      </c>
      <c r="P11" s="5" t="s">
        <v>566</v>
      </c>
      <c r="Q11" s="3" t="s">
        <v>2508</v>
      </c>
      <c r="R11" s="3" t="s">
        <v>2396</v>
      </c>
      <c r="S11" s="3" t="s">
        <v>30</v>
      </c>
      <c r="T11" s="109"/>
      <c r="U11" s="109"/>
      <c r="V11" s="109"/>
    </row>
    <row r="12" ht="22.5" customHeight="1">
      <c r="A12" s="96">
        <v>260111.0</v>
      </c>
      <c r="B12" s="97">
        <v>46027.92606827546</v>
      </c>
      <c r="C12" s="98" t="s">
        <v>683</v>
      </c>
      <c r="D12" s="98" t="s">
        <v>684</v>
      </c>
      <c r="E12" s="98" t="s">
        <v>683</v>
      </c>
      <c r="F12" s="98" t="s">
        <v>64</v>
      </c>
      <c r="G12" s="99" t="s">
        <v>879</v>
      </c>
      <c r="H12" s="119" t="s">
        <v>880</v>
      </c>
      <c r="I12" s="99" t="s">
        <v>881</v>
      </c>
      <c r="J12" s="99" t="s">
        <v>171</v>
      </c>
      <c r="K12" s="99" t="s">
        <v>882</v>
      </c>
      <c r="L12" s="98" t="s">
        <v>30</v>
      </c>
      <c r="M12" s="98" t="s">
        <v>145</v>
      </c>
      <c r="N12" s="98" t="s">
        <v>61</v>
      </c>
      <c r="O12" s="98" t="s">
        <v>51</v>
      </c>
      <c r="P12" s="98" t="s">
        <v>52</v>
      </c>
      <c r="Q12" s="98" t="s">
        <v>2344</v>
      </c>
      <c r="R12" s="98" t="s">
        <v>2420</v>
      </c>
      <c r="S12" s="99" t="s">
        <v>162</v>
      </c>
      <c r="T12" s="99" t="s">
        <v>2803</v>
      </c>
      <c r="U12" s="99" t="s">
        <v>2804</v>
      </c>
      <c r="V12" s="119" t="s">
        <v>2805</v>
      </c>
      <c r="W12" s="101"/>
      <c r="X12" s="101"/>
      <c r="Y12" s="101"/>
      <c r="Z12" s="101"/>
      <c r="AA12" s="101"/>
    </row>
    <row r="13" ht="22.5" customHeight="1">
      <c r="A13" s="10">
        <v>260112.0</v>
      </c>
      <c r="B13" s="4">
        <v>46028.362175428236</v>
      </c>
      <c r="C13" s="5" t="s">
        <v>883</v>
      </c>
      <c r="D13" s="5" t="s">
        <v>884</v>
      </c>
      <c r="E13" s="5" t="s">
        <v>883</v>
      </c>
      <c r="F13" s="5" t="s">
        <v>17</v>
      </c>
      <c r="G13" s="11" t="s">
        <v>885</v>
      </c>
      <c r="H13" s="11" t="s">
        <v>886</v>
      </c>
      <c r="I13" s="11" t="s">
        <v>887</v>
      </c>
      <c r="J13" s="11" t="s">
        <v>888</v>
      </c>
      <c r="K13" s="11" t="s">
        <v>889</v>
      </c>
      <c r="L13" s="5" t="s">
        <v>162</v>
      </c>
      <c r="M13" s="5" t="s">
        <v>890</v>
      </c>
      <c r="N13" s="5" t="s">
        <v>436</v>
      </c>
      <c r="O13" s="5" t="s">
        <v>891</v>
      </c>
      <c r="P13" s="5" t="s">
        <v>892</v>
      </c>
      <c r="Q13" s="3" t="s">
        <v>2560</v>
      </c>
      <c r="R13" s="3" t="s">
        <v>2466</v>
      </c>
      <c r="S13" s="3" t="s">
        <v>30</v>
      </c>
      <c r="T13" s="109"/>
      <c r="U13" s="109"/>
      <c r="V13" s="109"/>
    </row>
    <row r="14" ht="22.5" customHeight="1">
      <c r="A14" s="10">
        <v>260113.0</v>
      </c>
      <c r="B14" s="4">
        <v>46029.880770625</v>
      </c>
      <c r="C14" s="5" t="s">
        <v>893</v>
      </c>
      <c r="D14" s="5" t="s">
        <v>894</v>
      </c>
      <c r="E14" s="5" t="s">
        <v>893</v>
      </c>
      <c r="F14" s="5" t="s">
        <v>17</v>
      </c>
      <c r="G14" s="11" t="s">
        <v>895</v>
      </c>
      <c r="H14" s="11" t="s">
        <v>896</v>
      </c>
      <c r="I14" s="11" t="s">
        <v>897</v>
      </c>
      <c r="J14" s="11" t="s">
        <v>898</v>
      </c>
      <c r="K14" s="11" t="s">
        <v>899</v>
      </c>
      <c r="L14" s="5" t="s">
        <v>23</v>
      </c>
      <c r="M14" s="5" t="s">
        <v>900</v>
      </c>
      <c r="N14" s="5" t="s">
        <v>172</v>
      </c>
      <c r="O14" s="5" t="s">
        <v>734</v>
      </c>
      <c r="P14" s="5" t="s">
        <v>182</v>
      </c>
      <c r="Q14" s="3" t="s">
        <v>2520</v>
      </c>
      <c r="R14" s="3" t="s">
        <v>2508</v>
      </c>
      <c r="S14" s="3" t="s">
        <v>30</v>
      </c>
      <c r="T14" s="109"/>
      <c r="U14" s="109"/>
      <c r="V14" s="109"/>
    </row>
    <row r="15" ht="22.5" customHeight="1">
      <c r="A15" s="10">
        <v>260114.0</v>
      </c>
      <c r="B15" s="4">
        <v>46028.72968936343</v>
      </c>
      <c r="C15" s="5" t="s">
        <v>901</v>
      </c>
      <c r="D15" s="5" t="s">
        <v>684</v>
      </c>
      <c r="E15" s="5" t="s">
        <v>901</v>
      </c>
      <c r="F15" s="5" t="s">
        <v>64</v>
      </c>
      <c r="G15" s="11" t="s">
        <v>902</v>
      </c>
      <c r="H15" s="11" t="s">
        <v>903</v>
      </c>
      <c r="I15" s="11" t="s">
        <v>904</v>
      </c>
      <c r="J15" s="11" t="s">
        <v>905</v>
      </c>
      <c r="K15" s="11" t="s">
        <v>906</v>
      </c>
      <c r="L15" s="5" t="s">
        <v>30</v>
      </c>
      <c r="M15" s="5" t="s">
        <v>907</v>
      </c>
      <c r="N15" s="5" t="s">
        <v>61</v>
      </c>
      <c r="O15" s="5" t="s">
        <v>51</v>
      </c>
      <c r="P15" s="5" t="s">
        <v>52</v>
      </c>
      <c r="Q15" s="3" t="s">
        <v>2640</v>
      </c>
      <c r="R15" s="3" t="s">
        <v>2623</v>
      </c>
      <c r="S15" s="3" t="s">
        <v>30</v>
      </c>
      <c r="T15" s="109"/>
      <c r="U15" s="109"/>
      <c r="V15" s="109"/>
    </row>
    <row r="16" ht="22.5" customHeight="1">
      <c r="A16" s="96">
        <v>260115.0</v>
      </c>
      <c r="B16" s="97">
        <v>46028.76274229167</v>
      </c>
      <c r="C16" s="98" t="s">
        <v>387</v>
      </c>
      <c r="D16" s="98" t="s">
        <v>908</v>
      </c>
      <c r="E16" s="98" t="s">
        <v>387</v>
      </c>
      <c r="F16" s="98" t="s">
        <v>17</v>
      </c>
      <c r="G16" s="99" t="s">
        <v>909</v>
      </c>
      <c r="H16" s="99" t="s">
        <v>910</v>
      </c>
      <c r="I16" s="99" t="s">
        <v>911</v>
      </c>
      <c r="J16" s="99" t="s">
        <v>912</v>
      </c>
      <c r="K16" s="99" t="s">
        <v>913</v>
      </c>
      <c r="L16" s="98" t="s">
        <v>30</v>
      </c>
      <c r="M16" s="98" t="s">
        <v>914</v>
      </c>
      <c r="N16" s="98" t="s">
        <v>456</v>
      </c>
      <c r="O16" s="98" t="s">
        <v>51</v>
      </c>
      <c r="P16" s="98" t="s">
        <v>52</v>
      </c>
      <c r="Q16" s="98" t="s">
        <v>2344</v>
      </c>
      <c r="R16" s="98" t="s">
        <v>2420</v>
      </c>
      <c r="S16" s="98" t="s">
        <v>162</v>
      </c>
      <c r="T16" s="99" t="s">
        <v>2806</v>
      </c>
      <c r="U16" s="99" t="s">
        <v>2802</v>
      </c>
      <c r="V16" s="99" t="s">
        <v>2807</v>
      </c>
      <c r="W16" s="101"/>
      <c r="X16" s="101"/>
      <c r="Y16" s="101"/>
      <c r="Z16" s="101"/>
      <c r="AA16" s="101"/>
    </row>
    <row r="17" ht="22.5" customHeight="1">
      <c r="A17" s="10">
        <v>260116.0</v>
      </c>
      <c r="B17" s="4">
        <v>46028.80783651621</v>
      </c>
      <c r="C17" s="5" t="s">
        <v>915</v>
      </c>
      <c r="D17" s="5" t="s">
        <v>916</v>
      </c>
      <c r="E17" s="5" t="s">
        <v>915</v>
      </c>
      <c r="F17" s="5" t="s">
        <v>64</v>
      </c>
      <c r="G17" s="11" t="s">
        <v>917</v>
      </c>
      <c r="H17" s="11" t="s">
        <v>918</v>
      </c>
      <c r="I17" s="11" t="s">
        <v>919</v>
      </c>
      <c r="J17" s="11" t="s">
        <v>920</v>
      </c>
      <c r="K17" s="11" t="s">
        <v>921</v>
      </c>
      <c r="L17" s="5" t="s">
        <v>30</v>
      </c>
      <c r="M17" s="5" t="s">
        <v>922</v>
      </c>
      <c r="N17" s="5" t="s">
        <v>31</v>
      </c>
      <c r="O17" s="5" t="s">
        <v>51</v>
      </c>
      <c r="P17" s="5" t="s">
        <v>52</v>
      </c>
      <c r="Q17" s="5" t="s">
        <v>2344</v>
      </c>
      <c r="R17" s="5" t="s">
        <v>2640</v>
      </c>
      <c r="S17" s="5" t="s">
        <v>30</v>
      </c>
      <c r="T17" s="11"/>
      <c r="U17" s="11"/>
      <c r="V17" s="11" t="s">
        <v>2808</v>
      </c>
    </row>
    <row r="18" ht="22.5" customHeight="1">
      <c r="A18" s="10">
        <v>260117.0</v>
      </c>
      <c r="B18" s="4">
        <v>46028.81122721065</v>
      </c>
      <c r="C18" s="5" t="s">
        <v>703</v>
      </c>
      <c r="D18" s="5" t="s">
        <v>704</v>
      </c>
      <c r="E18" s="5" t="s">
        <v>703</v>
      </c>
      <c r="F18" s="5" t="s">
        <v>64</v>
      </c>
      <c r="G18" s="11" t="s">
        <v>923</v>
      </c>
      <c r="H18" s="11" t="s">
        <v>924</v>
      </c>
      <c r="I18" s="11" t="s">
        <v>919</v>
      </c>
      <c r="J18" s="11" t="s">
        <v>921</v>
      </c>
      <c r="K18" s="11" t="s">
        <v>925</v>
      </c>
      <c r="L18" s="5" t="s">
        <v>30</v>
      </c>
      <c r="M18" s="5" t="s">
        <v>926</v>
      </c>
      <c r="N18" s="5" t="s">
        <v>71</v>
      </c>
      <c r="O18" s="5" t="s">
        <v>51</v>
      </c>
      <c r="P18" s="5" t="s">
        <v>52</v>
      </c>
      <c r="Q18" s="5" t="s">
        <v>2344</v>
      </c>
      <c r="R18" s="5" t="s">
        <v>2640</v>
      </c>
      <c r="S18" s="5" t="s">
        <v>30</v>
      </c>
      <c r="T18" s="11"/>
      <c r="U18" s="11"/>
      <c r="V18" s="11" t="s">
        <v>2808</v>
      </c>
    </row>
    <row r="19" ht="22.5" customHeight="1">
      <c r="A19" s="96">
        <v>260118.0</v>
      </c>
      <c r="B19" s="97">
        <v>46028.84384105324</v>
      </c>
      <c r="C19" s="98" t="s">
        <v>927</v>
      </c>
      <c r="D19" s="98" t="s">
        <v>928</v>
      </c>
      <c r="E19" s="98" t="s">
        <v>927</v>
      </c>
      <c r="F19" s="98" t="s">
        <v>64</v>
      </c>
      <c r="G19" s="99" t="s">
        <v>929</v>
      </c>
      <c r="H19" s="99" t="s">
        <v>930</v>
      </c>
      <c r="I19" s="99" t="s">
        <v>931</v>
      </c>
      <c r="J19" s="99" t="s">
        <v>932</v>
      </c>
      <c r="K19" s="99" t="s">
        <v>933</v>
      </c>
      <c r="L19" s="98" t="s">
        <v>30</v>
      </c>
      <c r="M19" s="98" t="s">
        <v>934</v>
      </c>
      <c r="N19" s="98" t="s">
        <v>119</v>
      </c>
      <c r="O19" s="98" t="s">
        <v>51</v>
      </c>
      <c r="P19" s="98" t="s">
        <v>52</v>
      </c>
      <c r="Q19" s="100"/>
      <c r="R19" s="100"/>
      <c r="S19" s="98" t="s">
        <v>162</v>
      </c>
      <c r="T19" s="99" t="s">
        <v>2798</v>
      </c>
      <c r="U19" s="99" t="s">
        <v>2799</v>
      </c>
      <c r="V19" s="99" t="s">
        <v>2809</v>
      </c>
      <c r="W19" s="101"/>
      <c r="X19" s="101"/>
      <c r="Y19" s="101"/>
      <c r="Z19" s="101"/>
      <c r="AA19" s="101"/>
    </row>
    <row r="20" ht="22.5" customHeight="1">
      <c r="A20" s="96">
        <v>260119.0</v>
      </c>
      <c r="B20" s="97">
        <v>46028.84881196759</v>
      </c>
      <c r="C20" s="98" t="s">
        <v>927</v>
      </c>
      <c r="D20" s="98" t="s">
        <v>928</v>
      </c>
      <c r="E20" s="98" t="s">
        <v>927</v>
      </c>
      <c r="F20" s="98" t="s">
        <v>64</v>
      </c>
      <c r="G20" s="99" t="s">
        <v>935</v>
      </c>
      <c r="H20" s="99" t="s">
        <v>936</v>
      </c>
      <c r="I20" s="99" t="s">
        <v>937</v>
      </c>
      <c r="J20" s="99" t="s">
        <v>938</v>
      </c>
      <c r="K20" s="99" t="s">
        <v>274</v>
      </c>
      <c r="L20" s="98" t="s">
        <v>30</v>
      </c>
      <c r="M20" s="98" t="s">
        <v>934</v>
      </c>
      <c r="N20" s="98" t="s">
        <v>119</v>
      </c>
      <c r="O20" s="98" t="s">
        <v>51</v>
      </c>
      <c r="P20" s="98" t="s">
        <v>52</v>
      </c>
      <c r="Q20" s="100"/>
      <c r="R20" s="100"/>
      <c r="S20" s="98" t="s">
        <v>162</v>
      </c>
      <c r="T20" s="99" t="s">
        <v>2798</v>
      </c>
      <c r="U20" s="99" t="s">
        <v>2799</v>
      </c>
      <c r="V20" s="99" t="s">
        <v>2809</v>
      </c>
      <c r="W20" s="101"/>
      <c r="X20" s="101"/>
      <c r="Y20" s="101"/>
      <c r="Z20" s="101"/>
      <c r="AA20" s="101"/>
    </row>
    <row r="21" ht="22.5" customHeight="1">
      <c r="A21" s="10">
        <v>260120.0</v>
      </c>
      <c r="B21" s="4">
        <v>46028.89950480324</v>
      </c>
      <c r="C21" s="5" t="s">
        <v>939</v>
      </c>
      <c r="D21" s="5" t="s">
        <v>940</v>
      </c>
      <c r="E21" s="5" t="s">
        <v>939</v>
      </c>
      <c r="F21" s="5" t="s">
        <v>17</v>
      </c>
      <c r="G21" s="11" t="s">
        <v>941</v>
      </c>
      <c r="H21" s="11" t="s">
        <v>942</v>
      </c>
      <c r="I21" s="11" t="s">
        <v>943</v>
      </c>
      <c r="J21" s="11" t="s">
        <v>944</v>
      </c>
      <c r="K21" s="11" t="s">
        <v>945</v>
      </c>
      <c r="L21" s="5" t="s">
        <v>162</v>
      </c>
      <c r="M21" s="5" t="s">
        <v>946</v>
      </c>
      <c r="N21" s="5" t="s">
        <v>25</v>
      </c>
      <c r="O21" s="5" t="s">
        <v>947</v>
      </c>
      <c r="P21" s="5" t="s">
        <v>948</v>
      </c>
      <c r="Q21" s="3" t="s">
        <v>2381</v>
      </c>
      <c r="R21" s="3" t="s">
        <v>2502</v>
      </c>
      <c r="S21" s="3" t="s">
        <v>30</v>
      </c>
      <c r="T21" s="109"/>
      <c r="U21" s="109"/>
      <c r="V21" s="109"/>
    </row>
    <row r="22" ht="22.5" customHeight="1">
      <c r="A22" s="10">
        <v>260121.0</v>
      </c>
      <c r="B22" s="4">
        <v>46028.98494490741</v>
      </c>
      <c r="C22" s="5" t="s">
        <v>949</v>
      </c>
      <c r="D22" s="5" t="s">
        <v>950</v>
      </c>
      <c r="E22" s="5" t="s">
        <v>949</v>
      </c>
      <c r="F22" s="5" t="s">
        <v>17</v>
      </c>
      <c r="G22" s="11" t="s">
        <v>951</v>
      </c>
      <c r="H22" s="11" t="s">
        <v>952</v>
      </c>
      <c r="I22" s="11" t="s">
        <v>953</v>
      </c>
      <c r="J22" s="11" t="s">
        <v>954</v>
      </c>
      <c r="K22" s="11" t="s">
        <v>955</v>
      </c>
      <c r="L22" s="5" t="s">
        <v>162</v>
      </c>
      <c r="M22" s="5" t="s">
        <v>956</v>
      </c>
      <c r="N22" s="5" t="s">
        <v>61</v>
      </c>
      <c r="O22" s="5" t="s">
        <v>181</v>
      </c>
      <c r="P22" s="5" t="s">
        <v>957</v>
      </c>
      <c r="Q22" s="3" t="s">
        <v>2514</v>
      </c>
      <c r="R22" s="3" t="s">
        <v>2479</v>
      </c>
      <c r="S22" s="3" t="s">
        <v>30</v>
      </c>
      <c r="T22" s="109"/>
      <c r="U22" s="109"/>
      <c r="V22" s="109"/>
    </row>
    <row r="23" ht="22.5" customHeight="1">
      <c r="A23" s="10">
        <v>260122.0</v>
      </c>
      <c r="B23" s="4">
        <v>46029.760711689814</v>
      </c>
      <c r="C23" s="5" t="s">
        <v>927</v>
      </c>
      <c r="D23" s="5" t="s">
        <v>928</v>
      </c>
      <c r="E23" s="5" t="s">
        <v>927</v>
      </c>
      <c r="F23" s="5" t="s">
        <v>64</v>
      </c>
      <c r="G23" s="11" t="s">
        <v>958</v>
      </c>
      <c r="H23" s="11" t="s">
        <v>959</v>
      </c>
      <c r="I23" s="11" t="s">
        <v>960</v>
      </c>
      <c r="J23" s="11" t="s">
        <v>178</v>
      </c>
      <c r="K23" s="11" t="s">
        <v>961</v>
      </c>
      <c r="L23" s="5" t="s">
        <v>30</v>
      </c>
      <c r="M23" s="5" t="s">
        <v>934</v>
      </c>
      <c r="N23" s="5" t="s">
        <v>119</v>
      </c>
      <c r="O23" s="5" t="s">
        <v>51</v>
      </c>
      <c r="P23" s="5" t="s">
        <v>52</v>
      </c>
      <c r="Q23" s="5" t="s">
        <v>2602</v>
      </c>
      <c r="R23" s="5" t="s">
        <v>2334</v>
      </c>
      <c r="S23" s="5" t="s">
        <v>30</v>
      </c>
      <c r="T23" s="11" t="s">
        <v>2810</v>
      </c>
      <c r="U23" s="11" t="s">
        <v>2802</v>
      </c>
      <c r="V23" s="11" t="s">
        <v>2811</v>
      </c>
    </row>
    <row r="24" ht="22.5" customHeight="1">
      <c r="A24" s="96">
        <v>260123.0</v>
      </c>
      <c r="B24" s="97">
        <v>46029.90589017361</v>
      </c>
      <c r="C24" s="98" t="s">
        <v>962</v>
      </c>
      <c r="D24" s="98" t="s">
        <v>963</v>
      </c>
      <c r="E24" s="98" t="s">
        <v>964</v>
      </c>
      <c r="F24" s="98" t="s">
        <v>17</v>
      </c>
      <c r="G24" s="99" t="s">
        <v>965</v>
      </c>
      <c r="H24" s="119" t="s">
        <v>966</v>
      </c>
      <c r="I24" s="99" t="s">
        <v>967</v>
      </c>
      <c r="J24" s="99" t="s">
        <v>968</v>
      </c>
      <c r="K24" s="99" t="s">
        <v>969</v>
      </c>
      <c r="L24" s="98" t="s">
        <v>30</v>
      </c>
      <c r="M24" s="98" t="s">
        <v>970</v>
      </c>
      <c r="N24" s="98" t="s">
        <v>119</v>
      </c>
      <c r="O24" s="98" t="s">
        <v>971</v>
      </c>
      <c r="P24" s="98" t="s">
        <v>972</v>
      </c>
      <c r="Q24" s="98" t="s">
        <v>2381</v>
      </c>
      <c r="R24" s="98" t="s">
        <v>2812</v>
      </c>
      <c r="S24" s="98" t="s">
        <v>162</v>
      </c>
      <c r="T24" s="99" t="s">
        <v>2813</v>
      </c>
      <c r="U24" s="99" t="s">
        <v>2804</v>
      </c>
      <c r="V24" s="119" t="s">
        <v>2814</v>
      </c>
      <c r="W24" s="101"/>
      <c r="X24" s="101"/>
      <c r="Y24" s="101"/>
      <c r="Z24" s="101"/>
      <c r="AA24" s="101"/>
    </row>
    <row r="25" ht="22.5" customHeight="1">
      <c r="A25" s="10">
        <v>260124.0</v>
      </c>
      <c r="B25" s="4">
        <v>46029.90219987268</v>
      </c>
      <c r="C25" s="5" t="s">
        <v>973</v>
      </c>
      <c r="D25" s="5" t="s">
        <v>974</v>
      </c>
      <c r="E25" s="5" t="s">
        <v>973</v>
      </c>
      <c r="F25" s="5" t="s">
        <v>17</v>
      </c>
      <c r="G25" s="11" t="s">
        <v>975</v>
      </c>
      <c r="H25" s="11" t="s">
        <v>976</v>
      </c>
      <c r="I25" s="11" t="s">
        <v>977</v>
      </c>
      <c r="J25" s="11" t="s">
        <v>978</v>
      </c>
      <c r="K25" s="11" t="s">
        <v>979</v>
      </c>
      <c r="L25" s="5" t="s">
        <v>30</v>
      </c>
      <c r="M25" s="5" t="s">
        <v>81</v>
      </c>
      <c r="N25" s="5" t="s">
        <v>119</v>
      </c>
      <c r="O25" s="5" t="s">
        <v>51</v>
      </c>
      <c r="P25" s="5" t="s">
        <v>73</v>
      </c>
      <c r="Q25" s="5" t="s">
        <v>2536</v>
      </c>
      <c r="R25" s="5" t="s">
        <v>2502</v>
      </c>
      <c r="S25" s="5" t="s">
        <v>30</v>
      </c>
      <c r="T25" s="11"/>
      <c r="U25" s="11"/>
      <c r="V25" s="110"/>
    </row>
    <row r="26" ht="22.5" customHeight="1">
      <c r="A26" s="96">
        <v>260125.0</v>
      </c>
      <c r="B26" s="97">
        <v>46032.67451736111</v>
      </c>
      <c r="C26" s="98" t="s">
        <v>980</v>
      </c>
      <c r="D26" s="98" t="s">
        <v>981</v>
      </c>
      <c r="E26" s="98" t="s">
        <v>982</v>
      </c>
      <c r="F26" s="98" t="s">
        <v>64</v>
      </c>
      <c r="G26" s="99" t="s">
        <v>983</v>
      </c>
      <c r="H26" s="119" t="s">
        <v>984</v>
      </c>
      <c r="I26" s="99" t="s">
        <v>985</v>
      </c>
      <c r="J26" s="99" t="s">
        <v>986</v>
      </c>
      <c r="K26" s="99" t="s">
        <v>987</v>
      </c>
      <c r="L26" s="98" t="s">
        <v>30</v>
      </c>
      <c r="M26" s="120" t="s">
        <v>988</v>
      </c>
      <c r="N26" s="98" t="s">
        <v>119</v>
      </c>
      <c r="O26" s="98" t="s">
        <v>72</v>
      </c>
      <c r="P26" s="98" t="s">
        <v>73</v>
      </c>
      <c r="Q26" s="100"/>
      <c r="R26" s="100"/>
      <c r="S26" s="98" t="s">
        <v>162</v>
      </c>
      <c r="T26" s="99" t="s">
        <v>2815</v>
      </c>
      <c r="U26" s="99" t="s">
        <v>2816</v>
      </c>
      <c r="V26" s="119" t="s">
        <v>2817</v>
      </c>
      <c r="W26" s="101"/>
      <c r="X26" s="101"/>
      <c r="Y26" s="101"/>
      <c r="Z26" s="101"/>
      <c r="AA26" s="101"/>
    </row>
    <row r="27" ht="22.5" customHeight="1">
      <c r="A27" s="10">
        <v>260126.0</v>
      </c>
      <c r="B27" s="4">
        <v>46030.2501334838</v>
      </c>
      <c r="C27" s="5" t="s">
        <v>989</v>
      </c>
      <c r="D27" s="5" t="s">
        <v>990</v>
      </c>
      <c r="E27" s="5" t="s">
        <v>991</v>
      </c>
      <c r="F27" s="5" t="s">
        <v>17</v>
      </c>
      <c r="G27" s="11" t="s">
        <v>992</v>
      </c>
      <c r="H27" s="11" t="s">
        <v>993</v>
      </c>
      <c r="I27" s="11" t="s">
        <v>994</v>
      </c>
      <c r="J27" s="11" t="s">
        <v>995</v>
      </c>
      <c r="K27" s="11" t="s">
        <v>996</v>
      </c>
      <c r="L27" s="5" t="s">
        <v>30</v>
      </c>
      <c r="M27" s="5" t="s">
        <v>997</v>
      </c>
      <c r="N27" s="5" t="s">
        <v>25</v>
      </c>
      <c r="O27" s="5" t="s">
        <v>51</v>
      </c>
      <c r="P27" s="5" t="s">
        <v>73</v>
      </c>
      <c r="Q27" s="3" t="s">
        <v>2536</v>
      </c>
      <c r="R27" s="5" t="s">
        <v>2797</v>
      </c>
      <c r="S27" s="3" t="s">
        <v>30</v>
      </c>
      <c r="T27" s="109"/>
      <c r="U27" s="109"/>
      <c r="V27" s="109"/>
    </row>
    <row r="28" ht="22.5" customHeight="1">
      <c r="A28" s="96">
        <v>260127.0</v>
      </c>
      <c r="B28" s="97">
        <v>46030.80529700231</v>
      </c>
      <c r="C28" s="98" t="s">
        <v>998</v>
      </c>
      <c r="D28" s="98" t="s">
        <v>999</v>
      </c>
      <c r="E28" s="98" t="s">
        <v>998</v>
      </c>
      <c r="F28" s="98" t="s">
        <v>64</v>
      </c>
      <c r="G28" s="99" t="s">
        <v>1000</v>
      </c>
      <c r="H28" s="99" t="s">
        <v>1001</v>
      </c>
      <c r="I28" s="99" t="s">
        <v>1002</v>
      </c>
      <c r="J28" s="99" t="s">
        <v>1003</v>
      </c>
      <c r="K28" s="99" t="s">
        <v>1004</v>
      </c>
      <c r="L28" s="98" t="s">
        <v>30</v>
      </c>
      <c r="M28" s="98" t="s">
        <v>1005</v>
      </c>
      <c r="N28" s="98" t="s">
        <v>71</v>
      </c>
      <c r="O28" s="98" t="s">
        <v>51</v>
      </c>
      <c r="P28" s="98" t="s">
        <v>52</v>
      </c>
      <c r="Q28" s="100"/>
      <c r="R28" s="100"/>
      <c r="S28" s="98" t="s">
        <v>162</v>
      </c>
      <c r="T28" s="99" t="s">
        <v>2798</v>
      </c>
      <c r="U28" s="99" t="s">
        <v>2799</v>
      </c>
      <c r="V28" s="99"/>
      <c r="W28" s="101"/>
      <c r="X28" s="101"/>
      <c r="Y28" s="101"/>
      <c r="Z28" s="101"/>
      <c r="AA28" s="101"/>
    </row>
    <row r="29" ht="22.5" customHeight="1">
      <c r="A29" s="10">
        <v>260128.0</v>
      </c>
      <c r="B29" s="4">
        <v>46030.8079758449</v>
      </c>
      <c r="C29" s="5" t="s">
        <v>998</v>
      </c>
      <c r="D29" s="5" t="s">
        <v>999</v>
      </c>
      <c r="E29" s="5" t="s">
        <v>998</v>
      </c>
      <c r="F29" s="5" t="s">
        <v>64</v>
      </c>
      <c r="G29" s="11" t="s">
        <v>1006</v>
      </c>
      <c r="H29" s="11" t="s">
        <v>1007</v>
      </c>
      <c r="I29" s="11" t="s">
        <v>1008</v>
      </c>
      <c r="J29" s="11" t="s">
        <v>1009</v>
      </c>
      <c r="K29" s="11" t="s">
        <v>1010</v>
      </c>
      <c r="L29" s="5" t="s">
        <v>30</v>
      </c>
      <c r="M29" s="5" t="s">
        <v>934</v>
      </c>
      <c r="N29" s="5" t="s">
        <v>71</v>
      </c>
      <c r="O29" s="5" t="s">
        <v>51</v>
      </c>
      <c r="P29" s="5" t="s">
        <v>52</v>
      </c>
      <c r="Q29" s="5" t="s">
        <v>2549</v>
      </c>
      <c r="R29" s="5" t="s">
        <v>2544</v>
      </c>
      <c r="S29" s="5" t="s">
        <v>30</v>
      </c>
      <c r="T29" s="11" t="s">
        <v>2818</v>
      </c>
      <c r="U29" s="11" t="s">
        <v>2802</v>
      </c>
      <c r="V29" s="11" t="s">
        <v>2819</v>
      </c>
    </row>
    <row r="30" ht="22.5" customHeight="1">
      <c r="A30" s="10">
        <v>260129.0</v>
      </c>
      <c r="B30" s="4">
        <v>46030.86436047454</v>
      </c>
      <c r="C30" s="5" t="s">
        <v>1011</v>
      </c>
      <c r="D30" s="5" t="s">
        <v>1012</v>
      </c>
      <c r="E30" s="5" t="s">
        <v>1011</v>
      </c>
      <c r="F30" s="5" t="s">
        <v>17</v>
      </c>
      <c r="G30" s="11" t="s">
        <v>1013</v>
      </c>
      <c r="H30" s="11" t="s">
        <v>1014</v>
      </c>
      <c r="I30" s="11" t="s">
        <v>1015</v>
      </c>
      <c r="J30" s="11" t="s">
        <v>1016</v>
      </c>
      <c r="K30" s="11" t="s">
        <v>1017</v>
      </c>
      <c r="L30" s="5" t="s">
        <v>30</v>
      </c>
      <c r="M30" s="5" t="s">
        <v>1018</v>
      </c>
      <c r="N30" s="5" t="s">
        <v>119</v>
      </c>
      <c r="O30" s="5" t="s">
        <v>1019</v>
      </c>
      <c r="P30" s="5" t="s">
        <v>1020</v>
      </c>
      <c r="Q30" s="5" t="s">
        <v>2396</v>
      </c>
      <c r="R30" s="5" t="s">
        <v>2389</v>
      </c>
      <c r="S30" s="5" t="s">
        <v>30</v>
      </c>
      <c r="T30" s="121"/>
      <c r="U30" s="121"/>
      <c r="V30" s="121"/>
    </row>
    <row r="31" ht="22.5" customHeight="1">
      <c r="A31" s="10">
        <v>260130.0</v>
      </c>
      <c r="B31" s="4">
        <v>46030.967444548616</v>
      </c>
      <c r="C31" s="5" t="s">
        <v>1021</v>
      </c>
      <c r="D31" s="5" t="s">
        <v>1022</v>
      </c>
      <c r="E31" s="5" t="s">
        <v>1021</v>
      </c>
      <c r="F31" s="5" t="s">
        <v>17</v>
      </c>
      <c r="G31" s="11" t="s">
        <v>1023</v>
      </c>
      <c r="H31" s="11" t="s">
        <v>1024</v>
      </c>
      <c r="I31" s="11" t="s">
        <v>1025</v>
      </c>
      <c r="J31" s="11" t="s">
        <v>1026</v>
      </c>
      <c r="K31" s="11" t="s">
        <v>1027</v>
      </c>
      <c r="L31" s="5" t="s">
        <v>23</v>
      </c>
      <c r="M31" s="5" t="s">
        <v>445</v>
      </c>
      <c r="N31" s="5" t="s">
        <v>119</v>
      </c>
      <c r="O31" s="5" t="s">
        <v>51</v>
      </c>
      <c r="P31" s="5" t="s">
        <v>1028</v>
      </c>
      <c r="Q31" s="3" t="s">
        <v>2466</v>
      </c>
      <c r="R31" s="3" t="s">
        <v>2560</v>
      </c>
      <c r="S31" s="3" t="s">
        <v>30</v>
      </c>
      <c r="T31" s="109"/>
      <c r="U31" s="109"/>
      <c r="V31" s="109"/>
    </row>
    <row r="32" ht="22.5" customHeight="1">
      <c r="A32" s="10">
        <v>260131.0</v>
      </c>
      <c r="B32" s="4">
        <v>46031.41039965278</v>
      </c>
      <c r="C32" s="5" t="s">
        <v>1029</v>
      </c>
      <c r="D32" s="5" t="s">
        <v>1030</v>
      </c>
      <c r="E32" s="5" t="s">
        <v>1029</v>
      </c>
      <c r="F32" s="5" t="s">
        <v>17</v>
      </c>
      <c r="G32" s="11" t="s">
        <v>1031</v>
      </c>
      <c r="H32" s="11" t="s">
        <v>1032</v>
      </c>
      <c r="I32" s="11" t="s">
        <v>1033</v>
      </c>
      <c r="J32" s="11" t="s">
        <v>1034</v>
      </c>
      <c r="K32" s="11" t="s">
        <v>1035</v>
      </c>
      <c r="L32" s="5" t="s">
        <v>30</v>
      </c>
      <c r="M32" s="5" t="s">
        <v>1036</v>
      </c>
      <c r="N32" s="5" t="s">
        <v>1037</v>
      </c>
      <c r="O32" s="5" t="s">
        <v>51</v>
      </c>
      <c r="P32" s="5" t="s">
        <v>446</v>
      </c>
      <c r="Q32" s="5" t="s">
        <v>2592</v>
      </c>
      <c r="R32" s="5" t="s">
        <v>2597</v>
      </c>
      <c r="S32" s="5" t="s">
        <v>30</v>
      </c>
      <c r="T32" s="11"/>
      <c r="U32" s="11"/>
      <c r="V32" s="11" t="s">
        <v>2820</v>
      </c>
    </row>
    <row r="33" ht="22.5" customHeight="1">
      <c r="A33" s="10">
        <v>260132.0</v>
      </c>
      <c r="B33" s="4">
        <v>46031.809903437505</v>
      </c>
      <c r="C33" s="5" t="s">
        <v>1038</v>
      </c>
      <c r="D33" s="5" t="s">
        <v>1039</v>
      </c>
      <c r="E33" s="5" t="s">
        <v>1038</v>
      </c>
      <c r="F33" s="5" t="s">
        <v>17</v>
      </c>
      <c r="G33" s="11" t="s">
        <v>1040</v>
      </c>
      <c r="H33" s="11" t="s">
        <v>1041</v>
      </c>
      <c r="I33" s="11" t="s">
        <v>1042</v>
      </c>
      <c r="J33" s="11" t="s">
        <v>1043</v>
      </c>
      <c r="K33" s="11" t="s">
        <v>1044</v>
      </c>
      <c r="L33" s="5" t="s">
        <v>162</v>
      </c>
      <c r="M33" s="5" t="s">
        <v>1045</v>
      </c>
      <c r="N33" s="5" t="s">
        <v>61</v>
      </c>
      <c r="O33" s="5" t="s">
        <v>267</v>
      </c>
      <c r="P33" s="5" t="s">
        <v>267</v>
      </c>
      <c r="Q33" s="3" t="s">
        <v>2560</v>
      </c>
      <c r="R33" s="5" t="s">
        <v>2389</v>
      </c>
      <c r="S33" s="3" t="s">
        <v>30</v>
      </c>
      <c r="T33" s="109"/>
      <c r="U33" s="109"/>
      <c r="V33" s="109"/>
    </row>
    <row r="34" ht="22.5" customHeight="1">
      <c r="A34" s="10">
        <v>260133.0</v>
      </c>
      <c r="B34" s="4">
        <v>46031.814995023145</v>
      </c>
      <c r="C34" s="5" t="s">
        <v>1046</v>
      </c>
      <c r="D34" s="5" t="s">
        <v>1047</v>
      </c>
      <c r="E34" s="5" t="s">
        <v>1046</v>
      </c>
      <c r="F34" s="5" t="s">
        <v>64</v>
      </c>
      <c r="G34" s="11" t="s">
        <v>1048</v>
      </c>
      <c r="H34" s="11" t="s">
        <v>1049</v>
      </c>
      <c r="I34" s="11" t="s">
        <v>384</v>
      </c>
      <c r="J34" s="11" t="s">
        <v>1050</v>
      </c>
      <c r="K34" s="11" t="s">
        <v>1051</v>
      </c>
      <c r="L34" s="5" t="s">
        <v>23</v>
      </c>
      <c r="M34" s="5" t="s">
        <v>1052</v>
      </c>
      <c r="N34" s="5" t="s">
        <v>456</v>
      </c>
      <c r="O34" s="5" t="s">
        <v>1053</v>
      </c>
      <c r="P34" s="5" t="s">
        <v>1053</v>
      </c>
      <c r="Q34" s="5" t="s">
        <v>2427</v>
      </c>
      <c r="R34" s="5" t="s">
        <v>2359</v>
      </c>
      <c r="S34" s="5" t="s">
        <v>30</v>
      </c>
      <c r="T34" s="11"/>
      <c r="U34" s="11"/>
      <c r="V34" s="11" t="s">
        <v>2821</v>
      </c>
    </row>
    <row r="35" ht="22.5" customHeight="1">
      <c r="A35" s="10">
        <v>260134.0</v>
      </c>
      <c r="B35" s="4">
        <v>46031.869181030095</v>
      </c>
      <c r="C35" s="5" t="s">
        <v>1054</v>
      </c>
      <c r="D35" s="5" t="s">
        <v>1055</v>
      </c>
      <c r="E35" s="5" t="s">
        <v>1054</v>
      </c>
      <c r="F35" s="5" t="s">
        <v>17</v>
      </c>
      <c r="G35" s="11" t="s">
        <v>1056</v>
      </c>
      <c r="H35" s="11" t="s">
        <v>1057</v>
      </c>
      <c r="I35" s="11" t="s">
        <v>1058</v>
      </c>
      <c r="J35" s="11" t="s">
        <v>1059</v>
      </c>
      <c r="K35" s="11" t="s">
        <v>1060</v>
      </c>
      <c r="L35" s="5" t="s">
        <v>23</v>
      </c>
      <c r="M35" s="5" t="s">
        <v>1061</v>
      </c>
      <c r="N35" s="5" t="s">
        <v>71</v>
      </c>
      <c r="O35" s="5" t="s">
        <v>181</v>
      </c>
      <c r="P35" s="5" t="s">
        <v>660</v>
      </c>
      <c r="Q35" s="3" t="s">
        <v>2381</v>
      </c>
      <c r="R35" s="5" t="s">
        <v>2502</v>
      </c>
      <c r="S35" s="3" t="s">
        <v>30</v>
      </c>
      <c r="T35" s="109"/>
      <c r="U35" s="109"/>
      <c r="V35" s="109"/>
    </row>
    <row r="36" ht="22.5" customHeight="1">
      <c r="A36" s="10">
        <v>260135.0</v>
      </c>
      <c r="B36" s="4">
        <v>46031.951022002315</v>
      </c>
      <c r="C36" s="5" t="s">
        <v>1062</v>
      </c>
      <c r="D36" s="5" t="s">
        <v>1063</v>
      </c>
      <c r="E36" s="5" t="s">
        <v>1062</v>
      </c>
      <c r="F36" s="5" t="s">
        <v>64</v>
      </c>
      <c r="G36" s="11" t="s">
        <v>1064</v>
      </c>
      <c r="H36" s="11" t="s">
        <v>1065</v>
      </c>
      <c r="I36" s="11" t="s">
        <v>1066</v>
      </c>
      <c r="J36" s="11" t="s">
        <v>51</v>
      </c>
      <c r="K36" s="11" t="s">
        <v>1067</v>
      </c>
      <c r="L36" s="5" t="s">
        <v>162</v>
      </c>
      <c r="M36" s="5" t="s">
        <v>1068</v>
      </c>
      <c r="N36" s="5" t="s">
        <v>25</v>
      </c>
      <c r="O36" s="5" t="s">
        <v>1069</v>
      </c>
      <c r="P36" s="5" t="s">
        <v>1070</v>
      </c>
      <c r="Q36" s="5" t="s">
        <v>2514</v>
      </c>
      <c r="R36" s="5" t="s">
        <v>2640</v>
      </c>
      <c r="S36" s="5" t="s">
        <v>30</v>
      </c>
      <c r="T36" s="11" t="s">
        <v>2822</v>
      </c>
      <c r="U36" s="11" t="s">
        <v>2802</v>
      </c>
      <c r="V36" s="11" t="s">
        <v>2823</v>
      </c>
    </row>
    <row r="37" ht="22.5" customHeight="1">
      <c r="A37" s="10">
        <v>260136.0</v>
      </c>
      <c r="B37" s="4">
        <v>46032.17244997685</v>
      </c>
      <c r="C37" s="5" t="s">
        <v>508</v>
      </c>
      <c r="D37" s="5" t="s">
        <v>1071</v>
      </c>
      <c r="E37" s="5" t="s">
        <v>508</v>
      </c>
      <c r="F37" s="5" t="s">
        <v>17</v>
      </c>
      <c r="G37" s="11" t="s">
        <v>510</v>
      </c>
      <c r="H37" s="11" t="s">
        <v>1072</v>
      </c>
      <c r="I37" s="11" t="s">
        <v>512</v>
      </c>
      <c r="J37" s="11" t="s">
        <v>1073</v>
      </c>
      <c r="K37" s="11" t="s">
        <v>1074</v>
      </c>
      <c r="L37" s="5" t="s">
        <v>30</v>
      </c>
      <c r="M37" s="5" t="s">
        <v>1075</v>
      </c>
      <c r="N37" s="5" t="s">
        <v>119</v>
      </c>
      <c r="O37" s="5" t="s">
        <v>51</v>
      </c>
      <c r="P37" s="5" t="s">
        <v>52</v>
      </c>
      <c r="Q37" s="3" t="s">
        <v>2334</v>
      </c>
      <c r="R37" s="3" t="s">
        <v>2549</v>
      </c>
      <c r="S37" s="3" t="s">
        <v>30</v>
      </c>
      <c r="T37" s="109"/>
      <c r="U37" s="109"/>
      <c r="V37" s="109"/>
    </row>
    <row r="38" ht="22.5" customHeight="1">
      <c r="A38" s="10">
        <v>260137.0</v>
      </c>
      <c r="B38" s="4">
        <v>46032.187756168976</v>
      </c>
      <c r="C38" s="5" t="s">
        <v>1076</v>
      </c>
      <c r="D38" s="5" t="s">
        <v>1077</v>
      </c>
      <c r="E38" s="5" t="s">
        <v>1076</v>
      </c>
      <c r="F38" s="5" t="s">
        <v>17</v>
      </c>
      <c r="G38" s="11" t="s">
        <v>1078</v>
      </c>
      <c r="H38" s="11" t="s">
        <v>1079</v>
      </c>
      <c r="I38" s="11" t="s">
        <v>1080</v>
      </c>
      <c r="J38" s="11" t="s">
        <v>21</v>
      </c>
      <c r="K38" s="11" t="s">
        <v>607</v>
      </c>
      <c r="L38" s="5" t="s">
        <v>23</v>
      </c>
      <c r="M38" s="5" t="s">
        <v>1081</v>
      </c>
      <c r="N38" s="5" t="s">
        <v>61</v>
      </c>
      <c r="O38" s="5" t="s">
        <v>1019</v>
      </c>
      <c r="P38" s="5" t="s">
        <v>1020</v>
      </c>
      <c r="Q38" s="3" t="s">
        <v>2560</v>
      </c>
      <c r="R38" s="3" t="s">
        <v>2466</v>
      </c>
      <c r="S38" s="3" t="s">
        <v>30</v>
      </c>
      <c r="T38" s="109"/>
      <c r="U38" s="109"/>
      <c r="V38" s="109"/>
    </row>
    <row r="39" ht="22.5" customHeight="1">
      <c r="A39" s="10">
        <v>260138.0</v>
      </c>
      <c r="B39" s="4">
        <v>46032.21051979167</v>
      </c>
      <c r="C39" s="5" t="s">
        <v>1082</v>
      </c>
      <c r="D39" s="5" t="s">
        <v>1083</v>
      </c>
      <c r="E39" s="5" t="s">
        <v>1082</v>
      </c>
      <c r="F39" s="5" t="s">
        <v>17</v>
      </c>
      <c r="G39" s="11" t="s">
        <v>1084</v>
      </c>
      <c r="H39" s="11" t="s">
        <v>1085</v>
      </c>
      <c r="I39" s="11" t="s">
        <v>38</v>
      </c>
      <c r="J39" s="11" t="s">
        <v>1086</v>
      </c>
      <c r="K39" s="11" t="s">
        <v>1087</v>
      </c>
      <c r="L39" s="5" t="s">
        <v>162</v>
      </c>
      <c r="M39" s="5" t="s">
        <v>1088</v>
      </c>
      <c r="N39" s="5" t="s">
        <v>119</v>
      </c>
      <c r="O39" s="5" t="s">
        <v>40</v>
      </c>
      <c r="P39" s="5" t="s">
        <v>40</v>
      </c>
      <c r="Q39" s="3" t="s">
        <v>2401</v>
      </c>
      <c r="R39" s="3" t="s">
        <v>2359</v>
      </c>
      <c r="S39" s="3" t="s">
        <v>30</v>
      </c>
      <c r="T39" s="109"/>
      <c r="U39" s="109"/>
      <c r="V39" s="109"/>
    </row>
    <row r="40" ht="22.5" customHeight="1">
      <c r="A40" s="10">
        <v>260139.0</v>
      </c>
      <c r="B40" s="4">
        <v>46032.212561168984</v>
      </c>
      <c r="C40" s="5" t="s">
        <v>1089</v>
      </c>
      <c r="D40" s="5" t="s">
        <v>1090</v>
      </c>
      <c r="E40" s="5" t="s">
        <v>1089</v>
      </c>
      <c r="F40" s="5" t="s">
        <v>17</v>
      </c>
      <c r="G40" s="11" t="s">
        <v>1091</v>
      </c>
      <c r="H40" s="11" t="s">
        <v>1092</v>
      </c>
      <c r="I40" s="11" t="s">
        <v>1093</v>
      </c>
      <c r="J40" s="11" t="s">
        <v>1094</v>
      </c>
      <c r="K40" s="11" t="s">
        <v>1095</v>
      </c>
      <c r="L40" s="5" t="s">
        <v>30</v>
      </c>
      <c r="M40" s="5" t="s">
        <v>1096</v>
      </c>
      <c r="N40" s="5" t="s">
        <v>119</v>
      </c>
      <c r="O40" s="5" t="s">
        <v>51</v>
      </c>
      <c r="P40" s="5" t="s">
        <v>52</v>
      </c>
      <c r="Q40" s="3" t="s">
        <v>2396</v>
      </c>
      <c r="R40" s="3" t="s">
        <v>2508</v>
      </c>
      <c r="S40" s="3" t="s">
        <v>30</v>
      </c>
      <c r="T40" s="109"/>
      <c r="U40" s="109"/>
      <c r="V40" s="109"/>
    </row>
    <row r="41" ht="22.5" customHeight="1">
      <c r="A41" s="10">
        <v>260140.0</v>
      </c>
      <c r="B41" s="4">
        <v>46032.36972662037</v>
      </c>
      <c r="C41" s="5" t="s">
        <v>1097</v>
      </c>
      <c r="D41" s="5" t="s">
        <v>1098</v>
      </c>
      <c r="E41" s="5" t="s">
        <v>1097</v>
      </c>
      <c r="F41" s="5" t="s">
        <v>17</v>
      </c>
      <c r="G41" s="11" t="s">
        <v>1099</v>
      </c>
      <c r="H41" s="11" t="s">
        <v>1100</v>
      </c>
      <c r="I41" s="11" t="s">
        <v>1101</v>
      </c>
      <c r="J41" s="11" t="s">
        <v>1102</v>
      </c>
      <c r="K41" s="11" t="s">
        <v>1103</v>
      </c>
      <c r="L41" s="5" t="s">
        <v>30</v>
      </c>
      <c r="M41" s="5" t="s">
        <v>1045</v>
      </c>
      <c r="N41" s="5" t="s">
        <v>119</v>
      </c>
      <c r="O41" s="5" t="s">
        <v>267</v>
      </c>
      <c r="P41" s="5" t="s">
        <v>268</v>
      </c>
      <c r="Q41" s="3" t="s">
        <v>2334</v>
      </c>
      <c r="R41" s="3" t="s">
        <v>2549</v>
      </c>
      <c r="S41" s="3" t="s">
        <v>30</v>
      </c>
      <c r="T41" s="109"/>
      <c r="U41" s="109"/>
      <c r="V41" s="109"/>
    </row>
    <row r="42" ht="22.5" customHeight="1">
      <c r="A42" s="10">
        <v>260141.0</v>
      </c>
      <c r="B42" s="4">
        <v>46032.79998239584</v>
      </c>
      <c r="C42" s="5" t="s">
        <v>1104</v>
      </c>
      <c r="D42" s="5" t="s">
        <v>1105</v>
      </c>
      <c r="E42" s="5" t="s">
        <v>1104</v>
      </c>
      <c r="F42" s="5" t="s">
        <v>17</v>
      </c>
      <c r="G42" s="11" t="s">
        <v>1106</v>
      </c>
      <c r="H42" s="11" t="s">
        <v>1107</v>
      </c>
      <c r="I42" s="11" t="s">
        <v>470</v>
      </c>
      <c r="J42" s="11" t="s">
        <v>21</v>
      </c>
      <c r="K42" s="11" t="s">
        <v>1108</v>
      </c>
      <c r="L42" s="5" t="s">
        <v>30</v>
      </c>
      <c r="M42" s="5" t="s">
        <v>1109</v>
      </c>
      <c r="N42" s="5" t="s">
        <v>61</v>
      </c>
      <c r="O42" s="5" t="s">
        <v>181</v>
      </c>
      <c r="P42" s="5" t="s">
        <v>660</v>
      </c>
      <c r="Q42" s="3" t="s">
        <v>2466</v>
      </c>
      <c r="R42" s="3" t="s">
        <v>2560</v>
      </c>
      <c r="S42" s="3" t="s">
        <v>30</v>
      </c>
      <c r="T42" s="109"/>
      <c r="U42" s="109"/>
      <c r="V42" s="109"/>
    </row>
    <row r="43" ht="22.5" customHeight="1">
      <c r="A43" s="10">
        <v>260142.0</v>
      </c>
      <c r="B43" s="4">
        <v>46032.968326030095</v>
      </c>
      <c r="C43" s="5" t="s">
        <v>1110</v>
      </c>
      <c r="D43" s="5" t="s">
        <v>1111</v>
      </c>
      <c r="E43" s="5" t="s">
        <v>1110</v>
      </c>
      <c r="F43" s="5" t="s">
        <v>17</v>
      </c>
      <c r="G43" s="11" t="s">
        <v>1112</v>
      </c>
      <c r="H43" s="11" t="s">
        <v>1113</v>
      </c>
      <c r="I43" s="11" t="s">
        <v>142</v>
      </c>
      <c r="J43" s="11" t="s">
        <v>1114</v>
      </c>
      <c r="K43" s="11" t="s">
        <v>1115</v>
      </c>
      <c r="L43" s="5" t="s">
        <v>162</v>
      </c>
      <c r="M43" s="5" t="s">
        <v>1116</v>
      </c>
      <c r="N43" s="5" t="s">
        <v>119</v>
      </c>
      <c r="O43" s="5" t="s">
        <v>446</v>
      </c>
      <c r="P43" s="5" t="s">
        <v>1117</v>
      </c>
      <c r="Q43" s="3" t="s">
        <v>2549</v>
      </c>
      <c r="R43" s="3" t="s">
        <v>2520</v>
      </c>
      <c r="S43" s="3" t="s">
        <v>30</v>
      </c>
      <c r="T43" s="109"/>
      <c r="U43" s="109"/>
      <c r="V43" s="109"/>
    </row>
    <row r="44" ht="22.5" customHeight="1">
      <c r="A44" s="10">
        <v>260143.0</v>
      </c>
      <c r="B44" s="4">
        <v>46033.06286907407</v>
      </c>
      <c r="C44" s="5" t="s">
        <v>1118</v>
      </c>
      <c r="D44" s="5" t="s">
        <v>1119</v>
      </c>
      <c r="E44" s="5" t="s">
        <v>1118</v>
      </c>
      <c r="F44" s="5" t="s">
        <v>17</v>
      </c>
      <c r="G44" s="11" t="s">
        <v>1120</v>
      </c>
      <c r="H44" s="11" t="s">
        <v>1121</v>
      </c>
      <c r="I44" s="11" t="s">
        <v>1122</v>
      </c>
      <c r="J44" s="11" t="s">
        <v>1123</v>
      </c>
      <c r="K44" s="11" t="s">
        <v>1124</v>
      </c>
      <c r="L44" s="5" t="s">
        <v>30</v>
      </c>
      <c r="M44" s="5" t="s">
        <v>1125</v>
      </c>
      <c r="N44" s="5" t="s">
        <v>164</v>
      </c>
      <c r="O44" s="5" t="s">
        <v>51</v>
      </c>
      <c r="P44" s="5" t="s">
        <v>73</v>
      </c>
      <c r="Q44" s="5" t="s">
        <v>2623</v>
      </c>
      <c r="R44" s="5" t="s">
        <v>2635</v>
      </c>
      <c r="S44" s="5" t="s">
        <v>30</v>
      </c>
      <c r="T44" s="11" t="s">
        <v>2824</v>
      </c>
      <c r="U44" s="11" t="s">
        <v>2802</v>
      </c>
      <c r="V44" s="11" t="s">
        <v>2825</v>
      </c>
    </row>
    <row r="45" ht="22.5" customHeight="1">
      <c r="A45" s="10">
        <v>260144.0</v>
      </c>
      <c r="B45" s="4">
        <v>46033.07515513889</v>
      </c>
      <c r="C45" s="5" t="s">
        <v>1126</v>
      </c>
      <c r="D45" s="5" t="s">
        <v>1127</v>
      </c>
      <c r="E45" s="5" t="s">
        <v>1126</v>
      </c>
      <c r="F45" s="5" t="s">
        <v>64</v>
      </c>
      <c r="G45" s="11" t="s">
        <v>1128</v>
      </c>
      <c r="H45" s="11" t="s">
        <v>1129</v>
      </c>
      <c r="I45" s="11" t="s">
        <v>274</v>
      </c>
      <c r="J45" s="11" t="s">
        <v>1130</v>
      </c>
      <c r="K45" s="11" t="s">
        <v>1131</v>
      </c>
      <c r="L45" s="5" t="s">
        <v>30</v>
      </c>
      <c r="M45" s="5" t="s">
        <v>1132</v>
      </c>
      <c r="N45" s="5" t="s">
        <v>71</v>
      </c>
      <c r="O45" s="5" t="s">
        <v>51</v>
      </c>
      <c r="P45" s="5" t="s">
        <v>52</v>
      </c>
      <c r="Q45" s="5" t="s">
        <v>2635</v>
      </c>
      <c r="R45" s="5" t="s">
        <v>2618</v>
      </c>
      <c r="S45" s="5" t="s">
        <v>30</v>
      </c>
      <c r="T45" s="11"/>
      <c r="U45" s="11"/>
      <c r="V45" s="11" t="s">
        <v>2826</v>
      </c>
    </row>
    <row r="46" ht="22.5" customHeight="1">
      <c r="A46" s="10">
        <v>260145.0</v>
      </c>
      <c r="B46" s="4">
        <v>46033.09540798611</v>
      </c>
      <c r="C46" s="5" t="s">
        <v>1133</v>
      </c>
      <c r="D46" s="5" t="s">
        <v>1134</v>
      </c>
      <c r="E46" s="5" t="s">
        <v>1133</v>
      </c>
      <c r="F46" s="5" t="s">
        <v>17</v>
      </c>
      <c r="G46" s="11" t="s">
        <v>1135</v>
      </c>
      <c r="H46" s="11" t="s">
        <v>1136</v>
      </c>
      <c r="I46" s="11" t="s">
        <v>1137</v>
      </c>
      <c r="J46" s="11" t="s">
        <v>1138</v>
      </c>
      <c r="K46" s="11" t="s">
        <v>1139</v>
      </c>
      <c r="L46" s="5" t="s">
        <v>23</v>
      </c>
      <c r="M46" s="5" t="s">
        <v>1140</v>
      </c>
      <c r="N46" s="5" t="s">
        <v>39</v>
      </c>
      <c r="O46" s="5" t="s">
        <v>592</v>
      </c>
      <c r="P46" s="5" t="s">
        <v>1141</v>
      </c>
      <c r="Q46" s="3" t="s">
        <v>2344</v>
      </c>
      <c r="R46" s="3" t="s">
        <v>2607</v>
      </c>
      <c r="S46" s="3" t="s">
        <v>30</v>
      </c>
      <c r="T46" s="109"/>
      <c r="U46" s="109"/>
      <c r="V46" s="109"/>
    </row>
    <row r="47" ht="22.5" customHeight="1">
      <c r="A47" s="10">
        <v>260146.0</v>
      </c>
      <c r="B47" s="4">
        <v>46033.11466719907</v>
      </c>
      <c r="C47" s="5" t="s">
        <v>1142</v>
      </c>
      <c r="D47" s="5" t="s">
        <v>1143</v>
      </c>
      <c r="E47" s="5" t="s">
        <v>1142</v>
      </c>
      <c r="F47" s="5" t="s">
        <v>17</v>
      </c>
      <c r="G47" s="11" t="s">
        <v>1144</v>
      </c>
      <c r="H47" s="11" t="s">
        <v>1145</v>
      </c>
      <c r="I47" s="11" t="s">
        <v>1146</v>
      </c>
      <c r="J47" s="11" t="s">
        <v>1147</v>
      </c>
      <c r="K47" s="11" t="s">
        <v>1148</v>
      </c>
      <c r="L47" s="5" t="s">
        <v>162</v>
      </c>
      <c r="M47" s="5" t="s">
        <v>1116</v>
      </c>
      <c r="N47" s="5" t="s">
        <v>119</v>
      </c>
      <c r="O47" s="5" t="s">
        <v>833</v>
      </c>
      <c r="P47" s="5" t="s">
        <v>446</v>
      </c>
      <c r="Q47" s="3" t="s">
        <v>2827</v>
      </c>
      <c r="R47" s="3" t="s">
        <v>2427</v>
      </c>
      <c r="S47" s="3" t="s">
        <v>30</v>
      </c>
      <c r="T47" s="109"/>
      <c r="U47" s="109"/>
      <c r="V47" s="109"/>
    </row>
    <row r="48" ht="22.5" customHeight="1">
      <c r="A48" s="10">
        <v>260147.0</v>
      </c>
      <c r="B48" s="4">
        <v>46033.14345667824</v>
      </c>
      <c r="C48" s="5" t="s">
        <v>1149</v>
      </c>
      <c r="D48" s="5" t="s">
        <v>1150</v>
      </c>
      <c r="E48" s="5" t="s">
        <v>1149</v>
      </c>
      <c r="F48" s="5" t="s">
        <v>17</v>
      </c>
      <c r="G48" s="11" t="s">
        <v>1151</v>
      </c>
      <c r="H48" s="11" t="s">
        <v>1152</v>
      </c>
      <c r="I48" s="11" t="s">
        <v>1153</v>
      </c>
      <c r="J48" s="11" t="s">
        <v>1154</v>
      </c>
      <c r="K48" s="11" t="s">
        <v>1155</v>
      </c>
      <c r="L48" s="5" t="s">
        <v>30</v>
      </c>
      <c r="M48" s="5" t="s">
        <v>1156</v>
      </c>
      <c r="N48" s="5" t="s">
        <v>71</v>
      </c>
      <c r="O48" s="5" t="s">
        <v>51</v>
      </c>
      <c r="P48" s="5" t="s">
        <v>52</v>
      </c>
      <c r="Q48" s="3" t="s">
        <v>2828</v>
      </c>
      <c r="R48" s="3" t="s">
        <v>2827</v>
      </c>
      <c r="S48" s="3" t="s">
        <v>30</v>
      </c>
      <c r="T48" s="109"/>
      <c r="U48" s="109"/>
      <c r="V48" s="109"/>
    </row>
    <row r="49" ht="22.5" customHeight="1">
      <c r="A49" s="10">
        <v>260148.0</v>
      </c>
      <c r="B49" s="4">
        <v>46038.21836503472</v>
      </c>
      <c r="C49" s="5" t="s">
        <v>1157</v>
      </c>
      <c r="D49" s="5" t="s">
        <v>1158</v>
      </c>
      <c r="E49" s="5" t="s">
        <v>1157</v>
      </c>
      <c r="F49" s="5" t="s">
        <v>17</v>
      </c>
      <c r="G49" s="11" t="s">
        <v>1159</v>
      </c>
      <c r="H49" s="11" t="s">
        <v>1160</v>
      </c>
      <c r="I49" s="11" t="s">
        <v>1161</v>
      </c>
      <c r="J49" s="11" t="s">
        <v>1162</v>
      </c>
      <c r="K49" s="11" t="s">
        <v>1163</v>
      </c>
      <c r="L49" s="5" t="s">
        <v>162</v>
      </c>
      <c r="M49" s="5" t="s">
        <v>1164</v>
      </c>
      <c r="N49" s="5" t="s">
        <v>119</v>
      </c>
      <c r="O49" s="5" t="s">
        <v>200</v>
      </c>
      <c r="P49" s="5" t="s">
        <v>201</v>
      </c>
      <c r="Q49" s="3" t="s">
        <v>2381</v>
      </c>
      <c r="R49" s="3" t="s">
        <v>2520</v>
      </c>
      <c r="S49" s="3" t="s">
        <v>30</v>
      </c>
      <c r="T49" s="109"/>
      <c r="U49" s="109"/>
      <c r="V49" s="109"/>
    </row>
    <row r="50" ht="22.5" customHeight="1">
      <c r="A50" s="10">
        <v>260149.0</v>
      </c>
      <c r="B50" s="4">
        <v>46033.739820092596</v>
      </c>
      <c r="C50" s="5" t="s">
        <v>1165</v>
      </c>
      <c r="D50" s="5" t="s">
        <v>1166</v>
      </c>
      <c r="E50" s="5" t="s">
        <v>1165</v>
      </c>
      <c r="F50" s="5" t="s">
        <v>17</v>
      </c>
      <c r="G50" s="11" t="s">
        <v>1167</v>
      </c>
      <c r="H50" s="11" t="s">
        <v>1168</v>
      </c>
      <c r="I50" s="11" t="s">
        <v>1169</v>
      </c>
      <c r="J50" s="11" t="s">
        <v>1170</v>
      </c>
      <c r="K50" s="11" t="s">
        <v>142</v>
      </c>
      <c r="L50" s="5" t="s">
        <v>162</v>
      </c>
      <c r="M50" s="5" t="s">
        <v>1171</v>
      </c>
      <c r="N50" s="5" t="s">
        <v>71</v>
      </c>
      <c r="O50" s="5" t="s">
        <v>734</v>
      </c>
      <c r="P50" s="5" t="s">
        <v>182</v>
      </c>
      <c r="Q50" s="3" t="s">
        <v>2549</v>
      </c>
      <c r="R50" s="3" t="s">
        <v>2554</v>
      </c>
      <c r="S50" s="3" t="s">
        <v>30</v>
      </c>
      <c r="T50" s="109"/>
      <c r="U50" s="109"/>
      <c r="V50" s="109"/>
    </row>
    <row r="51" ht="22.5" customHeight="1">
      <c r="A51" s="10">
        <v>260150.0</v>
      </c>
      <c r="B51" s="4">
        <v>46033.98507614584</v>
      </c>
      <c r="C51" s="5" t="s">
        <v>1172</v>
      </c>
      <c r="D51" s="5" t="s">
        <v>1173</v>
      </c>
      <c r="E51" s="5" t="s">
        <v>1172</v>
      </c>
      <c r="F51" s="5" t="s">
        <v>17</v>
      </c>
      <c r="G51" s="11" t="s">
        <v>1174</v>
      </c>
      <c r="H51" s="11" t="s">
        <v>1175</v>
      </c>
      <c r="I51" s="11" t="s">
        <v>1176</v>
      </c>
      <c r="J51" s="11" t="s">
        <v>1177</v>
      </c>
      <c r="K51" s="11" t="s">
        <v>1178</v>
      </c>
      <c r="L51" s="5" t="s">
        <v>162</v>
      </c>
      <c r="M51" s="5" t="s">
        <v>1179</v>
      </c>
      <c r="N51" s="5" t="s">
        <v>61</v>
      </c>
      <c r="O51" s="5" t="s">
        <v>181</v>
      </c>
      <c r="P51" s="5" t="s">
        <v>268</v>
      </c>
      <c r="Q51" s="3" t="s">
        <v>2455</v>
      </c>
      <c r="R51" s="3" t="s">
        <v>2466</v>
      </c>
      <c r="S51" s="3" t="s">
        <v>30</v>
      </c>
      <c r="T51" s="109"/>
      <c r="U51" s="109"/>
      <c r="V51" s="109"/>
    </row>
    <row r="52">
      <c r="A52" s="18"/>
      <c r="G52" s="19"/>
      <c r="H52" s="19"/>
      <c r="I52" s="19"/>
      <c r="J52" s="19"/>
      <c r="K52" s="19"/>
      <c r="T52" s="19"/>
      <c r="U52" s="19"/>
      <c r="V52" s="19"/>
    </row>
    <row r="53">
      <c r="A53" s="18"/>
      <c r="G53" s="19"/>
      <c r="H53" s="19"/>
      <c r="I53" s="19"/>
      <c r="J53" s="19"/>
      <c r="K53" s="19"/>
      <c r="T53" s="19"/>
      <c r="U53" s="19"/>
      <c r="V53" s="19"/>
    </row>
    <row r="54">
      <c r="A54" s="18"/>
      <c r="G54" s="19"/>
      <c r="H54" s="19"/>
      <c r="I54" s="19"/>
      <c r="J54" s="19"/>
      <c r="K54" s="19"/>
      <c r="T54" s="19"/>
      <c r="U54" s="19"/>
      <c r="V54" s="19"/>
    </row>
    <row r="55">
      <c r="A55" s="18"/>
      <c r="G55" s="19"/>
      <c r="H55" s="19"/>
      <c r="I55" s="19"/>
      <c r="J55" s="19"/>
      <c r="K55" s="19"/>
      <c r="T55" s="19"/>
      <c r="U55" s="19"/>
      <c r="V55" s="19"/>
    </row>
    <row r="56">
      <c r="A56" s="18"/>
      <c r="G56" s="19"/>
      <c r="H56" s="19"/>
      <c r="I56" s="19"/>
      <c r="J56" s="19"/>
      <c r="K56" s="19"/>
      <c r="T56" s="19"/>
      <c r="U56" s="19"/>
      <c r="V56" s="19"/>
    </row>
    <row r="57">
      <c r="A57" s="18"/>
      <c r="G57" s="19"/>
      <c r="H57" s="19"/>
      <c r="I57" s="19"/>
      <c r="J57" s="19"/>
      <c r="K57" s="19"/>
      <c r="T57" s="19"/>
      <c r="U57" s="19"/>
      <c r="V57" s="19"/>
    </row>
    <row r="58">
      <c r="A58" s="18"/>
      <c r="G58" s="19"/>
      <c r="H58" s="19"/>
      <c r="I58" s="19"/>
      <c r="J58" s="19"/>
      <c r="K58" s="19"/>
      <c r="T58" s="19"/>
      <c r="U58" s="19"/>
      <c r="V58" s="19"/>
    </row>
    <row r="59">
      <c r="A59" s="18"/>
      <c r="G59" s="19"/>
      <c r="H59" s="19"/>
      <c r="I59" s="19"/>
      <c r="J59" s="19"/>
      <c r="K59" s="19"/>
      <c r="T59" s="19"/>
      <c r="U59" s="19"/>
      <c r="V59" s="19"/>
    </row>
    <row r="60">
      <c r="A60" s="18"/>
      <c r="G60" s="19"/>
      <c r="H60" s="19"/>
      <c r="I60" s="19"/>
      <c r="J60" s="19"/>
      <c r="K60" s="19"/>
      <c r="T60" s="19"/>
      <c r="U60" s="19"/>
      <c r="V60" s="19"/>
    </row>
    <row r="61">
      <c r="A61" s="18"/>
      <c r="G61" s="19"/>
      <c r="H61" s="19"/>
      <c r="I61" s="19"/>
      <c r="J61" s="19"/>
      <c r="K61" s="19"/>
      <c r="T61" s="19"/>
      <c r="U61" s="19"/>
      <c r="V61" s="19"/>
    </row>
    <row r="62">
      <c r="A62" s="18"/>
      <c r="G62" s="19"/>
      <c r="H62" s="19"/>
      <c r="I62" s="19"/>
      <c r="J62" s="19"/>
      <c r="K62" s="19"/>
      <c r="T62" s="19"/>
      <c r="U62" s="19"/>
      <c r="V62" s="19"/>
    </row>
    <row r="63">
      <c r="A63" s="18"/>
      <c r="G63" s="19"/>
      <c r="H63" s="19"/>
      <c r="I63" s="19"/>
      <c r="J63" s="19"/>
      <c r="K63" s="19"/>
      <c r="T63" s="19"/>
      <c r="U63" s="19"/>
      <c r="V63" s="19"/>
    </row>
    <row r="64">
      <c r="A64" s="18"/>
      <c r="G64" s="19"/>
      <c r="H64" s="19"/>
      <c r="I64" s="19"/>
      <c r="J64" s="19"/>
      <c r="K64" s="19"/>
      <c r="T64" s="19"/>
      <c r="U64" s="19"/>
      <c r="V64" s="19"/>
    </row>
    <row r="65">
      <c r="A65" s="18"/>
      <c r="G65" s="19"/>
      <c r="H65" s="19"/>
      <c r="I65" s="19"/>
      <c r="J65" s="19"/>
      <c r="K65" s="19"/>
      <c r="T65" s="19"/>
      <c r="U65" s="19"/>
      <c r="V65" s="19"/>
    </row>
    <row r="66">
      <c r="A66" s="18"/>
      <c r="G66" s="19"/>
      <c r="H66" s="19"/>
      <c r="I66" s="19"/>
      <c r="J66" s="19"/>
      <c r="K66" s="19"/>
      <c r="T66" s="19"/>
      <c r="U66" s="19"/>
      <c r="V66" s="19"/>
    </row>
    <row r="67">
      <c r="A67" s="18"/>
      <c r="G67" s="19"/>
      <c r="H67" s="19"/>
      <c r="I67" s="19"/>
      <c r="J67" s="19"/>
      <c r="K67" s="19"/>
      <c r="T67" s="19"/>
      <c r="U67" s="19"/>
      <c r="V67" s="19"/>
    </row>
    <row r="68">
      <c r="A68" s="18"/>
      <c r="G68" s="19"/>
      <c r="H68" s="19"/>
      <c r="I68" s="19"/>
      <c r="J68" s="19"/>
      <c r="K68" s="19"/>
      <c r="T68" s="19"/>
      <c r="U68" s="19"/>
      <c r="V68" s="19"/>
    </row>
    <row r="69">
      <c r="A69" s="18"/>
      <c r="G69" s="19"/>
      <c r="H69" s="19"/>
      <c r="I69" s="19"/>
      <c r="J69" s="19"/>
      <c r="K69" s="19"/>
      <c r="T69" s="19"/>
      <c r="U69" s="19"/>
      <c r="V69" s="19"/>
    </row>
    <row r="70">
      <c r="A70" s="18"/>
      <c r="G70" s="19"/>
      <c r="H70" s="19"/>
      <c r="I70" s="19"/>
      <c r="J70" s="19"/>
      <c r="K70" s="19"/>
      <c r="T70" s="19"/>
      <c r="U70" s="19"/>
      <c r="V70" s="19"/>
    </row>
    <row r="71">
      <c r="A71" s="18"/>
      <c r="G71" s="19"/>
      <c r="H71" s="19"/>
      <c r="I71" s="19"/>
      <c r="J71" s="19"/>
      <c r="K71" s="19"/>
      <c r="T71" s="19"/>
      <c r="U71" s="19"/>
      <c r="V71" s="19"/>
    </row>
    <row r="72">
      <c r="A72" s="18"/>
      <c r="G72" s="19"/>
      <c r="H72" s="19"/>
      <c r="I72" s="19"/>
      <c r="J72" s="19"/>
      <c r="K72" s="19"/>
      <c r="T72" s="19"/>
      <c r="U72" s="19"/>
      <c r="V72" s="19"/>
    </row>
    <row r="73">
      <c r="A73" s="18"/>
      <c r="G73" s="19"/>
      <c r="H73" s="19"/>
      <c r="I73" s="19"/>
      <c r="J73" s="19"/>
      <c r="K73" s="19"/>
      <c r="T73" s="19"/>
      <c r="U73" s="19"/>
      <c r="V73" s="19"/>
    </row>
    <row r="74">
      <c r="A74" s="18"/>
      <c r="G74" s="19"/>
      <c r="H74" s="19"/>
      <c r="I74" s="19"/>
      <c r="J74" s="19"/>
      <c r="K74" s="19"/>
      <c r="T74" s="19"/>
      <c r="U74" s="19"/>
      <c r="V74" s="19"/>
    </row>
    <row r="75">
      <c r="A75" s="18"/>
      <c r="G75" s="19"/>
      <c r="H75" s="19"/>
      <c r="I75" s="19"/>
      <c r="J75" s="19"/>
      <c r="K75" s="19"/>
      <c r="T75" s="19"/>
      <c r="U75" s="19"/>
      <c r="V75" s="19"/>
    </row>
    <row r="76">
      <c r="A76" s="18"/>
      <c r="G76" s="19"/>
      <c r="H76" s="19"/>
      <c r="I76" s="19"/>
      <c r="J76" s="19"/>
      <c r="K76" s="19"/>
      <c r="T76" s="19"/>
      <c r="U76" s="19"/>
      <c r="V76" s="19"/>
    </row>
    <row r="77">
      <c r="A77" s="18"/>
      <c r="G77" s="19"/>
      <c r="H77" s="19"/>
      <c r="I77" s="19"/>
      <c r="J77" s="19"/>
      <c r="K77" s="19"/>
      <c r="T77" s="19"/>
      <c r="U77" s="19"/>
      <c r="V77" s="19"/>
    </row>
    <row r="78">
      <c r="A78" s="18"/>
      <c r="G78" s="19"/>
      <c r="H78" s="19"/>
      <c r="I78" s="19"/>
      <c r="J78" s="19"/>
      <c r="K78" s="19"/>
      <c r="T78" s="19"/>
      <c r="U78" s="19"/>
      <c r="V78" s="19"/>
    </row>
    <row r="79">
      <c r="A79" s="18"/>
      <c r="G79" s="19"/>
      <c r="H79" s="19"/>
      <c r="I79" s="19"/>
      <c r="J79" s="19"/>
      <c r="K79" s="19"/>
      <c r="T79" s="19"/>
      <c r="U79" s="19"/>
      <c r="V79" s="19"/>
    </row>
    <row r="80">
      <c r="A80" s="18"/>
      <c r="G80" s="19"/>
      <c r="H80" s="19"/>
      <c r="I80" s="19"/>
      <c r="J80" s="19"/>
      <c r="K80" s="19"/>
      <c r="T80" s="19"/>
      <c r="U80" s="19"/>
      <c r="V80" s="19"/>
    </row>
    <row r="81">
      <c r="A81" s="18"/>
      <c r="G81" s="19"/>
      <c r="H81" s="19"/>
      <c r="I81" s="19"/>
      <c r="J81" s="19"/>
      <c r="K81" s="19"/>
      <c r="T81" s="19"/>
      <c r="U81" s="19"/>
      <c r="V81" s="19"/>
    </row>
    <row r="82">
      <c r="A82" s="18"/>
      <c r="G82" s="19"/>
      <c r="H82" s="19"/>
      <c r="I82" s="19"/>
      <c r="J82" s="19"/>
      <c r="K82" s="19"/>
      <c r="T82" s="19"/>
      <c r="U82" s="19"/>
      <c r="V82" s="19"/>
    </row>
    <row r="83">
      <c r="A83" s="18"/>
      <c r="G83" s="19"/>
      <c r="H83" s="19"/>
      <c r="I83" s="19"/>
      <c r="J83" s="19"/>
      <c r="K83" s="19"/>
      <c r="T83" s="19"/>
      <c r="U83" s="19"/>
      <c r="V83" s="19"/>
    </row>
    <row r="84">
      <c r="A84" s="18"/>
      <c r="G84" s="19"/>
      <c r="H84" s="19"/>
      <c r="I84" s="19"/>
      <c r="J84" s="19"/>
      <c r="K84" s="19"/>
      <c r="T84" s="19"/>
      <c r="U84" s="19"/>
      <c r="V84" s="19"/>
    </row>
    <row r="85">
      <c r="A85" s="18"/>
      <c r="G85" s="19"/>
      <c r="H85" s="19"/>
      <c r="I85" s="19"/>
      <c r="J85" s="19"/>
      <c r="K85" s="19"/>
      <c r="T85" s="19"/>
      <c r="U85" s="19"/>
      <c r="V85" s="19"/>
    </row>
    <row r="86">
      <c r="A86" s="18"/>
      <c r="G86" s="19"/>
      <c r="H86" s="19"/>
      <c r="I86" s="19"/>
      <c r="J86" s="19"/>
      <c r="K86" s="19"/>
      <c r="T86" s="19"/>
      <c r="U86" s="19"/>
      <c r="V86" s="19"/>
    </row>
    <row r="87">
      <c r="A87" s="18"/>
      <c r="G87" s="19"/>
      <c r="H87" s="19"/>
      <c r="I87" s="19"/>
      <c r="J87" s="19"/>
      <c r="K87" s="19"/>
      <c r="T87" s="19"/>
      <c r="U87" s="19"/>
      <c r="V87" s="19"/>
    </row>
    <row r="88">
      <c r="A88" s="18"/>
      <c r="G88" s="19"/>
      <c r="H88" s="19"/>
      <c r="I88" s="19"/>
      <c r="J88" s="19"/>
      <c r="K88" s="19"/>
      <c r="T88" s="19"/>
      <c r="U88" s="19"/>
      <c r="V88" s="19"/>
    </row>
    <row r="89">
      <c r="A89" s="18"/>
      <c r="G89" s="19"/>
      <c r="H89" s="19"/>
      <c r="I89" s="19"/>
      <c r="J89" s="19"/>
      <c r="K89" s="19"/>
      <c r="T89" s="19"/>
      <c r="U89" s="19"/>
      <c r="V89" s="19"/>
    </row>
    <row r="90">
      <c r="A90" s="18"/>
      <c r="G90" s="19"/>
      <c r="H90" s="19"/>
      <c r="I90" s="19"/>
      <c r="J90" s="19"/>
      <c r="K90" s="19"/>
      <c r="T90" s="19"/>
      <c r="U90" s="19"/>
      <c r="V90" s="19"/>
    </row>
    <row r="91">
      <c r="A91" s="18"/>
      <c r="G91" s="19"/>
      <c r="H91" s="19"/>
      <c r="I91" s="19"/>
      <c r="J91" s="19"/>
      <c r="K91" s="19"/>
      <c r="T91" s="19"/>
      <c r="U91" s="19"/>
      <c r="V91" s="19"/>
    </row>
    <row r="92">
      <c r="A92" s="18"/>
      <c r="G92" s="19"/>
      <c r="H92" s="19"/>
      <c r="I92" s="19"/>
      <c r="J92" s="19"/>
      <c r="K92" s="19"/>
      <c r="T92" s="19"/>
      <c r="U92" s="19"/>
      <c r="V92" s="19"/>
    </row>
    <row r="93">
      <c r="A93" s="18"/>
      <c r="G93" s="19"/>
      <c r="H93" s="19"/>
      <c r="I93" s="19"/>
      <c r="J93" s="19"/>
      <c r="K93" s="19"/>
      <c r="T93" s="19"/>
      <c r="U93" s="19"/>
      <c r="V93" s="19"/>
    </row>
    <row r="94">
      <c r="A94" s="18"/>
      <c r="G94" s="19"/>
      <c r="H94" s="19"/>
      <c r="I94" s="19"/>
      <c r="J94" s="19"/>
      <c r="K94" s="19"/>
      <c r="T94" s="19"/>
      <c r="U94" s="19"/>
      <c r="V94" s="19"/>
    </row>
    <row r="95">
      <c r="A95" s="18"/>
      <c r="G95" s="19"/>
      <c r="H95" s="19"/>
      <c r="I95" s="19"/>
      <c r="J95" s="19"/>
      <c r="K95" s="19"/>
      <c r="T95" s="19"/>
      <c r="U95" s="19"/>
      <c r="V95" s="19"/>
    </row>
    <row r="96">
      <c r="A96" s="18"/>
      <c r="G96" s="19"/>
      <c r="H96" s="19"/>
      <c r="I96" s="19"/>
      <c r="J96" s="19"/>
      <c r="K96" s="19"/>
      <c r="T96" s="19"/>
      <c r="U96" s="19"/>
      <c r="V96" s="19"/>
    </row>
    <row r="97">
      <c r="A97" s="18"/>
      <c r="G97" s="19"/>
      <c r="H97" s="19"/>
      <c r="I97" s="19"/>
      <c r="J97" s="19"/>
      <c r="K97" s="19"/>
      <c r="T97" s="19"/>
      <c r="U97" s="19"/>
      <c r="V97" s="19"/>
    </row>
    <row r="98">
      <c r="A98" s="18"/>
      <c r="G98" s="19"/>
      <c r="H98" s="19"/>
      <c r="I98" s="19"/>
      <c r="J98" s="19"/>
      <c r="K98" s="19"/>
      <c r="T98" s="19"/>
      <c r="U98" s="19"/>
      <c r="V98" s="19"/>
    </row>
    <row r="99">
      <c r="A99" s="18"/>
      <c r="G99" s="19"/>
      <c r="H99" s="19"/>
      <c r="I99" s="19"/>
      <c r="J99" s="19"/>
      <c r="K99" s="19"/>
      <c r="T99" s="19"/>
      <c r="U99" s="19"/>
      <c r="V99" s="19"/>
    </row>
    <row r="100">
      <c r="A100" s="18"/>
      <c r="G100" s="19"/>
      <c r="H100" s="19"/>
      <c r="I100" s="19"/>
      <c r="J100" s="19"/>
      <c r="K100" s="19"/>
      <c r="T100" s="19"/>
      <c r="U100" s="19"/>
      <c r="V100" s="19"/>
    </row>
    <row r="101">
      <c r="A101" s="18"/>
      <c r="G101" s="19"/>
      <c r="H101" s="19"/>
      <c r="I101" s="19"/>
      <c r="J101" s="19"/>
      <c r="K101" s="19"/>
      <c r="T101" s="19"/>
      <c r="U101" s="19"/>
      <c r="V101" s="19"/>
    </row>
    <row r="102">
      <c r="A102" s="18"/>
      <c r="G102" s="19"/>
      <c r="H102" s="19"/>
      <c r="I102" s="19"/>
      <c r="J102" s="19"/>
      <c r="K102" s="19"/>
      <c r="T102" s="19"/>
      <c r="U102" s="19"/>
      <c r="V102" s="19"/>
    </row>
    <row r="103">
      <c r="A103" s="18"/>
      <c r="G103" s="19"/>
      <c r="H103" s="19"/>
      <c r="I103" s="19"/>
      <c r="J103" s="19"/>
      <c r="K103" s="19"/>
      <c r="T103" s="19"/>
      <c r="U103" s="19"/>
      <c r="V103" s="19"/>
    </row>
    <row r="104">
      <c r="A104" s="18"/>
      <c r="G104" s="19"/>
      <c r="H104" s="19"/>
      <c r="I104" s="19"/>
      <c r="J104" s="19"/>
      <c r="K104" s="19"/>
      <c r="T104" s="19"/>
      <c r="U104" s="19"/>
      <c r="V104" s="19"/>
    </row>
    <row r="105">
      <c r="A105" s="18"/>
      <c r="G105" s="19"/>
      <c r="H105" s="19"/>
      <c r="I105" s="19"/>
      <c r="J105" s="19"/>
      <c r="K105" s="19"/>
      <c r="T105" s="19"/>
      <c r="U105" s="19"/>
      <c r="V105" s="19"/>
    </row>
    <row r="106">
      <c r="A106" s="18"/>
      <c r="G106" s="19"/>
      <c r="H106" s="19"/>
      <c r="I106" s="19"/>
      <c r="J106" s="19"/>
      <c r="K106" s="19"/>
      <c r="T106" s="19"/>
      <c r="U106" s="19"/>
      <c r="V106" s="19"/>
    </row>
    <row r="107">
      <c r="A107" s="18"/>
      <c r="G107" s="19"/>
      <c r="H107" s="19"/>
      <c r="I107" s="19"/>
      <c r="J107" s="19"/>
      <c r="K107" s="19"/>
      <c r="T107" s="19"/>
      <c r="U107" s="19"/>
      <c r="V107" s="19"/>
    </row>
    <row r="108">
      <c r="A108" s="18"/>
      <c r="G108" s="19"/>
      <c r="H108" s="19"/>
      <c r="I108" s="19"/>
      <c r="J108" s="19"/>
      <c r="K108" s="19"/>
      <c r="T108" s="19"/>
      <c r="U108" s="19"/>
      <c r="V108" s="19"/>
    </row>
    <row r="109">
      <c r="A109" s="18"/>
      <c r="G109" s="19"/>
      <c r="H109" s="19"/>
      <c r="I109" s="19"/>
      <c r="J109" s="19"/>
      <c r="K109" s="19"/>
      <c r="T109" s="19"/>
      <c r="U109" s="19"/>
      <c r="V109" s="19"/>
    </row>
    <row r="110">
      <c r="A110" s="18"/>
      <c r="G110" s="19"/>
      <c r="H110" s="19"/>
      <c r="I110" s="19"/>
      <c r="J110" s="19"/>
      <c r="K110" s="19"/>
      <c r="T110" s="19"/>
      <c r="U110" s="19"/>
      <c r="V110" s="19"/>
    </row>
    <row r="111">
      <c r="A111" s="18"/>
      <c r="G111" s="19"/>
      <c r="H111" s="19"/>
      <c r="I111" s="19"/>
      <c r="J111" s="19"/>
      <c r="K111" s="19"/>
      <c r="T111" s="19"/>
      <c r="U111" s="19"/>
      <c r="V111" s="19"/>
    </row>
    <row r="112">
      <c r="A112" s="18"/>
      <c r="G112" s="19"/>
      <c r="H112" s="19"/>
      <c r="I112" s="19"/>
      <c r="J112" s="19"/>
      <c r="K112" s="19"/>
      <c r="T112" s="19"/>
      <c r="U112" s="19"/>
      <c r="V112" s="19"/>
    </row>
    <row r="113">
      <c r="A113" s="18"/>
      <c r="G113" s="19"/>
      <c r="H113" s="19"/>
      <c r="I113" s="19"/>
      <c r="J113" s="19"/>
      <c r="K113" s="19"/>
      <c r="T113" s="19"/>
      <c r="U113" s="19"/>
      <c r="V113" s="19"/>
    </row>
    <row r="114">
      <c r="A114" s="18"/>
      <c r="G114" s="19"/>
      <c r="H114" s="19"/>
      <c r="I114" s="19"/>
      <c r="J114" s="19"/>
      <c r="K114" s="19"/>
      <c r="T114" s="19"/>
      <c r="U114" s="19"/>
      <c r="V114" s="19"/>
    </row>
    <row r="115">
      <c r="A115" s="18"/>
      <c r="G115" s="19"/>
      <c r="H115" s="19"/>
      <c r="I115" s="19"/>
      <c r="J115" s="19"/>
      <c r="K115" s="19"/>
      <c r="T115" s="19"/>
      <c r="U115" s="19"/>
      <c r="V115" s="19"/>
    </row>
    <row r="116">
      <c r="A116" s="18"/>
      <c r="G116" s="19"/>
      <c r="H116" s="19"/>
      <c r="I116" s="19"/>
      <c r="J116" s="19"/>
      <c r="K116" s="19"/>
      <c r="T116" s="19"/>
      <c r="U116" s="19"/>
      <c r="V116" s="19"/>
    </row>
    <row r="117">
      <c r="A117" s="18"/>
      <c r="G117" s="19"/>
      <c r="H117" s="19"/>
      <c r="I117" s="19"/>
      <c r="J117" s="19"/>
      <c r="K117" s="19"/>
      <c r="T117" s="19"/>
      <c r="U117" s="19"/>
      <c r="V117" s="19"/>
    </row>
    <row r="118">
      <c r="A118" s="18"/>
      <c r="G118" s="19"/>
      <c r="H118" s="19"/>
      <c r="I118" s="19"/>
      <c r="J118" s="19"/>
      <c r="K118" s="19"/>
      <c r="T118" s="19"/>
      <c r="U118" s="19"/>
      <c r="V118" s="19"/>
    </row>
    <row r="119">
      <c r="A119" s="18"/>
      <c r="G119" s="19"/>
      <c r="H119" s="19"/>
      <c r="I119" s="19"/>
      <c r="J119" s="19"/>
      <c r="K119" s="19"/>
      <c r="T119" s="19"/>
      <c r="U119" s="19"/>
      <c r="V119" s="19"/>
    </row>
    <row r="120">
      <c r="A120" s="18"/>
      <c r="G120" s="19"/>
      <c r="H120" s="19"/>
      <c r="I120" s="19"/>
      <c r="J120" s="19"/>
      <c r="K120" s="19"/>
      <c r="T120" s="19"/>
      <c r="U120" s="19"/>
      <c r="V120" s="19"/>
    </row>
    <row r="121">
      <c r="A121" s="18"/>
      <c r="G121" s="19"/>
      <c r="H121" s="19"/>
      <c r="I121" s="19"/>
      <c r="J121" s="19"/>
      <c r="K121" s="19"/>
      <c r="T121" s="19"/>
      <c r="U121" s="19"/>
      <c r="V121" s="19"/>
    </row>
    <row r="122">
      <c r="A122" s="18"/>
      <c r="G122" s="19"/>
      <c r="H122" s="19"/>
      <c r="I122" s="19"/>
      <c r="J122" s="19"/>
      <c r="K122" s="19"/>
      <c r="T122" s="19"/>
      <c r="U122" s="19"/>
      <c r="V122" s="19"/>
    </row>
    <row r="123">
      <c r="A123" s="18"/>
      <c r="G123" s="19"/>
      <c r="H123" s="19"/>
      <c r="I123" s="19"/>
      <c r="J123" s="19"/>
      <c r="K123" s="19"/>
      <c r="T123" s="19"/>
      <c r="U123" s="19"/>
      <c r="V123" s="19"/>
    </row>
    <row r="124">
      <c r="A124" s="18"/>
      <c r="G124" s="19"/>
      <c r="H124" s="19"/>
      <c r="I124" s="19"/>
      <c r="J124" s="19"/>
      <c r="K124" s="19"/>
      <c r="T124" s="19"/>
      <c r="U124" s="19"/>
      <c r="V124" s="19"/>
    </row>
    <row r="125">
      <c r="A125" s="18"/>
      <c r="G125" s="19"/>
      <c r="H125" s="19"/>
      <c r="I125" s="19"/>
      <c r="J125" s="19"/>
      <c r="K125" s="19"/>
      <c r="T125" s="19"/>
      <c r="U125" s="19"/>
      <c r="V125" s="19"/>
    </row>
    <row r="126">
      <c r="A126" s="18"/>
      <c r="G126" s="19"/>
      <c r="H126" s="19"/>
      <c r="I126" s="19"/>
      <c r="J126" s="19"/>
      <c r="K126" s="19"/>
      <c r="T126" s="19"/>
      <c r="U126" s="19"/>
      <c r="V126" s="19"/>
    </row>
    <row r="127">
      <c r="A127" s="18"/>
      <c r="G127" s="19"/>
      <c r="H127" s="19"/>
      <c r="I127" s="19"/>
      <c r="J127" s="19"/>
      <c r="K127" s="19"/>
      <c r="T127" s="19"/>
      <c r="U127" s="19"/>
      <c r="V127" s="19"/>
    </row>
    <row r="128">
      <c r="A128" s="18"/>
      <c r="G128" s="19"/>
      <c r="H128" s="19"/>
      <c r="I128" s="19"/>
      <c r="J128" s="19"/>
      <c r="K128" s="19"/>
      <c r="T128" s="19"/>
      <c r="U128" s="19"/>
      <c r="V128" s="19"/>
    </row>
    <row r="129">
      <c r="A129" s="18"/>
      <c r="G129" s="19"/>
      <c r="H129" s="19"/>
      <c r="I129" s="19"/>
      <c r="J129" s="19"/>
      <c r="K129" s="19"/>
      <c r="T129" s="19"/>
      <c r="U129" s="19"/>
      <c r="V129" s="19"/>
    </row>
    <row r="130">
      <c r="A130" s="18"/>
      <c r="G130" s="19"/>
      <c r="H130" s="19"/>
      <c r="I130" s="19"/>
      <c r="J130" s="19"/>
      <c r="K130" s="19"/>
      <c r="T130" s="19"/>
      <c r="U130" s="19"/>
      <c r="V130" s="19"/>
    </row>
    <row r="131">
      <c r="A131" s="18"/>
      <c r="G131" s="19"/>
      <c r="H131" s="19"/>
      <c r="I131" s="19"/>
      <c r="J131" s="19"/>
      <c r="K131" s="19"/>
      <c r="T131" s="19"/>
      <c r="U131" s="19"/>
      <c r="V131" s="19"/>
    </row>
    <row r="132">
      <c r="A132" s="18"/>
      <c r="G132" s="19"/>
      <c r="H132" s="19"/>
      <c r="I132" s="19"/>
      <c r="J132" s="19"/>
      <c r="K132" s="19"/>
      <c r="T132" s="19"/>
      <c r="U132" s="19"/>
      <c r="V132" s="19"/>
    </row>
    <row r="133">
      <c r="A133" s="18"/>
      <c r="G133" s="19"/>
      <c r="H133" s="19"/>
      <c r="I133" s="19"/>
      <c r="J133" s="19"/>
      <c r="K133" s="19"/>
      <c r="T133" s="19"/>
      <c r="U133" s="19"/>
      <c r="V133" s="19"/>
    </row>
    <row r="134">
      <c r="A134" s="18"/>
      <c r="G134" s="19"/>
      <c r="H134" s="19"/>
      <c r="I134" s="19"/>
      <c r="J134" s="19"/>
      <c r="K134" s="19"/>
      <c r="T134" s="19"/>
      <c r="U134" s="19"/>
      <c r="V134" s="19"/>
    </row>
    <row r="135">
      <c r="A135" s="18"/>
      <c r="G135" s="19"/>
      <c r="H135" s="19"/>
      <c r="I135" s="19"/>
      <c r="J135" s="19"/>
      <c r="K135" s="19"/>
      <c r="T135" s="19"/>
      <c r="U135" s="19"/>
      <c r="V135" s="19"/>
    </row>
    <row r="136">
      <c r="A136" s="18"/>
      <c r="G136" s="19"/>
      <c r="H136" s="19"/>
      <c r="I136" s="19"/>
      <c r="J136" s="19"/>
      <c r="K136" s="19"/>
      <c r="T136" s="19"/>
      <c r="U136" s="19"/>
      <c r="V136" s="19"/>
    </row>
    <row r="137">
      <c r="A137" s="18"/>
      <c r="G137" s="19"/>
      <c r="H137" s="19"/>
      <c r="I137" s="19"/>
      <c r="J137" s="19"/>
      <c r="K137" s="19"/>
      <c r="T137" s="19"/>
      <c r="U137" s="19"/>
      <c r="V137" s="19"/>
    </row>
    <row r="138">
      <c r="A138" s="18"/>
      <c r="G138" s="19"/>
      <c r="H138" s="19"/>
      <c r="I138" s="19"/>
      <c r="J138" s="19"/>
      <c r="K138" s="19"/>
      <c r="T138" s="19"/>
      <c r="U138" s="19"/>
      <c r="V138" s="19"/>
    </row>
    <row r="139">
      <c r="A139" s="18"/>
      <c r="G139" s="19"/>
      <c r="H139" s="19"/>
      <c r="I139" s="19"/>
      <c r="J139" s="19"/>
      <c r="K139" s="19"/>
      <c r="T139" s="19"/>
      <c r="U139" s="19"/>
      <c r="V139" s="19"/>
    </row>
    <row r="140">
      <c r="A140" s="18"/>
      <c r="G140" s="19"/>
      <c r="H140" s="19"/>
      <c r="I140" s="19"/>
      <c r="J140" s="19"/>
      <c r="K140" s="19"/>
      <c r="T140" s="19"/>
      <c r="U140" s="19"/>
      <c r="V140" s="19"/>
    </row>
    <row r="141">
      <c r="A141" s="18"/>
      <c r="G141" s="19"/>
      <c r="H141" s="19"/>
      <c r="I141" s="19"/>
      <c r="J141" s="19"/>
      <c r="K141" s="19"/>
      <c r="T141" s="19"/>
      <c r="U141" s="19"/>
      <c r="V141" s="19"/>
    </row>
    <row r="142">
      <c r="A142" s="18"/>
      <c r="G142" s="19"/>
      <c r="H142" s="19"/>
      <c r="I142" s="19"/>
      <c r="J142" s="19"/>
      <c r="K142" s="19"/>
      <c r="T142" s="19"/>
      <c r="U142" s="19"/>
      <c r="V142" s="19"/>
    </row>
    <row r="143">
      <c r="A143" s="18"/>
      <c r="G143" s="19"/>
      <c r="H143" s="19"/>
      <c r="I143" s="19"/>
      <c r="J143" s="19"/>
      <c r="K143" s="19"/>
      <c r="T143" s="19"/>
      <c r="U143" s="19"/>
      <c r="V143" s="19"/>
    </row>
    <row r="144">
      <c r="A144" s="18"/>
      <c r="G144" s="19"/>
      <c r="H144" s="19"/>
      <c r="I144" s="19"/>
      <c r="J144" s="19"/>
      <c r="K144" s="19"/>
      <c r="T144" s="19"/>
      <c r="U144" s="19"/>
      <c r="V144" s="19"/>
    </row>
    <row r="145">
      <c r="A145" s="18"/>
      <c r="G145" s="19"/>
      <c r="H145" s="19"/>
      <c r="I145" s="19"/>
      <c r="J145" s="19"/>
      <c r="K145" s="19"/>
      <c r="T145" s="19"/>
      <c r="U145" s="19"/>
      <c r="V145" s="19"/>
    </row>
    <row r="146">
      <c r="A146" s="18"/>
      <c r="G146" s="19"/>
      <c r="H146" s="19"/>
      <c r="I146" s="19"/>
      <c r="J146" s="19"/>
      <c r="K146" s="19"/>
      <c r="T146" s="19"/>
      <c r="U146" s="19"/>
      <c r="V146" s="19"/>
    </row>
    <row r="147">
      <c r="A147" s="18"/>
      <c r="G147" s="19"/>
      <c r="H147" s="19"/>
      <c r="I147" s="19"/>
      <c r="J147" s="19"/>
      <c r="K147" s="19"/>
      <c r="T147" s="19"/>
      <c r="U147" s="19"/>
      <c r="V147" s="19"/>
    </row>
    <row r="148">
      <c r="A148" s="18"/>
      <c r="G148" s="19"/>
      <c r="H148" s="19"/>
      <c r="I148" s="19"/>
      <c r="J148" s="19"/>
      <c r="K148" s="19"/>
      <c r="T148" s="19"/>
      <c r="U148" s="19"/>
      <c r="V148" s="19"/>
    </row>
    <row r="149">
      <c r="A149" s="18"/>
      <c r="G149" s="19"/>
      <c r="H149" s="19"/>
      <c r="I149" s="19"/>
      <c r="J149" s="19"/>
      <c r="K149" s="19"/>
      <c r="T149" s="19"/>
      <c r="U149" s="19"/>
      <c r="V149" s="19"/>
    </row>
    <row r="150">
      <c r="A150" s="18"/>
      <c r="G150" s="19"/>
      <c r="H150" s="19"/>
      <c r="I150" s="19"/>
      <c r="J150" s="19"/>
      <c r="K150" s="19"/>
      <c r="T150" s="19"/>
      <c r="U150" s="19"/>
      <c r="V150" s="19"/>
    </row>
    <row r="151">
      <c r="T151" s="19"/>
      <c r="U151" s="19"/>
      <c r="V151" s="19"/>
    </row>
  </sheetData>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18.88"/>
    <col customWidth="1" min="3" max="3" width="17.63"/>
    <col customWidth="1" min="4" max="4" width="18.88"/>
    <col customWidth="1" hidden="1" min="5" max="5" width="20.88"/>
    <col customWidth="1" min="6" max="6" width="15.75"/>
    <col customWidth="1" min="7" max="7" width="16.75"/>
    <col customWidth="1" min="8" max="9" width="10.5"/>
    <col customWidth="1" min="10" max="10" width="42.88"/>
    <col customWidth="1" min="11" max="11" width="178.25"/>
    <col customWidth="1" min="12" max="14" width="18.88"/>
    <col customWidth="1" hidden="1" min="15" max="15" width="37.63"/>
    <col customWidth="1" min="16" max="16" width="18.88"/>
    <col customWidth="1" hidden="1" min="17" max="17" width="18.88"/>
    <col customWidth="1" min="18" max="18" width="20.88"/>
    <col customWidth="1" min="19" max="19" width="15.63"/>
    <col customWidth="1" min="20" max="20" width="17.13"/>
    <col customWidth="1" min="21" max="21" width="17.63"/>
    <col customWidth="1" min="22" max="22" width="24.63"/>
    <col customWidth="1" min="23" max="23" width="21.63"/>
    <col customWidth="1" min="24" max="24" width="39.25"/>
    <col customWidth="1" min="25" max="25" width="51.25"/>
    <col customWidth="1" min="26" max="30" width="18.88"/>
  </cols>
  <sheetData>
    <row r="1" ht="22.5" customHeight="1">
      <c r="A1" s="7" t="s">
        <v>2311</v>
      </c>
      <c r="B1" s="1" t="s">
        <v>0</v>
      </c>
      <c r="C1" s="1" t="s">
        <v>1</v>
      </c>
      <c r="D1" s="1" t="s">
        <v>2</v>
      </c>
      <c r="E1" s="1" t="s">
        <v>3</v>
      </c>
      <c r="F1" s="1" t="s">
        <v>2649</v>
      </c>
      <c r="G1" s="1" t="s">
        <v>2650</v>
      </c>
      <c r="H1" s="1" t="s">
        <v>2829</v>
      </c>
      <c r="I1" s="1" t="s">
        <v>4</v>
      </c>
      <c r="J1" s="8" t="s">
        <v>5</v>
      </c>
      <c r="K1" s="8" t="s">
        <v>6</v>
      </c>
      <c r="L1" s="8" t="s">
        <v>7</v>
      </c>
      <c r="M1" s="8" t="s">
        <v>8</v>
      </c>
      <c r="N1" s="8" t="s">
        <v>9</v>
      </c>
      <c r="O1" s="1" t="s">
        <v>10</v>
      </c>
      <c r="P1" s="1" t="s">
        <v>11</v>
      </c>
      <c r="Q1" s="1" t="s">
        <v>12</v>
      </c>
      <c r="R1" s="1" t="s">
        <v>13</v>
      </c>
      <c r="S1" s="1" t="s">
        <v>14</v>
      </c>
      <c r="T1" s="94" t="s">
        <v>2830</v>
      </c>
      <c r="U1" s="94" t="s">
        <v>2831</v>
      </c>
      <c r="V1" s="95" t="s">
        <v>2651</v>
      </c>
      <c r="W1" s="94" t="s">
        <v>2652</v>
      </c>
      <c r="X1" s="94" t="s">
        <v>2653</v>
      </c>
      <c r="Y1" s="9" t="s">
        <v>2312</v>
      </c>
    </row>
    <row r="2" ht="22.5" customHeight="1">
      <c r="A2" s="10">
        <v>260151.0</v>
      </c>
      <c r="B2" s="4">
        <v>46034.17789314815</v>
      </c>
      <c r="C2" s="5" t="s">
        <v>1180</v>
      </c>
      <c r="D2" s="5" t="s">
        <v>908</v>
      </c>
      <c r="E2" s="5" t="s">
        <v>1180</v>
      </c>
      <c r="F2" s="122" t="s">
        <v>2832</v>
      </c>
      <c r="G2" s="122" t="s">
        <v>2833</v>
      </c>
      <c r="H2" s="5">
        <v>5.0</v>
      </c>
      <c r="I2" s="5" t="s">
        <v>131</v>
      </c>
      <c r="J2" s="11" t="s">
        <v>1181</v>
      </c>
      <c r="K2" s="11" t="s">
        <v>1182</v>
      </c>
      <c r="L2" s="11" t="s">
        <v>1183</v>
      </c>
      <c r="M2" s="11" t="s">
        <v>1184</v>
      </c>
      <c r="N2" s="11" t="s">
        <v>1185</v>
      </c>
      <c r="O2" s="5" t="s">
        <v>30</v>
      </c>
      <c r="P2" s="5" t="s">
        <v>1186</v>
      </c>
      <c r="Q2" s="5" t="s">
        <v>456</v>
      </c>
      <c r="R2" s="5" t="s">
        <v>51</v>
      </c>
      <c r="S2" s="5" t="s">
        <v>52</v>
      </c>
      <c r="T2" s="3" t="s">
        <v>2602</v>
      </c>
      <c r="U2" s="3" t="s">
        <v>2359</v>
      </c>
      <c r="V2" s="12"/>
      <c r="W2" s="12"/>
      <c r="X2" s="12"/>
      <c r="Y2" s="12"/>
    </row>
    <row r="3" ht="22.5" customHeight="1">
      <c r="A3" s="10">
        <v>260152.0</v>
      </c>
      <c r="B3" s="4">
        <v>46034.22170539352</v>
      </c>
      <c r="C3" s="5" t="s">
        <v>1187</v>
      </c>
      <c r="D3" s="5" t="s">
        <v>1188</v>
      </c>
      <c r="E3" s="5" t="s">
        <v>1187</v>
      </c>
      <c r="F3" s="122" t="s">
        <v>2833</v>
      </c>
      <c r="G3" s="122" t="s">
        <v>2834</v>
      </c>
      <c r="H3" s="5">
        <v>2.0</v>
      </c>
      <c r="I3" s="5" t="s">
        <v>17</v>
      </c>
      <c r="J3" s="11" t="s">
        <v>1189</v>
      </c>
      <c r="K3" s="11" t="s">
        <v>1190</v>
      </c>
      <c r="L3" s="11" t="s">
        <v>1191</v>
      </c>
      <c r="M3" s="11" t="s">
        <v>1192</v>
      </c>
      <c r="N3" s="11" t="s">
        <v>1193</v>
      </c>
      <c r="O3" s="5" t="s">
        <v>23</v>
      </c>
      <c r="P3" s="5" t="s">
        <v>1194</v>
      </c>
      <c r="Q3" s="5" t="s">
        <v>119</v>
      </c>
      <c r="R3" s="5" t="s">
        <v>1019</v>
      </c>
      <c r="S3" s="5" t="s">
        <v>1195</v>
      </c>
      <c r="T3" s="3" t="s">
        <v>2602</v>
      </c>
      <c r="U3" s="3" t="s">
        <v>2597</v>
      </c>
      <c r="V3" s="12"/>
      <c r="W3" s="12"/>
      <c r="X3" s="12"/>
      <c r="Y3" s="12"/>
    </row>
    <row r="4" ht="22.5" customHeight="1">
      <c r="A4" s="10">
        <v>260153.0</v>
      </c>
      <c r="B4" s="4">
        <v>46034.70461796296</v>
      </c>
      <c r="C4" s="5" t="s">
        <v>1196</v>
      </c>
      <c r="D4" s="5" t="s">
        <v>1197</v>
      </c>
      <c r="E4" s="5" t="s">
        <v>1196</v>
      </c>
      <c r="F4" s="122" t="s">
        <v>2833</v>
      </c>
      <c r="G4" s="122" t="s">
        <v>2833</v>
      </c>
      <c r="H4" s="5">
        <v>3.0</v>
      </c>
      <c r="I4" s="5" t="s">
        <v>17</v>
      </c>
      <c r="J4" s="11" t="s">
        <v>1198</v>
      </c>
      <c r="K4" s="11" t="s">
        <v>1199</v>
      </c>
      <c r="L4" s="11" t="s">
        <v>1200</v>
      </c>
      <c r="M4" s="11" t="s">
        <v>1201</v>
      </c>
      <c r="N4" s="11" t="s">
        <v>1202</v>
      </c>
      <c r="O4" s="5" t="s">
        <v>30</v>
      </c>
      <c r="P4" s="5" t="s">
        <v>1203</v>
      </c>
      <c r="Q4" s="5" t="s">
        <v>119</v>
      </c>
      <c r="R4" s="5" t="s">
        <v>51</v>
      </c>
      <c r="S4" s="5" t="s">
        <v>51</v>
      </c>
      <c r="T4" s="3" t="s">
        <v>2835</v>
      </c>
      <c r="U4" s="3" t="s">
        <v>2466</v>
      </c>
      <c r="V4" s="12"/>
      <c r="W4" s="12"/>
      <c r="X4" s="12"/>
      <c r="Y4" s="12"/>
    </row>
    <row r="5" ht="22.5" customHeight="1">
      <c r="A5" s="123">
        <v>260154.0</v>
      </c>
      <c r="B5" s="124">
        <v>46034.75097953704</v>
      </c>
      <c r="C5" s="125" t="s">
        <v>1204</v>
      </c>
      <c r="D5" s="125" t="s">
        <v>1205</v>
      </c>
      <c r="E5" s="125" t="s">
        <v>1204</v>
      </c>
      <c r="F5" s="126" t="s">
        <v>2833</v>
      </c>
      <c r="G5" s="122" t="s">
        <v>2833</v>
      </c>
      <c r="H5" s="125">
        <v>3.0</v>
      </c>
      <c r="I5" s="125" t="s">
        <v>64</v>
      </c>
      <c r="J5" s="127" t="s">
        <v>1206</v>
      </c>
      <c r="K5" s="127" t="s">
        <v>1207</v>
      </c>
      <c r="L5" s="127" t="s">
        <v>1208</v>
      </c>
      <c r="M5" s="127" t="s">
        <v>1209</v>
      </c>
      <c r="N5" s="127" t="s">
        <v>1210</v>
      </c>
      <c r="O5" s="125" t="s">
        <v>30</v>
      </c>
      <c r="P5" s="125" t="s">
        <v>1211</v>
      </c>
      <c r="Q5" s="125" t="s">
        <v>111</v>
      </c>
      <c r="R5" s="125" t="s">
        <v>51</v>
      </c>
      <c r="S5" s="125" t="s">
        <v>52</v>
      </c>
      <c r="T5" s="125" t="s">
        <v>2508</v>
      </c>
      <c r="U5" s="125" t="s">
        <v>2536</v>
      </c>
      <c r="V5" s="128"/>
      <c r="W5" s="128"/>
      <c r="X5" s="128"/>
      <c r="Y5" s="128"/>
      <c r="Z5" s="129"/>
      <c r="AA5" s="129"/>
      <c r="AB5" s="129"/>
      <c r="AC5" s="129"/>
      <c r="AD5" s="129"/>
    </row>
    <row r="6" ht="22.5" customHeight="1">
      <c r="A6" s="10">
        <v>260155.0</v>
      </c>
      <c r="B6" s="4">
        <v>46034.80351798611</v>
      </c>
      <c r="C6" s="5" t="s">
        <v>1212</v>
      </c>
      <c r="D6" s="5" t="s">
        <v>1213</v>
      </c>
      <c r="E6" s="5" t="s">
        <v>1212</v>
      </c>
      <c r="F6" s="122" t="s">
        <v>2834</v>
      </c>
      <c r="G6" s="122" t="s">
        <v>2833</v>
      </c>
      <c r="H6" s="5">
        <v>2.0</v>
      </c>
      <c r="I6" s="5" t="s">
        <v>17</v>
      </c>
      <c r="J6" s="11" t="s">
        <v>1214</v>
      </c>
      <c r="K6" s="11" t="s">
        <v>1215</v>
      </c>
      <c r="L6" s="11" t="s">
        <v>1216</v>
      </c>
      <c r="M6" s="11" t="s">
        <v>1217</v>
      </c>
      <c r="N6" s="11" t="s">
        <v>1218</v>
      </c>
      <c r="O6" s="5" t="s">
        <v>30</v>
      </c>
      <c r="P6" s="5" t="s">
        <v>1219</v>
      </c>
      <c r="Q6" s="5" t="s">
        <v>61</v>
      </c>
      <c r="R6" s="5" t="s">
        <v>1220</v>
      </c>
      <c r="S6" s="5" t="s">
        <v>328</v>
      </c>
      <c r="T6" s="3" t="s">
        <v>2473</v>
      </c>
      <c r="U6" s="3" t="s">
        <v>2597</v>
      </c>
      <c r="V6" s="12"/>
      <c r="W6" s="12"/>
      <c r="X6" s="12"/>
      <c r="Y6" s="12"/>
    </row>
    <row r="7" ht="22.5" customHeight="1">
      <c r="A7" s="10">
        <v>260156.0</v>
      </c>
      <c r="B7" s="4">
        <v>46034.85736166667</v>
      </c>
      <c r="C7" s="5" t="s">
        <v>1221</v>
      </c>
      <c r="D7" s="5" t="s">
        <v>1222</v>
      </c>
      <c r="E7" s="5" t="s">
        <v>1221</v>
      </c>
      <c r="F7" s="122" t="s">
        <v>2833</v>
      </c>
      <c r="G7" s="122" t="s">
        <v>2836</v>
      </c>
      <c r="H7" s="5">
        <v>6.0</v>
      </c>
      <c r="I7" s="5" t="s">
        <v>17</v>
      </c>
      <c r="J7" s="11" t="s">
        <v>1223</v>
      </c>
      <c r="K7" s="11" t="s">
        <v>1224</v>
      </c>
      <c r="L7" s="11" t="s">
        <v>1225</v>
      </c>
      <c r="M7" s="11" t="s">
        <v>1226</v>
      </c>
      <c r="N7" s="11" t="s">
        <v>1227</v>
      </c>
      <c r="O7" s="5" t="s">
        <v>23</v>
      </c>
      <c r="P7" s="5" t="s">
        <v>1228</v>
      </c>
      <c r="Q7" s="5" t="s">
        <v>61</v>
      </c>
      <c r="R7" s="5" t="s">
        <v>200</v>
      </c>
      <c r="S7" s="5" t="s">
        <v>26</v>
      </c>
      <c r="T7" s="3" t="s">
        <v>2835</v>
      </c>
      <c r="U7" s="130" t="s">
        <v>2618</v>
      </c>
      <c r="V7" s="12"/>
      <c r="W7" s="12"/>
      <c r="X7" s="12"/>
      <c r="Y7" s="12"/>
    </row>
    <row r="8" ht="22.5" customHeight="1">
      <c r="A8" s="10">
        <v>260157.0</v>
      </c>
      <c r="B8" s="4">
        <v>46034.86142518518</v>
      </c>
      <c r="C8" s="5" t="s">
        <v>1229</v>
      </c>
      <c r="D8" s="5" t="s">
        <v>1230</v>
      </c>
      <c r="E8" s="5" t="s">
        <v>1229</v>
      </c>
      <c r="F8" s="122" t="s">
        <v>2834</v>
      </c>
      <c r="G8" s="122" t="s">
        <v>2834</v>
      </c>
      <c r="H8" s="5">
        <v>1.0</v>
      </c>
      <c r="I8" s="5" t="s">
        <v>17</v>
      </c>
      <c r="J8" s="11" t="s">
        <v>1231</v>
      </c>
      <c r="K8" s="11" t="s">
        <v>1232</v>
      </c>
      <c r="L8" s="11" t="s">
        <v>1233</v>
      </c>
      <c r="M8" s="11" t="s">
        <v>1234</v>
      </c>
      <c r="N8" s="11" t="s">
        <v>1235</v>
      </c>
      <c r="O8" s="5" t="s">
        <v>30</v>
      </c>
      <c r="P8" s="5" t="s">
        <v>1236</v>
      </c>
      <c r="Q8" s="5" t="s">
        <v>39</v>
      </c>
      <c r="R8" s="5" t="s">
        <v>1237</v>
      </c>
      <c r="S8" s="5" t="s">
        <v>1238</v>
      </c>
      <c r="T8" s="3" t="s">
        <v>2432</v>
      </c>
      <c r="U8" s="3" t="s">
        <v>2449</v>
      </c>
      <c r="V8" s="12"/>
      <c r="W8" s="12"/>
      <c r="X8" s="12"/>
      <c r="Y8" s="12"/>
    </row>
    <row r="9" ht="22.5" customHeight="1">
      <c r="A9" s="10">
        <v>260158.0</v>
      </c>
      <c r="B9" s="4">
        <v>46034.941268553244</v>
      </c>
      <c r="C9" s="5" t="s">
        <v>1239</v>
      </c>
      <c r="D9" s="5" t="s">
        <v>1240</v>
      </c>
      <c r="E9" s="5" t="s">
        <v>1239</v>
      </c>
      <c r="F9" s="122" t="s">
        <v>2836</v>
      </c>
      <c r="G9" s="122" t="s">
        <v>2832</v>
      </c>
      <c r="H9" s="5">
        <v>8.0</v>
      </c>
      <c r="I9" s="5" t="s">
        <v>131</v>
      </c>
      <c r="J9" s="11" t="s">
        <v>1241</v>
      </c>
      <c r="K9" s="11" t="s">
        <v>1242</v>
      </c>
      <c r="L9" s="11" t="s">
        <v>1243</v>
      </c>
      <c r="M9" s="11" t="s">
        <v>1244</v>
      </c>
      <c r="N9" s="11" t="s">
        <v>869</v>
      </c>
      <c r="O9" s="5" t="s">
        <v>30</v>
      </c>
      <c r="P9" s="5" t="s">
        <v>1245</v>
      </c>
      <c r="Q9" s="5" t="s">
        <v>39</v>
      </c>
      <c r="R9" s="5" t="s">
        <v>51</v>
      </c>
      <c r="S9" s="5" t="s">
        <v>52</v>
      </c>
      <c r="T9" s="3" t="s">
        <v>2466</v>
      </c>
      <c r="U9" s="3" t="s">
        <v>2580</v>
      </c>
      <c r="V9" s="12"/>
      <c r="W9" s="12"/>
      <c r="X9" s="12"/>
      <c r="Y9" s="12"/>
    </row>
    <row r="10" ht="22.5" customHeight="1">
      <c r="A10" s="10">
        <v>260159.0</v>
      </c>
      <c r="B10" s="4">
        <v>46034.97802268519</v>
      </c>
      <c r="C10" s="5" t="s">
        <v>1246</v>
      </c>
      <c r="D10" s="5" t="s">
        <v>1247</v>
      </c>
      <c r="E10" s="5" t="s">
        <v>1246</v>
      </c>
      <c r="F10" s="122" t="s">
        <v>2834</v>
      </c>
      <c r="G10" s="122" t="s">
        <v>2833</v>
      </c>
      <c r="H10" s="5">
        <v>2.0</v>
      </c>
      <c r="I10" s="5" t="s">
        <v>64</v>
      </c>
      <c r="J10" s="11" t="s">
        <v>1248</v>
      </c>
      <c r="K10" s="11" t="s">
        <v>1249</v>
      </c>
      <c r="L10" s="11" t="s">
        <v>58</v>
      </c>
      <c r="M10" s="11" t="s">
        <v>1250</v>
      </c>
      <c r="N10" s="11" t="s">
        <v>1251</v>
      </c>
      <c r="O10" s="5" t="s">
        <v>23</v>
      </c>
      <c r="P10" s="5" t="s">
        <v>1252</v>
      </c>
      <c r="Q10" s="5" t="s">
        <v>61</v>
      </c>
      <c r="R10" s="5" t="s">
        <v>200</v>
      </c>
      <c r="S10" s="5" t="s">
        <v>660</v>
      </c>
      <c r="T10" s="3" t="s">
        <v>2462</v>
      </c>
      <c r="U10" s="3" t="s">
        <v>2529</v>
      </c>
      <c r="V10" s="12"/>
      <c r="W10" s="12"/>
      <c r="X10" s="12"/>
      <c r="Y10" s="12"/>
    </row>
    <row r="11" ht="22.5" customHeight="1">
      <c r="A11" s="10">
        <v>260160.0</v>
      </c>
      <c r="B11" s="4">
        <v>46035.12510488426</v>
      </c>
      <c r="C11" s="5" t="s">
        <v>1253</v>
      </c>
      <c r="D11" s="5" t="s">
        <v>1254</v>
      </c>
      <c r="E11" s="5" t="s">
        <v>1253</v>
      </c>
      <c r="F11" s="122" t="s">
        <v>2833</v>
      </c>
      <c r="G11" s="122" t="s">
        <v>2833</v>
      </c>
      <c r="H11" s="5">
        <v>3.0</v>
      </c>
      <c r="I11" s="5" t="s">
        <v>17</v>
      </c>
      <c r="J11" s="11" t="s">
        <v>1255</v>
      </c>
      <c r="K11" s="11" t="s">
        <v>1256</v>
      </c>
      <c r="L11" s="11" t="s">
        <v>1257</v>
      </c>
      <c r="M11" s="11" t="s">
        <v>1258</v>
      </c>
      <c r="N11" s="11" t="s">
        <v>1259</v>
      </c>
      <c r="O11" s="5" t="s">
        <v>23</v>
      </c>
      <c r="P11" s="5" t="s">
        <v>1260</v>
      </c>
      <c r="Q11" s="5" t="s">
        <v>71</v>
      </c>
      <c r="R11" s="5" t="s">
        <v>592</v>
      </c>
      <c r="S11" s="5" t="s">
        <v>1261</v>
      </c>
      <c r="T11" s="3" t="s">
        <v>2647</v>
      </c>
      <c r="U11" s="3" t="s">
        <v>2602</v>
      </c>
      <c r="V11" s="12"/>
      <c r="W11" s="12"/>
      <c r="X11" s="12"/>
      <c r="Y11" s="12"/>
    </row>
    <row r="12" ht="22.5" customHeight="1">
      <c r="A12" s="131">
        <v>260161.0</v>
      </c>
      <c r="B12" s="132">
        <v>46035.24507246527</v>
      </c>
      <c r="C12" s="133" t="s">
        <v>1262</v>
      </c>
      <c r="D12" s="133" t="s">
        <v>1263</v>
      </c>
      <c r="E12" s="133" t="s">
        <v>1262</v>
      </c>
      <c r="F12" s="134" t="s">
        <v>2833</v>
      </c>
      <c r="G12" s="122" t="s">
        <v>2833</v>
      </c>
      <c r="H12" s="133">
        <v>3.0</v>
      </c>
      <c r="I12" s="133" t="s">
        <v>17</v>
      </c>
      <c r="J12" s="135" t="s">
        <v>1264</v>
      </c>
      <c r="K12" s="135" t="s">
        <v>1265</v>
      </c>
      <c r="L12" s="135" t="s">
        <v>463</v>
      </c>
      <c r="M12" s="135" t="s">
        <v>46</v>
      </c>
      <c r="N12" s="135" t="s">
        <v>1266</v>
      </c>
      <c r="O12" s="133" t="s">
        <v>30</v>
      </c>
      <c r="P12" s="133" t="s">
        <v>1267</v>
      </c>
      <c r="Q12" s="133" t="s">
        <v>1268</v>
      </c>
      <c r="R12" s="133" t="s">
        <v>1269</v>
      </c>
      <c r="S12" s="133" t="s">
        <v>1269</v>
      </c>
      <c r="T12" s="133" t="s">
        <v>2623</v>
      </c>
      <c r="U12" s="3" t="s">
        <v>2630</v>
      </c>
      <c r="V12" s="136"/>
      <c r="W12" s="136"/>
      <c r="X12" s="136"/>
      <c r="Y12" s="136"/>
      <c r="Z12" s="137"/>
      <c r="AA12" s="137"/>
      <c r="AB12" s="137"/>
      <c r="AC12" s="137"/>
      <c r="AD12" s="137"/>
    </row>
    <row r="13" ht="22.5" customHeight="1">
      <c r="A13" s="10">
        <v>260162.0</v>
      </c>
      <c r="B13" s="4">
        <v>46035.29335136574</v>
      </c>
      <c r="C13" s="5" t="s">
        <v>1270</v>
      </c>
      <c r="D13" s="5" t="s">
        <v>1271</v>
      </c>
      <c r="E13" s="5" t="s">
        <v>1270</v>
      </c>
      <c r="F13" s="122" t="s">
        <v>2833</v>
      </c>
      <c r="G13" s="122" t="s">
        <v>2832</v>
      </c>
      <c r="H13" s="5">
        <v>5.0</v>
      </c>
      <c r="I13" s="5" t="s">
        <v>17</v>
      </c>
      <c r="J13" s="11" t="s">
        <v>1272</v>
      </c>
      <c r="K13" s="11" t="s">
        <v>1273</v>
      </c>
      <c r="L13" s="11" t="s">
        <v>1274</v>
      </c>
      <c r="M13" s="11" t="s">
        <v>1275</v>
      </c>
      <c r="N13" s="11" t="s">
        <v>1276</v>
      </c>
      <c r="O13" s="5" t="s">
        <v>30</v>
      </c>
      <c r="P13" s="5" t="s">
        <v>1277</v>
      </c>
      <c r="Q13" s="5" t="s">
        <v>111</v>
      </c>
      <c r="R13" s="5" t="s">
        <v>200</v>
      </c>
      <c r="S13" s="5" t="s">
        <v>201</v>
      </c>
      <c r="T13" s="3" t="s">
        <v>2334</v>
      </c>
      <c r="U13" s="5" t="s">
        <v>2389</v>
      </c>
      <c r="V13" s="12"/>
      <c r="W13" s="12"/>
      <c r="X13" s="12"/>
      <c r="Y13" s="12"/>
    </row>
    <row r="14" ht="22.5" customHeight="1">
      <c r="A14" s="10">
        <v>260163.0</v>
      </c>
      <c r="B14" s="4">
        <v>46035.44183964121</v>
      </c>
      <c r="C14" s="5" t="s">
        <v>1278</v>
      </c>
      <c r="D14" s="5" t="s">
        <v>1279</v>
      </c>
      <c r="E14" s="5" t="s">
        <v>1278</v>
      </c>
      <c r="F14" s="122" t="s">
        <v>2834</v>
      </c>
      <c r="G14" s="122" t="s">
        <v>2834</v>
      </c>
      <c r="H14" s="5">
        <v>1.0</v>
      </c>
      <c r="I14" s="5" t="s">
        <v>17</v>
      </c>
      <c r="J14" s="11" t="s">
        <v>1280</v>
      </c>
      <c r="K14" s="11" t="s">
        <v>1281</v>
      </c>
      <c r="L14" s="11" t="s">
        <v>1282</v>
      </c>
      <c r="M14" s="11" t="s">
        <v>1283</v>
      </c>
      <c r="N14" s="11" t="s">
        <v>1284</v>
      </c>
      <c r="O14" s="5" t="s">
        <v>162</v>
      </c>
      <c r="P14" s="5" t="s">
        <v>1285</v>
      </c>
      <c r="Q14" s="5" t="s">
        <v>71</v>
      </c>
      <c r="R14" s="5" t="s">
        <v>26</v>
      </c>
      <c r="S14" s="5" t="s">
        <v>26</v>
      </c>
      <c r="T14" s="3" t="s">
        <v>2462</v>
      </c>
      <c r="U14" s="3" t="s">
        <v>2536</v>
      </c>
      <c r="V14" s="12"/>
      <c r="W14" s="12"/>
      <c r="X14" s="12"/>
      <c r="Y14" s="12"/>
    </row>
    <row r="15" ht="22.5" customHeight="1">
      <c r="A15" s="10">
        <v>260164.0</v>
      </c>
      <c r="B15" s="4">
        <v>46035.58735023148</v>
      </c>
      <c r="C15" s="5" t="s">
        <v>1286</v>
      </c>
      <c r="D15" s="5" t="s">
        <v>1287</v>
      </c>
      <c r="E15" s="5" t="s">
        <v>1286</v>
      </c>
      <c r="F15" s="122" t="s">
        <v>2833</v>
      </c>
      <c r="G15" s="122" t="s">
        <v>2832</v>
      </c>
      <c r="H15" s="5">
        <v>5.0</v>
      </c>
      <c r="I15" s="5" t="s">
        <v>17</v>
      </c>
      <c r="J15" s="11" t="s">
        <v>1288</v>
      </c>
      <c r="K15" s="11" t="s">
        <v>1289</v>
      </c>
      <c r="L15" s="11" t="s">
        <v>1290</v>
      </c>
      <c r="M15" s="11" t="s">
        <v>1291</v>
      </c>
      <c r="N15" s="11" t="s">
        <v>1292</v>
      </c>
      <c r="O15" s="5" t="s">
        <v>162</v>
      </c>
      <c r="P15" s="5" t="s">
        <v>1293</v>
      </c>
      <c r="Q15" s="5" t="s">
        <v>119</v>
      </c>
      <c r="R15" s="5" t="s">
        <v>26</v>
      </c>
      <c r="S15" s="5" t="s">
        <v>26</v>
      </c>
      <c r="T15" s="3" t="s">
        <v>2432</v>
      </c>
      <c r="U15" s="3" t="s">
        <v>2449</v>
      </c>
      <c r="V15" s="12"/>
      <c r="W15" s="12"/>
      <c r="X15" s="12"/>
      <c r="Y15" s="12"/>
    </row>
    <row r="16" ht="22.5" customHeight="1">
      <c r="A16" s="10">
        <v>260165.0</v>
      </c>
      <c r="B16" s="4">
        <v>46035.77907127315</v>
      </c>
      <c r="C16" s="5" t="s">
        <v>1294</v>
      </c>
      <c r="D16" s="5" t="s">
        <v>1295</v>
      </c>
      <c r="E16" s="5" t="s">
        <v>1294</v>
      </c>
      <c r="F16" s="122" t="s">
        <v>2833</v>
      </c>
      <c r="G16" s="122" t="s">
        <v>2833</v>
      </c>
      <c r="H16" s="5">
        <v>3.0</v>
      </c>
      <c r="I16" s="5" t="s">
        <v>64</v>
      </c>
      <c r="J16" s="11" t="s">
        <v>1296</v>
      </c>
      <c r="K16" s="11" t="s">
        <v>1297</v>
      </c>
      <c r="L16" s="11" t="s">
        <v>1298</v>
      </c>
      <c r="M16" s="11" t="s">
        <v>58</v>
      </c>
      <c r="N16" s="11" t="s">
        <v>1299</v>
      </c>
      <c r="O16" s="5" t="s">
        <v>30</v>
      </c>
      <c r="P16" s="5" t="s">
        <v>1300</v>
      </c>
      <c r="Q16" s="5" t="s">
        <v>119</v>
      </c>
      <c r="R16" s="5" t="s">
        <v>549</v>
      </c>
      <c r="S16" s="5" t="s">
        <v>1195</v>
      </c>
      <c r="T16" s="3" t="s">
        <v>2389</v>
      </c>
      <c r="U16" s="3" t="s">
        <v>2549</v>
      </c>
      <c r="V16" s="12"/>
      <c r="W16" s="12"/>
      <c r="X16" s="12"/>
      <c r="Y16" s="12"/>
    </row>
    <row r="17" ht="22.5" customHeight="1">
      <c r="A17" s="10">
        <v>260166.0</v>
      </c>
      <c r="B17" s="4">
        <v>46035.82424</v>
      </c>
      <c r="C17" s="5" t="s">
        <v>112</v>
      </c>
      <c r="D17" s="5" t="s">
        <v>113</v>
      </c>
      <c r="E17" s="5" t="s">
        <v>112</v>
      </c>
      <c r="F17" s="122" t="s">
        <v>2833</v>
      </c>
      <c r="G17" s="122" t="s">
        <v>2834</v>
      </c>
      <c r="H17" s="5">
        <v>2.0</v>
      </c>
      <c r="I17" s="5" t="s">
        <v>17</v>
      </c>
      <c r="J17" s="11" t="s">
        <v>114</v>
      </c>
      <c r="K17" s="11" t="s">
        <v>1301</v>
      </c>
      <c r="L17" s="11" t="s">
        <v>117</v>
      </c>
      <c r="M17" s="11" t="s">
        <v>1302</v>
      </c>
      <c r="N17" s="11" t="s">
        <v>118</v>
      </c>
      <c r="O17" s="5" t="s">
        <v>30</v>
      </c>
      <c r="P17" s="5" t="s">
        <v>81</v>
      </c>
      <c r="Q17" s="5" t="s">
        <v>119</v>
      </c>
      <c r="R17" s="5" t="s">
        <v>51</v>
      </c>
      <c r="S17" s="5" t="s">
        <v>52</v>
      </c>
      <c r="T17" s="3" t="s">
        <v>2644</v>
      </c>
      <c r="U17" s="3" t="s">
        <v>2571</v>
      </c>
      <c r="V17" s="12"/>
      <c r="W17" s="12"/>
      <c r="X17" s="12"/>
      <c r="Y17" s="12"/>
    </row>
    <row r="18" ht="22.5" customHeight="1">
      <c r="A18" s="10">
        <v>260167.0</v>
      </c>
      <c r="B18" s="4">
        <v>46035.95104532407</v>
      </c>
      <c r="C18" s="5" t="s">
        <v>760</v>
      </c>
      <c r="D18" s="5" t="s">
        <v>1303</v>
      </c>
      <c r="E18" s="5" t="s">
        <v>1304</v>
      </c>
      <c r="F18" s="122" t="s">
        <v>2833</v>
      </c>
      <c r="G18" s="122" t="s">
        <v>2833</v>
      </c>
      <c r="H18" s="5">
        <v>3.0</v>
      </c>
      <c r="I18" s="5" t="s">
        <v>131</v>
      </c>
      <c r="J18" s="11" t="s">
        <v>1305</v>
      </c>
      <c r="K18" s="11" t="s">
        <v>1306</v>
      </c>
      <c r="L18" s="11" t="s">
        <v>1307</v>
      </c>
      <c r="M18" s="11" t="s">
        <v>1308</v>
      </c>
      <c r="N18" s="11" t="s">
        <v>1309</v>
      </c>
      <c r="O18" s="5" t="s">
        <v>30</v>
      </c>
      <c r="P18" s="5" t="s">
        <v>1310</v>
      </c>
      <c r="Q18" s="5" t="s">
        <v>759</v>
      </c>
      <c r="R18" s="5" t="s">
        <v>72</v>
      </c>
      <c r="S18" s="5" t="s">
        <v>73</v>
      </c>
      <c r="T18" s="3" t="s">
        <v>2466</v>
      </c>
      <c r="U18" s="125" t="s">
        <v>2473</v>
      </c>
      <c r="V18" s="12"/>
      <c r="W18" s="12"/>
      <c r="X18" s="12"/>
      <c r="Y18" s="12"/>
    </row>
    <row r="19" ht="22.5" customHeight="1">
      <c r="A19" s="123">
        <v>260168.0</v>
      </c>
      <c r="B19" s="124">
        <v>46035.9709334838</v>
      </c>
      <c r="C19" s="125" t="s">
        <v>1311</v>
      </c>
      <c r="D19" s="125" t="s">
        <v>1312</v>
      </c>
      <c r="E19" s="125" t="s">
        <v>1311</v>
      </c>
      <c r="F19" s="126" t="s">
        <v>2834</v>
      </c>
      <c r="G19" s="122" t="s">
        <v>2834</v>
      </c>
      <c r="H19" s="125">
        <v>1.0</v>
      </c>
      <c r="I19" s="125" t="s">
        <v>17</v>
      </c>
      <c r="J19" s="127" t="s">
        <v>1313</v>
      </c>
      <c r="K19" s="127" t="s">
        <v>1314</v>
      </c>
      <c r="L19" s="127" t="s">
        <v>1315</v>
      </c>
      <c r="M19" s="127" t="s">
        <v>1316</v>
      </c>
      <c r="N19" s="127" t="s">
        <v>1317</v>
      </c>
      <c r="O19" s="125" t="s">
        <v>162</v>
      </c>
      <c r="P19" s="125" t="s">
        <v>1318</v>
      </c>
      <c r="Q19" s="125" t="s">
        <v>61</v>
      </c>
      <c r="R19" s="125" t="s">
        <v>1319</v>
      </c>
      <c r="S19" s="125" t="s">
        <v>258</v>
      </c>
      <c r="T19" s="125" t="s">
        <v>2508</v>
      </c>
      <c r="U19" s="5" t="s">
        <v>2529</v>
      </c>
      <c r="V19" s="128"/>
      <c r="W19" s="128"/>
      <c r="X19" s="128"/>
      <c r="Y19" s="128"/>
      <c r="Z19" s="129"/>
      <c r="AA19" s="129"/>
      <c r="AB19" s="129"/>
      <c r="AC19" s="129"/>
      <c r="AD19" s="129"/>
    </row>
    <row r="20" ht="22.5" customHeight="1">
      <c r="A20" s="10">
        <v>260169.0</v>
      </c>
      <c r="B20" s="4">
        <v>46036.029833506946</v>
      </c>
      <c r="C20" s="5" t="s">
        <v>1320</v>
      </c>
      <c r="D20" s="5" t="s">
        <v>1321</v>
      </c>
      <c r="E20" s="5" t="s">
        <v>1320</v>
      </c>
      <c r="F20" s="122" t="s">
        <v>2833</v>
      </c>
      <c r="G20" s="122" t="s">
        <v>2833</v>
      </c>
      <c r="H20" s="5">
        <v>3.0</v>
      </c>
      <c r="I20" s="5" t="s">
        <v>17</v>
      </c>
      <c r="J20" s="11" t="s">
        <v>1322</v>
      </c>
      <c r="K20" s="11" t="s">
        <v>1323</v>
      </c>
      <c r="L20" s="11" t="s">
        <v>1324</v>
      </c>
      <c r="M20" s="11" t="s">
        <v>1325</v>
      </c>
      <c r="N20" s="11" t="s">
        <v>1326</v>
      </c>
      <c r="O20" s="5" t="s">
        <v>30</v>
      </c>
      <c r="P20" s="5" t="s">
        <v>785</v>
      </c>
      <c r="Q20" s="5" t="s">
        <v>61</v>
      </c>
      <c r="R20" s="5" t="s">
        <v>51</v>
      </c>
      <c r="S20" s="5" t="s">
        <v>52</v>
      </c>
      <c r="T20" s="3" t="s">
        <v>2644</v>
      </c>
      <c r="U20" s="3" t="s">
        <v>2571</v>
      </c>
      <c r="V20" s="12"/>
      <c r="W20" s="12"/>
      <c r="X20" s="12"/>
      <c r="Y20" s="12"/>
    </row>
    <row r="21" ht="22.5" customHeight="1">
      <c r="A21" s="10">
        <v>260170.0</v>
      </c>
      <c r="B21" s="4">
        <v>46036.04449672454</v>
      </c>
      <c r="C21" s="5" t="s">
        <v>1327</v>
      </c>
      <c r="D21" s="5" t="s">
        <v>1328</v>
      </c>
      <c r="E21" s="5" t="s">
        <v>1327</v>
      </c>
      <c r="F21" s="122" t="s">
        <v>2834</v>
      </c>
      <c r="G21" s="122" t="s">
        <v>2834</v>
      </c>
      <c r="H21" s="5">
        <v>1.0</v>
      </c>
      <c r="I21" s="5" t="s">
        <v>17</v>
      </c>
      <c r="J21" s="11" t="s">
        <v>1329</v>
      </c>
      <c r="K21" s="11" t="s">
        <v>1330</v>
      </c>
      <c r="L21" s="11" t="s">
        <v>544</v>
      </c>
      <c r="M21" s="11" t="s">
        <v>1331</v>
      </c>
      <c r="N21" s="11" t="s">
        <v>1332</v>
      </c>
      <c r="O21" s="5" t="s">
        <v>23</v>
      </c>
      <c r="P21" s="5" t="s">
        <v>1333</v>
      </c>
      <c r="Q21" s="5" t="s">
        <v>119</v>
      </c>
      <c r="R21" s="5" t="s">
        <v>549</v>
      </c>
      <c r="S21" s="5" t="s">
        <v>1195</v>
      </c>
      <c r="T21" s="3" t="s">
        <v>2602</v>
      </c>
      <c r="U21" s="3" t="s">
        <v>2618</v>
      </c>
      <c r="V21" s="12"/>
      <c r="W21" s="12"/>
      <c r="X21" s="12"/>
      <c r="Y21" s="12"/>
    </row>
    <row r="22" ht="22.5" customHeight="1">
      <c r="A22" s="10">
        <v>260171.0</v>
      </c>
      <c r="B22" s="4">
        <v>46036.045450509264</v>
      </c>
      <c r="C22" s="5" t="s">
        <v>1239</v>
      </c>
      <c r="D22" s="5" t="s">
        <v>1240</v>
      </c>
      <c r="E22" s="5" t="s">
        <v>1239</v>
      </c>
      <c r="F22" s="122" t="s">
        <v>2833</v>
      </c>
      <c r="G22" s="122" t="s">
        <v>2832</v>
      </c>
      <c r="H22" s="5">
        <v>5.0</v>
      </c>
      <c r="I22" s="5" t="s">
        <v>131</v>
      </c>
      <c r="J22" s="11" t="s">
        <v>1334</v>
      </c>
      <c r="K22" s="11" t="s">
        <v>1335</v>
      </c>
      <c r="L22" s="11" t="s">
        <v>1336</v>
      </c>
      <c r="M22" s="11" t="s">
        <v>869</v>
      </c>
      <c r="N22" s="11" t="s">
        <v>1337</v>
      </c>
      <c r="O22" s="5" t="s">
        <v>30</v>
      </c>
      <c r="P22" s="5" t="s">
        <v>1245</v>
      </c>
      <c r="Q22" s="5" t="s">
        <v>39</v>
      </c>
      <c r="R22" s="5" t="s">
        <v>51</v>
      </c>
      <c r="S22" s="5" t="s">
        <v>52</v>
      </c>
      <c r="T22" s="3" t="s">
        <v>2334</v>
      </c>
      <c r="U22" s="3" t="s">
        <v>2389</v>
      </c>
      <c r="V22" s="12"/>
      <c r="W22" s="12"/>
      <c r="X22" s="12"/>
      <c r="Y22" s="12"/>
    </row>
    <row r="23" ht="22.5" customHeight="1">
      <c r="A23" s="10">
        <v>260172.0</v>
      </c>
      <c r="B23" s="4">
        <v>46036.046442418985</v>
      </c>
      <c r="C23" s="5" t="s">
        <v>1338</v>
      </c>
      <c r="D23" s="5" t="s">
        <v>1339</v>
      </c>
      <c r="E23" s="5" t="s">
        <v>1338</v>
      </c>
      <c r="F23" s="122" t="s">
        <v>2832</v>
      </c>
      <c r="G23" s="122" t="s">
        <v>2833</v>
      </c>
      <c r="H23" s="5">
        <v>5.0</v>
      </c>
      <c r="I23" s="5" t="s">
        <v>64</v>
      </c>
      <c r="J23" s="11" t="s">
        <v>1340</v>
      </c>
      <c r="K23" s="11" t="s">
        <v>1341</v>
      </c>
      <c r="L23" s="11" t="s">
        <v>1342</v>
      </c>
      <c r="M23" s="11" t="s">
        <v>1343</v>
      </c>
      <c r="N23" s="11" t="s">
        <v>1344</v>
      </c>
      <c r="O23" s="5" t="s">
        <v>30</v>
      </c>
      <c r="P23" s="5" t="s">
        <v>1345</v>
      </c>
      <c r="Q23" s="5" t="s">
        <v>71</v>
      </c>
      <c r="R23" s="5" t="s">
        <v>72</v>
      </c>
      <c r="S23" s="5" t="s">
        <v>73</v>
      </c>
      <c r="T23" s="3" t="s">
        <v>2407</v>
      </c>
      <c r="U23" s="3" t="s">
        <v>2462</v>
      </c>
      <c r="V23" s="12"/>
      <c r="W23" s="12"/>
      <c r="X23" s="12"/>
      <c r="Y23" s="12"/>
    </row>
    <row r="24" ht="22.5" customHeight="1">
      <c r="A24" s="10">
        <v>260173.0</v>
      </c>
      <c r="B24" s="4">
        <v>46036.06293961806</v>
      </c>
      <c r="C24" s="5" t="s">
        <v>1346</v>
      </c>
      <c r="D24" s="5" t="s">
        <v>1347</v>
      </c>
      <c r="E24" s="5" t="s">
        <v>1346</v>
      </c>
      <c r="F24" s="122" t="s">
        <v>2833</v>
      </c>
      <c r="G24" s="122" t="s">
        <v>2834</v>
      </c>
      <c r="H24" s="5">
        <v>2.0</v>
      </c>
      <c r="I24" s="5" t="s">
        <v>64</v>
      </c>
      <c r="J24" s="11" t="s">
        <v>1348</v>
      </c>
      <c r="K24" s="11" t="s">
        <v>1349</v>
      </c>
      <c r="L24" s="11" t="s">
        <v>159</v>
      </c>
      <c r="M24" s="11" t="s">
        <v>1350</v>
      </c>
      <c r="N24" s="11" t="s">
        <v>1351</v>
      </c>
      <c r="O24" s="5" t="s">
        <v>30</v>
      </c>
      <c r="P24" s="5" t="s">
        <v>1352</v>
      </c>
      <c r="Q24" s="5" t="s">
        <v>119</v>
      </c>
      <c r="R24" s="5" t="s">
        <v>267</v>
      </c>
      <c r="S24" s="5" t="s">
        <v>268</v>
      </c>
      <c r="T24" s="3" t="s">
        <v>2401</v>
      </c>
      <c r="U24" s="3" t="s">
        <v>2495</v>
      </c>
      <c r="V24" s="12"/>
      <c r="W24" s="12"/>
      <c r="X24" s="12"/>
      <c r="Y24" s="12"/>
    </row>
    <row r="25" ht="22.5" customHeight="1">
      <c r="A25" s="10">
        <v>260174.0</v>
      </c>
      <c r="B25" s="4">
        <v>46036.13538108797</v>
      </c>
      <c r="C25" s="5" t="s">
        <v>269</v>
      </c>
      <c r="D25" s="5" t="s">
        <v>270</v>
      </c>
      <c r="E25" s="5" t="s">
        <v>269</v>
      </c>
      <c r="F25" s="122" t="s">
        <v>2833</v>
      </c>
      <c r="G25" s="122" t="s">
        <v>2833</v>
      </c>
      <c r="H25" s="5">
        <v>3.0</v>
      </c>
      <c r="I25" s="5" t="s">
        <v>17</v>
      </c>
      <c r="J25" s="11" t="s">
        <v>271</v>
      </c>
      <c r="K25" s="11" t="s">
        <v>1353</v>
      </c>
      <c r="L25" s="11" t="s">
        <v>274</v>
      </c>
      <c r="M25" s="11" t="s">
        <v>1354</v>
      </c>
      <c r="N25" s="11" t="s">
        <v>275</v>
      </c>
      <c r="O25" s="5" t="s">
        <v>23</v>
      </c>
      <c r="P25" s="5" t="s">
        <v>1355</v>
      </c>
      <c r="Q25" s="5" t="s">
        <v>61</v>
      </c>
      <c r="R25" s="5" t="s">
        <v>267</v>
      </c>
      <c r="S25" s="5" t="s">
        <v>268</v>
      </c>
      <c r="T25" s="3" t="s">
        <v>2359</v>
      </c>
      <c r="U25" s="3" t="s">
        <v>2607</v>
      </c>
      <c r="V25" s="12"/>
      <c r="W25" s="12"/>
      <c r="X25" s="12"/>
      <c r="Y25" s="12"/>
    </row>
    <row r="26" ht="22.5" customHeight="1">
      <c r="A26" s="10">
        <v>260175.0</v>
      </c>
      <c r="B26" s="4">
        <v>46036.18421611111</v>
      </c>
      <c r="C26" s="5" t="s">
        <v>1356</v>
      </c>
      <c r="D26" s="5" t="s">
        <v>1357</v>
      </c>
      <c r="E26" s="5" t="s">
        <v>1356</v>
      </c>
      <c r="F26" s="122" t="s">
        <v>2834</v>
      </c>
      <c r="G26" s="122" t="s">
        <v>2833</v>
      </c>
      <c r="H26" s="5">
        <v>2.0</v>
      </c>
      <c r="I26" s="5" t="s">
        <v>64</v>
      </c>
      <c r="J26" s="11" t="s">
        <v>1358</v>
      </c>
      <c r="K26" s="11" t="s">
        <v>1359</v>
      </c>
      <c r="L26" s="11" t="s">
        <v>1360</v>
      </c>
      <c r="M26" s="11" t="s">
        <v>1361</v>
      </c>
      <c r="N26" s="11" t="s">
        <v>714</v>
      </c>
      <c r="O26" s="5" t="s">
        <v>162</v>
      </c>
      <c r="P26" s="5" t="s">
        <v>1362</v>
      </c>
      <c r="Q26" s="5" t="s">
        <v>1363</v>
      </c>
      <c r="R26" s="5" t="s">
        <v>734</v>
      </c>
      <c r="S26" s="5" t="s">
        <v>734</v>
      </c>
      <c r="T26" s="3" t="s">
        <v>2644</v>
      </c>
      <c r="U26" s="3" t="s">
        <v>2618</v>
      </c>
      <c r="V26" s="12"/>
      <c r="W26" s="12"/>
      <c r="X26" s="12"/>
      <c r="Y26" s="12"/>
    </row>
    <row r="27" ht="22.5" customHeight="1">
      <c r="A27" s="10">
        <v>260176.0</v>
      </c>
      <c r="B27" s="4">
        <v>46036.2205894213</v>
      </c>
      <c r="C27" s="5" t="s">
        <v>1364</v>
      </c>
      <c r="D27" s="5" t="s">
        <v>1365</v>
      </c>
      <c r="E27" s="5" t="s">
        <v>1364</v>
      </c>
      <c r="F27" s="122" t="s">
        <v>2833</v>
      </c>
      <c r="G27" s="122" t="s">
        <v>2833</v>
      </c>
      <c r="H27" s="5">
        <v>3.0</v>
      </c>
      <c r="I27" s="5" t="s">
        <v>17</v>
      </c>
      <c r="J27" s="11" t="s">
        <v>1366</v>
      </c>
      <c r="K27" s="11" t="s">
        <v>1367</v>
      </c>
      <c r="L27" s="11" t="s">
        <v>1193</v>
      </c>
      <c r="M27" s="11" t="s">
        <v>1368</v>
      </c>
      <c r="N27" s="11" t="s">
        <v>1369</v>
      </c>
      <c r="O27" s="5" t="s">
        <v>23</v>
      </c>
      <c r="P27" s="5" t="s">
        <v>1116</v>
      </c>
      <c r="Q27" s="5" t="s">
        <v>119</v>
      </c>
      <c r="R27" s="5" t="s">
        <v>403</v>
      </c>
      <c r="S27" s="5" t="s">
        <v>51</v>
      </c>
      <c r="T27" s="3" t="s">
        <v>2401</v>
      </c>
      <c r="U27" s="3" t="s">
        <v>2495</v>
      </c>
      <c r="V27" s="12"/>
      <c r="W27" s="12"/>
      <c r="X27" s="12"/>
      <c r="Y27" s="12"/>
    </row>
    <row r="28" ht="22.5" customHeight="1">
      <c r="A28" s="131">
        <v>260177.0</v>
      </c>
      <c r="B28" s="132">
        <v>46036.27091261574</v>
      </c>
      <c r="C28" s="133" t="s">
        <v>1370</v>
      </c>
      <c r="D28" s="133" t="s">
        <v>1371</v>
      </c>
      <c r="E28" s="133" t="s">
        <v>1370</v>
      </c>
      <c r="F28" s="134" t="s">
        <v>2832</v>
      </c>
      <c r="G28" s="122" t="s">
        <v>2832</v>
      </c>
      <c r="H28" s="133">
        <v>7.0</v>
      </c>
      <c r="I28" s="133" t="s">
        <v>64</v>
      </c>
      <c r="J28" s="135" t="s">
        <v>1372</v>
      </c>
      <c r="K28" s="135" t="s">
        <v>1373</v>
      </c>
      <c r="L28" s="135" t="s">
        <v>1337</v>
      </c>
      <c r="M28" s="135" t="s">
        <v>715</v>
      </c>
      <c r="N28" s="135" t="s">
        <v>1374</v>
      </c>
      <c r="O28" s="133" t="s">
        <v>30</v>
      </c>
      <c r="P28" s="133" t="s">
        <v>515</v>
      </c>
      <c r="Q28" s="133" t="s">
        <v>61</v>
      </c>
      <c r="R28" s="133" t="s">
        <v>51</v>
      </c>
      <c r="S28" s="133" t="s">
        <v>52</v>
      </c>
      <c r="T28" s="133" t="s">
        <v>2623</v>
      </c>
      <c r="U28" s="3" t="s">
        <v>2630</v>
      </c>
      <c r="V28" s="136"/>
      <c r="W28" s="136"/>
      <c r="X28" s="136"/>
      <c r="Y28" s="136"/>
      <c r="Z28" s="137"/>
      <c r="AA28" s="137"/>
      <c r="AB28" s="137"/>
      <c r="AC28" s="137"/>
      <c r="AD28" s="137"/>
    </row>
    <row r="29" ht="22.5" customHeight="1">
      <c r="A29" s="14">
        <v>260178.0</v>
      </c>
      <c r="B29" s="4">
        <v>46036.425770092595</v>
      </c>
      <c r="C29" s="5" t="s">
        <v>1375</v>
      </c>
      <c r="D29" s="5" t="s">
        <v>1376</v>
      </c>
      <c r="E29" s="5" t="s">
        <v>1375</v>
      </c>
      <c r="F29" s="122" t="s">
        <v>2834</v>
      </c>
      <c r="G29" s="122" t="s">
        <v>2834</v>
      </c>
      <c r="H29" s="5">
        <v>1.0</v>
      </c>
      <c r="I29" s="5" t="s">
        <v>17</v>
      </c>
      <c r="J29" s="13" t="s">
        <v>1377</v>
      </c>
      <c r="K29" s="13" t="s">
        <v>1378</v>
      </c>
      <c r="L29" s="11" t="s">
        <v>1379</v>
      </c>
      <c r="M29" s="11" t="s">
        <v>1380</v>
      </c>
      <c r="N29" s="11" t="s">
        <v>1381</v>
      </c>
      <c r="O29" s="5" t="s">
        <v>162</v>
      </c>
      <c r="P29" s="5" t="s">
        <v>1382</v>
      </c>
      <c r="Q29" s="5" t="s">
        <v>1383</v>
      </c>
      <c r="R29" s="5" t="s">
        <v>200</v>
      </c>
      <c r="S29" s="5" t="s">
        <v>1384</v>
      </c>
      <c r="T29" s="3" t="s">
        <v>2646</v>
      </c>
      <c r="U29" s="5" t="s">
        <v>2607</v>
      </c>
      <c r="V29" s="12"/>
      <c r="W29" s="12"/>
      <c r="X29" s="12"/>
      <c r="Y29" s="12"/>
    </row>
    <row r="30" ht="22.5" customHeight="1">
      <c r="A30" s="10">
        <v>260179.0</v>
      </c>
      <c r="B30" s="4">
        <v>46036.576630787036</v>
      </c>
      <c r="C30" s="5" t="s">
        <v>1385</v>
      </c>
      <c r="D30" s="5" t="s">
        <v>1386</v>
      </c>
      <c r="E30" s="5" t="s">
        <v>1385</v>
      </c>
      <c r="F30" s="122" t="s">
        <v>2834</v>
      </c>
      <c r="G30" s="122" t="s">
        <v>2833</v>
      </c>
      <c r="H30" s="5">
        <v>2.0</v>
      </c>
      <c r="I30" s="5" t="s">
        <v>17</v>
      </c>
      <c r="J30" s="11" t="s">
        <v>1387</v>
      </c>
      <c r="K30" s="11" t="s">
        <v>1388</v>
      </c>
      <c r="L30" s="11" t="s">
        <v>1389</v>
      </c>
      <c r="M30" s="11" t="s">
        <v>1390</v>
      </c>
      <c r="N30" s="11" t="s">
        <v>1391</v>
      </c>
      <c r="O30" s="5" t="s">
        <v>30</v>
      </c>
      <c r="P30" s="5" t="s">
        <v>1392</v>
      </c>
      <c r="Q30" s="5" t="s">
        <v>164</v>
      </c>
      <c r="R30" s="5" t="s">
        <v>51</v>
      </c>
      <c r="S30" s="5" t="s">
        <v>52</v>
      </c>
      <c r="T30" s="3" t="s">
        <v>2359</v>
      </c>
      <c r="U30" s="3" t="s">
        <v>2529</v>
      </c>
      <c r="V30" s="12"/>
      <c r="W30" s="12"/>
      <c r="X30" s="12"/>
      <c r="Y30" s="12"/>
    </row>
    <row r="31" ht="22.5" customHeight="1">
      <c r="A31" s="14">
        <v>260180.0</v>
      </c>
      <c r="B31" s="4">
        <v>46036.722301898146</v>
      </c>
      <c r="C31" s="5" t="s">
        <v>1393</v>
      </c>
      <c r="D31" s="5" t="s">
        <v>1394</v>
      </c>
      <c r="E31" s="5" t="s">
        <v>1393</v>
      </c>
      <c r="F31" s="122" t="s">
        <v>2832</v>
      </c>
      <c r="G31" s="122" t="s">
        <v>2833</v>
      </c>
      <c r="H31" s="5">
        <v>5.0</v>
      </c>
      <c r="I31" s="5" t="s">
        <v>17</v>
      </c>
      <c r="J31" s="13" t="s">
        <v>1395</v>
      </c>
      <c r="K31" s="13" t="s">
        <v>1396</v>
      </c>
      <c r="L31" s="11" t="s">
        <v>1397</v>
      </c>
      <c r="M31" s="11" t="s">
        <v>1398</v>
      </c>
      <c r="N31" s="11" t="s">
        <v>1399</v>
      </c>
      <c r="O31" s="5" t="s">
        <v>30</v>
      </c>
      <c r="P31" s="5" t="s">
        <v>1400</v>
      </c>
      <c r="Q31" s="5" t="s">
        <v>119</v>
      </c>
      <c r="R31" s="5" t="s">
        <v>267</v>
      </c>
      <c r="S31" s="5" t="s">
        <v>1401</v>
      </c>
      <c r="T31" s="3" t="s">
        <v>2646</v>
      </c>
      <c r="U31" s="3" t="s">
        <v>2502</v>
      </c>
      <c r="V31" s="12"/>
      <c r="W31" s="12"/>
      <c r="X31" s="12"/>
      <c r="Y31" s="12"/>
    </row>
    <row r="32" ht="22.5" customHeight="1">
      <c r="A32" s="10">
        <v>260181.0</v>
      </c>
      <c r="B32" s="4">
        <v>46036.755130474536</v>
      </c>
      <c r="C32" s="5" t="s">
        <v>1402</v>
      </c>
      <c r="D32" s="5" t="s">
        <v>1403</v>
      </c>
      <c r="E32" s="5" t="s">
        <v>1402</v>
      </c>
      <c r="F32" s="122" t="s">
        <v>2834</v>
      </c>
      <c r="G32" s="122" t="s">
        <v>2833</v>
      </c>
      <c r="H32" s="5">
        <v>2.0</v>
      </c>
      <c r="I32" s="5" t="s">
        <v>17</v>
      </c>
      <c r="J32" s="11" t="s">
        <v>1404</v>
      </c>
      <c r="K32" s="11" t="s">
        <v>1405</v>
      </c>
      <c r="L32" s="11" t="s">
        <v>1406</v>
      </c>
      <c r="M32" s="11" t="s">
        <v>1407</v>
      </c>
      <c r="N32" s="11" t="s">
        <v>1408</v>
      </c>
      <c r="O32" s="5" t="s">
        <v>23</v>
      </c>
      <c r="P32" s="5" t="s">
        <v>1409</v>
      </c>
      <c r="Q32" s="5" t="s">
        <v>1410</v>
      </c>
      <c r="R32" s="5" t="s">
        <v>592</v>
      </c>
      <c r="S32" s="5" t="s">
        <v>593</v>
      </c>
      <c r="T32" s="3" t="s">
        <v>2449</v>
      </c>
      <c r="U32" s="3" t="s">
        <v>2473</v>
      </c>
      <c r="V32" s="12"/>
      <c r="W32" s="12"/>
      <c r="X32" s="12"/>
      <c r="Y32" s="12"/>
    </row>
    <row r="33" ht="22.5" customHeight="1">
      <c r="A33" s="131">
        <v>260182.0</v>
      </c>
      <c r="B33" s="132">
        <v>46036.76211672454</v>
      </c>
      <c r="C33" s="133" t="s">
        <v>1411</v>
      </c>
      <c r="D33" s="133" t="s">
        <v>1412</v>
      </c>
      <c r="E33" s="133" t="s">
        <v>1411</v>
      </c>
      <c r="F33" s="134" t="s">
        <v>2833</v>
      </c>
      <c r="G33" s="122" t="s">
        <v>2832</v>
      </c>
      <c r="H33" s="133">
        <v>5.0</v>
      </c>
      <c r="I33" s="133" t="s">
        <v>17</v>
      </c>
      <c r="J33" s="135" t="s">
        <v>1413</v>
      </c>
      <c r="K33" s="135" t="s">
        <v>1414</v>
      </c>
      <c r="L33" s="135" t="s">
        <v>1415</v>
      </c>
      <c r="M33" s="135" t="s">
        <v>1416</v>
      </c>
      <c r="N33" s="135" t="s">
        <v>1417</v>
      </c>
      <c r="O33" s="133" t="s">
        <v>30</v>
      </c>
      <c r="P33" s="133" t="s">
        <v>1418</v>
      </c>
      <c r="Q33" s="133" t="s">
        <v>119</v>
      </c>
      <c r="R33" s="133" t="s">
        <v>72</v>
      </c>
      <c r="S33" s="133" t="s">
        <v>73</v>
      </c>
      <c r="T33" s="133" t="s">
        <v>2623</v>
      </c>
      <c r="U33" s="133" t="s">
        <v>2630</v>
      </c>
      <c r="V33" s="136"/>
      <c r="W33" s="136"/>
      <c r="X33" s="136"/>
      <c r="Y33" s="136"/>
      <c r="Z33" s="137"/>
      <c r="AA33" s="137"/>
      <c r="AB33" s="137"/>
      <c r="AC33" s="137"/>
      <c r="AD33" s="137"/>
    </row>
    <row r="34" ht="22.5" customHeight="1">
      <c r="A34" s="10">
        <v>260183.0</v>
      </c>
      <c r="B34" s="4">
        <v>46036.808092175925</v>
      </c>
      <c r="C34" s="5" t="s">
        <v>1419</v>
      </c>
      <c r="D34" s="5" t="s">
        <v>1420</v>
      </c>
      <c r="E34" s="5" t="s">
        <v>1419</v>
      </c>
      <c r="F34" s="122" t="s">
        <v>2832</v>
      </c>
      <c r="G34" s="122" t="s">
        <v>2834</v>
      </c>
      <c r="H34" s="5">
        <v>4.0</v>
      </c>
      <c r="I34" s="5" t="s">
        <v>131</v>
      </c>
      <c r="J34" s="11" t="s">
        <v>1421</v>
      </c>
      <c r="K34" s="11" t="s">
        <v>1422</v>
      </c>
      <c r="L34" s="11" t="s">
        <v>1398</v>
      </c>
      <c r="M34" s="11" t="s">
        <v>1423</v>
      </c>
      <c r="N34" s="11" t="s">
        <v>1424</v>
      </c>
      <c r="O34" s="5" t="s">
        <v>23</v>
      </c>
      <c r="P34" s="5" t="s">
        <v>1425</v>
      </c>
      <c r="Q34" s="5" t="s">
        <v>119</v>
      </c>
      <c r="R34" s="5" t="s">
        <v>403</v>
      </c>
      <c r="S34" s="5" t="s">
        <v>404</v>
      </c>
      <c r="T34" s="3" t="s">
        <v>2502</v>
      </c>
      <c r="U34" s="3" t="s">
        <v>2607</v>
      </c>
      <c r="V34" s="12"/>
      <c r="W34" s="12"/>
      <c r="X34" s="12"/>
      <c r="Y34" s="12"/>
    </row>
    <row r="35" ht="22.5" customHeight="1">
      <c r="A35" s="10">
        <v>260184.0</v>
      </c>
      <c r="B35" s="4">
        <v>46036.81505146991</v>
      </c>
      <c r="C35" s="5" t="s">
        <v>1426</v>
      </c>
      <c r="D35" s="5" t="s">
        <v>1427</v>
      </c>
      <c r="E35" s="5" t="s">
        <v>1426</v>
      </c>
      <c r="F35" s="122" t="s">
        <v>2834</v>
      </c>
      <c r="G35" s="122" t="s">
        <v>2834</v>
      </c>
      <c r="H35" s="5">
        <v>1.0</v>
      </c>
      <c r="I35" s="5" t="s">
        <v>131</v>
      </c>
      <c r="J35" s="11" t="s">
        <v>1428</v>
      </c>
      <c r="K35" s="11" t="s">
        <v>1429</v>
      </c>
      <c r="L35" s="11" t="s">
        <v>1430</v>
      </c>
      <c r="M35" s="11" t="s">
        <v>1431</v>
      </c>
      <c r="N35" s="11" t="s">
        <v>1432</v>
      </c>
      <c r="O35" s="5" t="s">
        <v>30</v>
      </c>
      <c r="P35" s="5" t="s">
        <v>1433</v>
      </c>
      <c r="Q35" s="5" t="s">
        <v>61</v>
      </c>
      <c r="R35" s="5" t="s">
        <v>51</v>
      </c>
      <c r="S35" s="5" t="s">
        <v>73</v>
      </c>
      <c r="T35" s="3" t="s">
        <v>2473</v>
      </c>
      <c r="U35" s="3" t="s">
        <v>2618</v>
      </c>
      <c r="V35" s="12"/>
      <c r="W35" s="12"/>
      <c r="X35" s="12"/>
      <c r="Y35" s="12"/>
    </row>
    <row r="36" ht="22.5" customHeight="1">
      <c r="A36" s="10">
        <v>260185.0</v>
      </c>
      <c r="B36" s="4">
        <v>46036.82279046296</v>
      </c>
      <c r="C36" s="5" t="s">
        <v>1434</v>
      </c>
      <c r="D36" s="5" t="s">
        <v>1435</v>
      </c>
      <c r="E36" s="5" t="s">
        <v>1434</v>
      </c>
      <c r="F36" s="122" t="s">
        <v>2834</v>
      </c>
      <c r="G36" s="122" t="s">
        <v>2834</v>
      </c>
      <c r="H36" s="5">
        <v>1.0</v>
      </c>
      <c r="I36" s="5" t="s">
        <v>17</v>
      </c>
      <c r="J36" s="11" t="s">
        <v>1436</v>
      </c>
      <c r="K36" s="11" t="s">
        <v>1437</v>
      </c>
      <c r="L36" s="11" t="s">
        <v>1438</v>
      </c>
      <c r="M36" s="11" t="s">
        <v>1439</v>
      </c>
      <c r="N36" s="11" t="s">
        <v>1440</v>
      </c>
      <c r="O36" s="5" t="s">
        <v>23</v>
      </c>
      <c r="P36" s="5" t="s">
        <v>1441</v>
      </c>
      <c r="Q36" s="5" t="s">
        <v>119</v>
      </c>
      <c r="R36" s="5" t="s">
        <v>181</v>
      </c>
      <c r="S36" s="5" t="s">
        <v>660</v>
      </c>
      <c r="T36" s="3" t="s">
        <v>2449</v>
      </c>
      <c r="U36" s="3" t="s">
        <v>2618</v>
      </c>
      <c r="V36" s="12"/>
      <c r="W36" s="12"/>
      <c r="X36" s="12"/>
      <c r="Y36" s="12"/>
    </row>
    <row r="37" ht="22.5" customHeight="1">
      <c r="A37" s="10">
        <v>260186.0</v>
      </c>
      <c r="B37" s="4">
        <v>46036.82948153935</v>
      </c>
      <c r="C37" s="5" t="s">
        <v>1442</v>
      </c>
      <c r="D37" s="5" t="s">
        <v>1443</v>
      </c>
      <c r="E37" s="5" t="s">
        <v>1442</v>
      </c>
      <c r="F37" s="122" t="s">
        <v>2834</v>
      </c>
      <c r="G37" s="122" t="s">
        <v>2834</v>
      </c>
      <c r="H37" s="5">
        <v>1.0</v>
      </c>
      <c r="I37" s="5" t="s">
        <v>17</v>
      </c>
      <c r="J37" s="11" t="s">
        <v>1444</v>
      </c>
      <c r="K37" s="11" t="s">
        <v>1445</v>
      </c>
      <c r="L37" s="11" t="s">
        <v>1446</v>
      </c>
      <c r="M37" s="11" t="s">
        <v>1291</v>
      </c>
      <c r="N37" s="11" t="s">
        <v>1447</v>
      </c>
      <c r="O37" s="5" t="s">
        <v>30</v>
      </c>
      <c r="P37" s="5" t="s">
        <v>1448</v>
      </c>
      <c r="Q37" s="5" t="s">
        <v>1383</v>
      </c>
      <c r="R37" s="5" t="s">
        <v>200</v>
      </c>
      <c r="S37" s="5" t="s">
        <v>201</v>
      </c>
      <c r="T37" s="3" t="s">
        <v>2508</v>
      </c>
      <c r="U37" s="3" t="s">
        <v>2607</v>
      </c>
      <c r="V37" s="12"/>
      <c r="W37" s="12"/>
      <c r="X37" s="12"/>
      <c r="Y37" s="12"/>
    </row>
    <row r="38" ht="22.5" customHeight="1">
      <c r="A38" s="10">
        <v>260187.0</v>
      </c>
      <c r="B38" s="4">
        <v>46036.827206608796</v>
      </c>
      <c r="C38" s="5" t="s">
        <v>1449</v>
      </c>
      <c r="D38" s="5" t="s">
        <v>1450</v>
      </c>
      <c r="E38" s="5" t="s">
        <v>1449</v>
      </c>
      <c r="F38" s="122" t="s">
        <v>2833</v>
      </c>
      <c r="G38" s="122" t="s">
        <v>2832</v>
      </c>
      <c r="H38" s="5">
        <v>5.0</v>
      </c>
      <c r="I38" s="5" t="s">
        <v>17</v>
      </c>
      <c r="J38" s="11" t="s">
        <v>1451</v>
      </c>
      <c r="K38" s="11" t="s">
        <v>1452</v>
      </c>
      <c r="L38" s="11" t="s">
        <v>1453</v>
      </c>
      <c r="M38" s="11" t="s">
        <v>1454</v>
      </c>
      <c r="N38" s="11" t="s">
        <v>1455</v>
      </c>
      <c r="O38" s="5" t="s">
        <v>162</v>
      </c>
      <c r="P38" s="5" t="s">
        <v>1456</v>
      </c>
      <c r="Q38" s="5" t="s">
        <v>119</v>
      </c>
      <c r="R38" s="5" t="s">
        <v>200</v>
      </c>
      <c r="S38" s="5" t="s">
        <v>1457</v>
      </c>
      <c r="T38" s="3" t="s">
        <v>2473</v>
      </c>
      <c r="U38" s="3" t="s">
        <v>2612</v>
      </c>
      <c r="V38" s="12"/>
      <c r="W38" s="12"/>
      <c r="X38" s="12"/>
      <c r="Y38" s="12"/>
    </row>
    <row r="39" ht="22.5" customHeight="1">
      <c r="A39" s="10">
        <v>260188.0</v>
      </c>
      <c r="B39" s="4">
        <v>46036.834786990745</v>
      </c>
      <c r="C39" s="5" t="s">
        <v>1458</v>
      </c>
      <c r="D39" s="5" t="s">
        <v>1459</v>
      </c>
      <c r="E39" s="5" t="s">
        <v>1458</v>
      </c>
      <c r="F39" s="122" t="s">
        <v>2834</v>
      </c>
      <c r="G39" s="122" t="s">
        <v>2837</v>
      </c>
      <c r="H39" s="5" t="s">
        <v>2838</v>
      </c>
      <c r="I39" s="5" t="s">
        <v>17</v>
      </c>
      <c r="J39" s="11" t="s">
        <v>1460</v>
      </c>
      <c r="K39" s="11" t="s">
        <v>1461</v>
      </c>
      <c r="L39" s="11" t="s">
        <v>1462</v>
      </c>
      <c r="M39" s="11" t="s">
        <v>1463</v>
      </c>
      <c r="N39" s="11" t="s">
        <v>1464</v>
      </c>
      <c r="O39" s="5" t="s">
        <v>30</v>
      </c>
      <c r="P39" s="5" t="s">
        <v>1465</v>
      </c>
      <c r="Q39" s="5" t="s">
        <v>71</v>
      </c>
      <c r="R39" s="5" t="s">
        <v>51</v>
      </c>
      <c r="S39" s="5" t="s">
        <v>52</v>
      </c>
      <c r="T39" s="3" t="s">
        <v>2514</v>
      </c>
      <c r="U39" s="3" t="s">
        <v>2560</v>
      </c>
      <c r="V39" s="12"/>
      <c r="W39" s="12"/>
      <c r="X39" s="12"/>
      <c r="Y39" s="12"/>
    </row>
    <row r="40" ht="22.5" customHeight="1">
      <c r="A40" s="10">
        <v>260189.0</v>
      </c>
      <c r="B40" s="4">
        <v>46036.882518900464</v>
      </c>
      <c r="C40" s="5" t="s">
        <v>1466</v>
      </c>
      <c r="D40" s="5" t="s">
        <v>1467</v>
      </c>
      <c r="E40" s="5" t="s">
        <v>1466</v>
      </c>
      <c r="F40" s="122" t="s">
        <v>2834</v>
      </c>
      <c r="G40" s="122" t="s">
        <v>2833</v>
      </c>
      <c r="H40" s="5">
        <v>2.0</v>
      </c>
      <c r="I40" s="5" t="s">
        <v>17</v>
      </c>
      <c r="J40" s="11" t="s">
        <v>1468</v>
      </c>
      <c r="K40" s="11" t="s">
        <v>1469</v>
      </c>
      <c r="L40" s="11" t="s">
        <v>1470</v>
      </c>
      <c r="M40" s="11" t="s">
        <v>1471</v>
      </c>
      <c r="N40" s="11" t="s">
        <v>1472</v>
      </c>
      <c r="O40" s="5" t="s">
        <v>23</v>
      </c>
      <c r="P40" s="5" t="s">
        <v>1473</v>
      </c>
      <c r="Q40" s="5" t="s">
        <v>119</v>
      </c>
      <c r="R40" s="5" t="s">
        <v>200</v>
      </c>
      <c r="S40" s="5" t="s">
        <v>566</v>
      </c>
      <c r="T40" s="3" t="s">
        <v>2420</v>
      </c>
      <c r="U40" s="3" t="s">
        <v>2597</v>
      </c>
      <c r="V40" s="12"/>
      <c r="W40" s="12"/>
      <c r="X40" s="12"/>
      <c r="Y40" s="12"/>
    </row>
    <row r="41" ht="22.5" customHeight="1">
      <c r="A41" s="96">
        <v>260190.0</v>
      </c>
      <c r="B41" s="97">
        <v>46036.88407650463</v>
      </c>
      <c r="C41" s="98" t="s">
        <v>1474</v>
      </c>
      <c r="D41" s="98" t="s">
        <v>1475</v>
      </c>
      <c r="E41" s="98" t="s">
        <v>1474</v>
      </c>
      <c r="F41" s="138"/>
      <c r="G41" s="139"/>
      <c r="H41" s="98"/>
      <c r="I41" s="98" t="s">
        <v>131</v>
      </c>
      <c r="J41" s="99" t="s">
        <v>1476</v>
      </c>
      <c r="K41" s="99" t="s">
        <v>1477</v>
      </c>
      <c r="L41" s="99" t="s">
        <v>1478</v>
      </c>
      <c r="M41" s="99" t="s">
        <v>1479</v>
      </c>
      <c r="N41" s="99" t="s">
        <v>1480</v>
      </c>
      <c r="O41" s="98" t="s">
        <v>23</v>
      </c>
      <c r="P41" s="98" t="s">
        <v>1481</v>
      </c>
      <c r="Q41" s="98" t="s">
        <v>25</v>
      </c>
      <c r="R41" s="98" t="s">
        <v>51</v>
      </c>
      <c r="S41" s="98" t="s">
        <v>73</v>
      </c>
      <c r="T41" s="98" t="s">
        <v>2631</v>
      </c>
      <c r="U41" s="98" t="s">
        <v>2631</v>
      </c>
      <c r="V41" s="98" t="s">
        <v>162</v>
      </c>
      <c r="W41" s="98" t="s">
        <v>2668</v>
      </c>
      <c r="X41" s="100"/>
      <c r="Y41" s="100"/>
      <c r="Z41" s="101"/>
      <c r="AA41" s="101"/>
      <c r="AB41" s="101"/>
      <c r="AC41" s="101"/>
      <c r="AD41" s="101"/>
    </row>
    <row r="42" ht="22.5" customHeight="1">
      <c r="A42" s="10">
        <v>260191.0</v>
      </c>
      <c r="B42" s="4">
        <v>46036.889546307866</v>
      </c>
      <c r="C42" s="5" t="s">
        <v>1474</v>
      </c>
      <c r="D42" s="5" t="s">
        <v>1475</v>
      </c>
      <c r="E42" s="5" t="s">
        <v>1474</v>
      </c>
      <c r="F42" s="122" t="s">
        <v>2832</v>
      </c>
      <c r="G42" s="122" t="s">
        <v>2832</v>
      </c>
      <c r="H42" s="5">
        <v>7.0</v>
      </c>
      <c r="I42" s="5" t="s">
        <v>131</v>
      </c>
      <c r="J42" s="11" t="s">
        <v>1476</v>
      </c>
      <c r="K42" s="11" t="s">
        <v>1482</v>
      </c>
      <c r="L42" s="11" t="s">
        <v>1483</v>
      </c>
      <c r="M42" s="11" t="s">
        <v>1479</v>
      </c>
      <c r="N42" s="11" t="s">
        <v>1484</v>
      </c>
      <c r="O42" s="5" t="s">
        <v>30</v>
      </c>
      <c r="P42" s="5" t="s">
        <v>1485</v>
      </c>
      <c r="Q42" s="5" t="s">
        <v>25</v>
      </c>
      <c r="R42" s="5" t="s">
        <v>51</v>
      </c>
      <c r="S42" s="5" t="s">
        <v>52</v>
      </c>
      <c r="T42" s="3" t="s">
        <v>2602</v>
      </c>
      <c r="U42" s="3" t="s">
        <v>2607</v>
      </c>
      <c r="V42" s="12"/>
      <c r="W42" s="12"/>
      <c r="X42" s="12"/>
      <c r="Y42" s="12"/>
    </row>
    <row r="43" ht="22.5" customHeight="1">
      <c r="A43" s="10">
        <v>260192.0</v>
      </c>
      <c r="B43" s="4">
        <v>46036.97931879629</v>
      </c>
      <c r="C43" s="5" t="s">
        <v>1486</v>
      </c>
      <c r="D43" s="5" t="s">
        <v>1487</v>
      </c>
      <c r="E43" s="5" t="s">
        <v>1486</v>
      </c>
      <c r="F43" s="122" t="s">
        <v>2833</v>
      </c>
      <c r="G43" s="122" t="s">
        <v>2833</v>
      </c>
      <c r="H43" s="5">
        <v>3.0</v>
      </c>
      <c r="I43" s="5" t="s">
        <v>17</v>
      </c>
      <c r="J43" s="11" t="s">
        <v>1488</v>
      </c>
      <c r="K43" s="11" t="s">
        <v>1489</v>
      </c>
      <c r="L43" s="11" t="s">
        <v>1490</v>
      </c>
      <c r="M43" s="11" t="s">
        <v>1491</v>
      </c>
      <c r="N43" s="11" t="s">
        <v>1492</v>
      </c>
      <c r="O43" s="5" t="s">
        <v>30</v>
      </c>
      <c r="P43" s="5" t="s">
        <v>878</v>
      </c>
      <c r="Q43" s="5" t="s">
        <v>119</v>
      </c>
      <c r="R43" s="5" t="s">
        <v>548</v>
      </c>
      <c r="S43" s="5" t="s">
        <v>182</v>
      </c>
      <c r="T43" s="3" t="s">
        <v>2359</v>
      </c>
      <c r="U43" s="3" t="s">
        <v>2602</v>
      </c>
      <c r="V43" s="12"/>
      <c r="W43" s="12"/>
      <c r="X43" s="12"/>
      <c r="Y43" s="12"/>
    </row>
    <row r="44" ht="22.5" customHeight="1">
      <c r="A44" s="10">
        <v>260193.0</v>
      </c>
      <c r="B44" s="4">
        <v>46036.99351947916</v>
      </c>
      <c r="C44" s="5" t="s">
        <v>1221</v>
      </c>
      <c r="D44" s="5" t="s">
        <v>1493</v>
      </c>
      <c r="E44" s="5" t="s">
        <v>1221</v>
      </c>
      <c r="F44" s="122" t="s">
        <v>2834</v>
      </c>
      <c r="G44" s="122" t="s">
        <v>2834</v>
      </c>
      <c r="H44" s="5">
        <v>1.0</v>
      </c>
      <c r="I44" s="5" t="s">
        <v>17</v>
      </c>
      <c r="J44" s="11" t="s">
        <v>1494</v>
      </c>
      <c r="K44" s="11" t="s">
        <v>1495</v>
      </c>
      <c r="L44" s="11" t="s">
        <v>1496</v>
      </c>
      <c r="M44" s="11" t="s">
        <v>1497</v>
      </c>
      <c r="N44" s="11" t="s">
        <v>1498</v>
      </c>
      <c r="O44" s="5" t="s">
        <v>162</v>
      </c>
      <c r="P44" s="5" t="s">
        <v>1228</v>
      </c>
      <c r="Q44" s="5" t="s">
        <v>61</v>
      </c>
      <c r="R44" s="5" t="s">
        <v>200</v>
      </c>
      <c r="S44" s="5" t="s">
        <v>26</v>
      </c>
      <c r="T44" s="3" t="s">
        <v>2449</v>
      </c>
      <c r="U44" s="3" t="s">
        <v>2432</v>
      </c>
      <c r="V44" s="12"/>
      <c r="W44" s="12"/>
      <c r="X44" s="12"/>
      <c r="Y44" s="12"/>
    </row>
    <row r="45" ht="22.5" customHeight="1">
      <c r="A45" s="10">
        <v>260194.0</v>
      </c>
      <c r="B45" s="4">
        <v>46037.007595717594</v>
      </c>
      <c r="C45" s="5" t="s">
        <v>1499</v>
      </c>
      <c r="D45" s="5" t="s">
        <v>1500</v>
      </c>
      <c r="E45" s="5" t="s">
        <v>1499</v>
      </c>
      <c r="F45" s="122" t="s">
        <v>2834</v>
      </c>
      <c r="G45" s="122" t="s">
        <v>2834</v>
      </c>
      <c r="H45" s="5">
        <v>1.0</v>
      </c>
      <c r="I45" s="5" t="s">
        <v>17</v>
      </c>
      <c r="J45" s="11" t="s">
        <v>1501</v>
      </c>
      <c r="K45" s="11" t="s">
        <v>1502</v>
      </c>
      <c r="L45" s="11" t="s">
        <v>21</v>
      </c>
      <c r="M45" s="11" t="s">
        <v>1503</v>
      </c>
      <c r="N45" s="11" t="s">
        <v>1504</v>
      </c>
      <c r="O45" s="5" t="s">
        <v>162</v>
      </c>
      <c r="P45" s="5" t="s">
        <v>1505</v>
      </c>
      <c r="Q45" s="5" t="s">
        <v>31</v>
      </c>
      <c r="R45" s="5" t="s">
        <v>26</v>
      </c>
      <c r="S45" s="5" t="s">
        <v>825</v>
      </c>
      <c r="T45" s="3" t="s">
        <v>2514</v>
      </c>
      <c r="U45" s="3" t="s">
        <v>2560</v>
      </c>
      <c r="V45" s="12"/>
      <c r="W45" s="12"/>
      <c r="X45" s="12"/>
      <c r="Y45" s="12"/>
    </row>
    <row r="46" ht="22.5" customHeight="1">
      <c r="A46" s="10">
        <v>260195.0</v>
      </c>
      <c r="B46" s="4">
        <v>46037.00824303241</v>
      </c>
      <c r="C46" s="5" t="s">
        <v>1506</v>
      </c>
      <c r="D46" s="5" t="s">
        <v>1507</v>
      </c>
      <c r="E46" s="5" t="s">
        <v>1506</v>
      </c>
      <c r="F46" s="122" t="s">
        <v>2834</v>
      </c>
      <c r="G46" s="122" t="s">
        <v>2834</v>
      </c>
      <c r="H46" s="5">
        <v>1.0</v>
      </c>
      <c r="I46" s="5" t="s">
        <v>17</v>
      </c>
      <c r="J46" s="11" t="s">
        <v>1508</v>
      </c>
      <c r="K46" s="11" t="s">
        <v>1509</v>
      </c>
      <c r="L46" s="11" t="s">
        <v>1510</v>
      </c>
      <c r="M46" s="11" t="s">
        <v>1257</v>
      </c>
      <c r="N46" s="11" t="s">
        <v>1511</v>
      </c>
      <c r="O46" s="5" t="s">
        <v>162</v>
      </c>
      <c r="P46" s="5" t="s">
        <v>1260</v>
      </c>
      <c r="Q46" s="5" t="s">
        <v>1512</v>
      </c>
      <c r="R46" s="5" t="s">
        <v>592</v>
      </c>
      <c r="S46" s="5" t="s">
        <v>593</v>
      </c>
      <c r="T46" s="3" t="s">
        <v>2479</v>
      </c>
      <c r="U46" s="3" t="s">
        <v>2645</v>
      </c>
      <c r="V46" s="12"/>
      <c r="W46" s="12"/>
      <c r="X46" s="12"/>
      <c r="Y46" s="12"/>
    </row>
    <row r="47" ht="22.5" customHeight="1">
      <c r="A47" s="131">
        <v>260196.0</v>
      </c>
      <c r="B47" s="132">
        <v>46037.05882556713</v>
      </c>
      <c r="C47" s="133" t="s">
        <v>1513</v>
      </c>
      <c r="D47" s="133" t="s">
        <v>1514</v>
      </c>
      <c r="E47" s="133" t="s">
        <v>1513</v>
      </c>
      <c r="F47" s="134" t="s">
        <v>2834</v>
      </c>
      <c r="G47" s="122" t="s">
        <v>2834</v>
      </c>
      <c r="H47" s="133">
        <v>1.0</v>
      </c>
      <c r="I47" s="133" t="s">
        <v>17</v>
      </c>
      <c r="J47" s="135" t="s">
        <v>1515</v>
      </c>
      <c r="K47" s="135" t="s">
        <v>1516</v>
      </c>
      <c r="L47" s="135" t="s">
        <v>1517</v>
      </c>
      <c r="M47" s="135" t="s">
        <v>1518</v>
      </c>
      <c r="N47" s="135" t="s">
        <v>1115</v>
      </c>
      <c r="O47" s="133" t="s">
        <v>162</v>
      </c>
      <c r="P47" s="133" t="s">
        <v>1519</v>
      </c>
      <c r="Q47" s="133" t="s">
        <v>25</v>
      </c>
      <c r="R47" s="133" t="s">
        <v>592</v>
      </c>
      <c r="S47" s="133" t="s">
        <v>593</v>
      </c>
      <c r="T47" s="133" t="s">
        <v>2502</v>
      </c>
      <c r="U47" s="133" t="s">
        <v>2432</v>
      </c>
      <c r="V47" s="136"/>
      <c r="W47" s="136"/>
      <c r="X47" s="136"/>
      <c r="Y47" s="136"/>
      <c r="Z47" s="137"/>
      <c r="AA47" s="137"/>
      <c r="AB47" s="137"/>
      <c r="AC47" s="137"/>
      <c r="AD47" s="137"/>
    </row>
    <row r="48" ht="22.5" customHeight="1">
      <c r="A48" s="10">
        <v>260197.0</v>
      </c>
      <c r="B48" s="4">
        <v>46037.109012569446</v>
      </c>
      <c r="C48" s="5" t="s">
        <v>1520</v>
      </c>
      <c r="D48" s="5" t="s">
        <v>1521</v>
      </c>
      <c r="E48" s="5" t="s">
        <v>1520</v>
      </c>
      <c r="F48" s="122" t="s">
        <v>2834</v>
      </c>
      <c r="G48" s="122" t="s">
        <v>2833</v>
      </c>
      <c r="H48" s="5">
        <v>2.0</v>
      </c>
      <c r="I48" s="5" t="s">
        <v>17</v>
      </c>
      <c r="J48" s="11" t="s">
        <v>1522</v>
      </c>
      <c r="K48" s="11" t="s">
        <v>1523</v>
      </c>
      <c r="L48" s="11" t="s">
        <v>1524</v>
      </c>
      <c r="M48" s="11" t="s">
        <v>1525</v>
      </c>
      <c r="N48" s="11" t="s">
        <v>1526</v>
      </c>
      <c r="O48" s="5" t="s">
        <v>30</v>
      </c>
      <c r="P48" s="5" t="s">
        <v>1527</v>
      </c>
      <c r="Q48" s="5" t="s">
        <v>119</v>
      </c>
      <c r="R48" s="5" t="s">
        <v>437</v>
      </c>
      <c r="S48" s="5" t="s">
        <v>328</v>
      </c>
      <c r="T48" s="3" t="s">
        <v>2612</v>
      </c>
      <c r="U48" s="3" t="s">
        <v>2618</v>
      </c>
      <c r="V48" s="12"/>
      <c r="W48" s="12"/>
      <c r="X48" s="12"/>
      <c r="Y48" s="12"/>
    </row>
    <row r="49" ht="22.5" customHeight="1">
      <c r="A49" s="10">
        <v>260198.0</v>
      </c>
      <c r="B49" s="4">
        <v>46037.141765416665</v>
      </c>
      <c r="C49" s="5" t="s">
        <v>1528</v>
      </c>
      <c r="D49" s="5" t="s">
        <v>1529</v>
      </c>
      <c r="E49" s="5" t="s">
        <v>1528</v>
      </c>
      <c r="F49" s="122" t="s">
        <v>2834</v>
      </c>
      <c r="G49" s="122" t="s">
        <v>2833</v>
      </c>
      <c r="H49" s="5">
        <v>2.0</v>
      </c>
      <c r="I49" s="5" t="s">
        <v>64</v>
      </c>
      <c r="J49" s="11" t="s">
        <v>1530</v>
      </c>
      <c r="K49" s="11" t="s">
        <v>1531</v>
      </c>
      <c r="L49" s="11" t="s">
        <v>1532</v>
      </c>
      <c r="M49" s="11" t="s">
        <v>1533</v>
      </c>
      <c r="N49" s="11" t="s">
        <v>1534</v>
      </c>
      <c r="O49" s="5" t="s">
        <v>30</v>
      </c>
      <c r="P49" s="5" t="s">
        <v>81</v>
      </c>
      <c r="Q49" s="5" t="s">
        <v>61</v>
      </c>
      <c r="R49" s="5" t="s">
        <v>72</v>
      </c>
      <c r="S49" s="5" t="s">
        <v>73</v>
      </c>
      <c r="T49" s="3" t="s">
        <v>2502</v>
      </c>
      <c r="U49" s="3" t="s">
        <v>2381</v>
      </c>
      <c r="V49" s="12"/>
      <c r="W49" s="12"/>
      <c r="X49" s="12"/>
      <c r="Y49" s="12"/>
    </row>
    <row r="50" ht="22.5" customHeight="1">
      <c r="A50" s="10">
        <v>260199.0</v>
      </c>
      <c r="B50" s="4">
        <v>46037.15891774306</v>
      </c>
      <c r="C50" s="5" t="s">
        <v>1535</v>
      </c>
      <c r="D50" s="5" t="s">
        <v>1536</v>
      </c>
      <c r="E50" s="5" t="s">
        <v>1535</v>
      </c>
      <c r="F50" s="122" t="s">
        <v>2833</v>
      </c>
      <c r="G50" s="122" t="s">
        <v>2834</v>
      </c>
      <c r="H50" s="5">
        <v>2.0</v>
      </c>
      <c r="I50" s="5" t="s">
        <v>64</v>
      </c>
      <c r="J50" s="11" t="s">
        <v>1537</v>
      </c>
      <c r="K50" s="11" t="s">
        <v>1538</v>
      </c>
      <c r="L50" s="11" t="s">
        <v>1539</v>
      </c>
      <c r="M50" s="11" t="s">
        <v>1540</v>
      </c>
      <c r="N50" s="11" t="s">
        <v>1541</v>
      </c>
      <c r="O50" s="5" t="s">
        <v>23</v>
      </c>
      <c r="P50" s="5" t="s">
        <v>1116</v>
      </c>
      <c r="Q50" s="5" t="s">
        <v>119</v>
      </c>
      <c r="R50" s="5" t="s">
        <v>833</v>
      </c>
      <c r="S50" s="5" t="s">
        <v>1542</v>
      </c>
      <c r="T50" s="3" t="s">
        <v>2455</v>
      </c>
      <c r="U50" s="3" t="s">
        <v>2602</v>
      </c>
      <c r="V50" s="12"/>
      <c r="W50" s="12"/>
      <c r="X50" s="12"/>
      <c r="Y50" s="12"/>
    </row>
    <row r="51" ht="22.5" customHeight="1">
      <c r="A51" s="10">
        <v>260200.0</v>
      </c>
      <c r="B51" s="4">
        <v>46037.25124188657</v>
      </c>
      <c r="C51" s="5" t="s">
        <v>1543</v>
      </c>
      <c r="D51" s="5" t="s">
        <v>1544</v>
      </c>
      <c r="E51" s="5" t="s">
        <v>1543</v>
      </c>
      <c r="F51" s="122" t="s">
        <v>2833</v>
      </c>
      <c r="G51" s="122" t="s">
        <v>2834</v>
      </c>
      <c r="H51" s="5">
        <v>2.0</v>
      </c>
      <c r="I51" s="5" t="s">
        <v>17</v>
      </c>
      <c r="J51" s="11" t="s">
        <v>1545</v>
      </c>
      <c r="K51" s="11" t="s">
        <v>1546</v>
      </c>
      <c r="L51" s="11" t="s">
        <v>1547</v>
      </c>
      <c r="M51" s="11" t="s">
        <v>1548</v>
      </c>
      <c r="N51" s="11" t="s">
        <v>1549</v>
      </c>
      <c r="O51" s="5" t="s">
        <v>23</v>
      </c>
      <c r="P51" s="5" t="s">
        <v>39</v>
      </c>
      <c r="Q51" s="5" t="s">
        <v>39</v>
      </c>
      <c r="R51" s="5" t="s">
        <v>549</v>
      </c>
      <c r="S51" s="5" t="s">
        <v>1195</v>
      </c>
      <c r="T51" s="3" t="s">
        <v>2495</v>
      </c>
      <c r="U51" s="3" t="s">
        <v>2479</v>
      </c>
      <c r="V51" s="12"/>
      <c r="W51" s="12"/>
      <c r="X51" s="12"/>
      <c r="Y51" s="12"/>
    </row>
    <row r="52">
      <c r="A52" s="18"/>
      <c r="F52" s="140"/>
      <c r="J52" s="19"/>
      <c r="K52" s="19"/>
      <c r="L52" s="19"/>
      <c r="M52" s="19"/>
      <c r="N52" s="19"/>
    </row>
    <row r="53">
      <c r="A53" s="18"/>
      <c r="F53" s="140"/>
      <c r="J53" s="19"/>
      <c r="K53" s="19"/>
      <c r="L53" s="19"/>
      <c r="M53" s="19"/>
      <c r="N53" s="19"/>
    </row>
    <row r="54">
      <c r="A54" s="18"/>
      <c r="F54" s="140"/>
      <c r="J54" s="19"/>
      <c r="K54" s="19"/>
      <c r="L54" s="19"/>
      <c r="M54" s="19"/>
      <c r="N54" s="19"/>
    </row>
    <row r="55">
      <c r="A55" s="18"/>
      <c r="F55" s="140"/>
      <c r="J55" s="19"/>
      <c r="K55" s="19"/>
      <c r="L55" s="19"/>
      <c r="M55" s="19"/>
      <c r="N55" s="19"/>
    </row>
    <row r="56">
      <c r="A56" s="18"/>
      <c r="F56" s="140"/>
      <c r="J56" s="19"/>
      <c r="K56" s="19"/>
      <c r="L56" s="19"/>
      <c r="M56" s="19"/>
      <c r="N56" s="19"/>
    </row>
    <row r="57">
      <c r="A57" s="18"/>
      <c r="F57" s="140"/>
      <c r="J57" s="19"/>
      <c r="K57" s="19"/>
      <c r="L57" s="19"/>
      <c r="M57" s="19"/>
      <c r="N57" s="19"/>
    </row>
    <row r="58">
      <c r="A58" s="18"/>
      <c r="F58" s="140"/>
      <c r="J58" s="19"/>
      <c r="K58" s="19"/>
      <c r="L58" s="19"/>
      <c r="M58" s="19"/>
      <c r="N58" s="19"/>
    </row>
    <row r="59">
      <c r="A59" s="18"/>
      <c r="F59" s="140"/>
      <c r="J59" s="19"/>
      <c r="K59" s="19"/>
      <c r="L59" s="19"/>
      <c r="M59" s="19"/>
      <c r="N59" s="19"/>
    </row>
    <row r="60">
      <c r="A60" s="18"/>
      <c r="F60" s="140"/>
      <c r="J60" s="19"/>
      <c r="K60" s="19"/>
      <c r="L60" s="19"/>
      <c r="M60" s="19"/>
      <c r="N60" s="19"/>
    </row>
    <row r="61">
      <c r="A61" s="18"/>
      <c r="F61" s="140"/>
      <c r="J61" s="19"/>
      <c r="K61" s="19"/>
      <c r="L61" s="19"/>
      <c r="M61" s="19"/>
      <c r="N61" s="19"/>
    </row>
    <row r="62">
      <c r="A62" s="18"/>
      <c r="F62" s="140"/>
      <c r="J62" s="19"/>
      <c r="K62" s="19"/>
      <c r="L62" s="19"/>
      <c r="M62" s="19"/>
      <c r="N62" s="19"/>
    </row>
    <row r="63">
      <c r="A63" s="18"/>
      <c r="F63" s="140"/>
      <c r="J63" s="19"/>
      <c r="K63" s="19"/>
      <c r="L63" s="19"/>
      <c r="M63" s="19"/>
      <c r="N63" s="19"/>
    </row>
    <row r="64">
      <c r="A64" s="18"/>
      <c r="F64" s="140"/>
      <c r="J64" s="19"/>
      <c r="K64" s="19"/>
      <c r="L64" s="19"/>
      <c r="M64" s="19"/>
      <c r="N64" s="19"/>
    </row>
    <row r="65">
      <c r="A65" s="18"/>
      <c r="F65" s="140"/>
      <c r="J65" s="19"/>
      <c r="K65" s="19"/>
      <c r="L65" s="19"/>
      <c r="M65" s="19"/>
      <c r="N65" s="19"/>
    </row>
    <row r="66">
      <c r="A66" s="18"/>
      <c r="F66" s="140"/>
      <c r="J66" s="19"/>
      <c r="K66" s="19"/>
      <c r="L66" s="19"/>
      <c r="M66" s="19"/>
      <c r="N66" s="19"/>
    </row>
    <row r="67">
      <c r="A67" s="18"/>
      <c r="F67" s="140"/>
      <c r="J67" s="19"/>
      <c r="K67" s="19"/>
      <c r="L67" s="19"/>
      <c r="M67" s="19"/>
      <c r="N67" s="19"/>
    </row>
    <row r="68">
      <c r="A68" s="18"/>
      <c r="F68" s="140"/>
      <c r="J68" s="19"/>
      <c r="K68" s="19"/>
      <c r="L68" s="19"/>
      <c r="M68" s="19"/>
      <c r="N68" s="19"/>
    </row>
    <row r="69">
      <c r="A69" s="18"/>
      <c r="F69" s="140"/>
      <c r="J69" s="19"/>
      <c r="K69" s="19"/>
      <c r="L69" s="19"/>
      <c r="M69" s="19"/>
      <c r="N69" s="19"/>
    </row>
    <row r="70">
      <c r="A70" s="18"/>
      <c r="F70" s="140"/>
      <c r="J70" s="19"/>
      <c r="K70" s="19"/>
      <c r="L70" s="19"/>
      <c r="M70" s="19"/>
      <c r="N70" s="19"/>
    </row>
    <row r="71">
      <c r="A71" s="18"/>
      <c r="F71" s="140"/>
      <c r="J71" s="19"/>
      <c r="K71" s="19"/>
      <c r="L71" s="19"/>
      <c r="M71" s="19"/>
      <c r="N71" s="19"/>
    </row>
    <row r="72">
      <c r="A72" s="18"/>
      <c r="F72" s="140"/>
      <c r="J72" s="19"/>
      <c r="K72" s="19"/>
      <c r="L72" s="19"/>
      <c r="M72" s="19"/>
      <c r="N72" s="19"/>
    </row>
    <row r="73">
      <c r="A73" s="18"/>
      <c r="F73" s="140"/>
      <c r="J73" s="19"/>
      <c r="K73" s="19"/>
      <c r="L73" s="19"/>
      <c r="M73" s="19"/>
      <c r="N73" s="19"/>
    </row>
    <row r="74">
      <c r="A74" s="18"/>
      <c r="F74" s="140"/>
      <c r="J74" s="19"/>
      <c r="K74" s="19"/>
      <c r="L74" s="19"/>
      <c r="M74" s="19"/>
      <c r="N74" s="19"/>
    </row>
    <row r="75">
      <c r="A75" s="18"/>
      <c r="F75" s="140"/>
      <c r="J75" s="19"/>
      <c r="K75" s="19"/>
      <c r="L75" s="19"/>
      <c r="M75" s="19"/>
      <c r="N75" s="19"/>
    </row>
    <row r="76">
      <c r="A76" s="18"/>
      <c r="F76" s="140"/>
      <c r="J76" s="19"/>
      <c r="K76" s="19"/>
      <c r="L76" s="19"/>
      <c r="M76" s="19"/>
      <c r="N76" s="19"/>
    </row>
    <row r="77">
      <c r="A77" s="18"/>
      <c r="F77" s="140"/>
      <c r="J77" s="19"/>
      <c r="K77" s="19"/>
      <c r="L77" s="19"/>
      <c r="M77" s="19"/>
      <c r="N77" s="19"/>
    </row>
    <row r="78">
      <c r="A78" s="18"/>
      <c r="F78" s="140"/>
      <c r="J78" s="19"/>
      <c r="K78" s="19"/>
      <c r="L78" s="19"/>
      <c r="M78" s="19"/>
      <c r="N78" s="19"/>
    </row>
    <row r="79">
      <c r="A79" s="18"/>
      <c r="F79" s="140"/>
      <c r="J79" s="19"/>
      <c r="K79" s="19"/>
      <c r="L79" s="19"/>
      <c r="M79" s="19"/>
      <c r="N79" s="19"/>
    </row>
    <row r="80">
      <c r="A80" s="18"/>
      <c r="F80" s="140"/>
      <c r="J80" s="19"/>
      <c r="K80" s="19"/>
      <c r="L80" s="19"/>
      <c r="M80" s="19"/>
      <c r="N80" s="19"/>
    </row>
    <row r="81">
      <c r="A81" s="18"/>
      <c r="F81" s="140"/>
      <c r="J81" s="19"/>
      <c r="K81" s="19"/>
      <c r="L81" s="19"/>
      <c r="M81" s="19"/>
      <c r="N81" s="19"/>
    </row>
    <row r="82">
      <c r="A82" s="18"/>
      <c r="F82" s="140"/>
      <c r="J82" s="19"/>
      <c r="K82" s="19"/>
      <c r="L82" s="19"/>
      <c r="M82" s="19"/>
      <c r="N82" s="19"/>
    </row>
    <row r="83">
      <c r="A83" s="18"/>
      <c r="F83" s="140"/>
      <c r="J83" s="19"/>
      <c r="K83" s="19"/>
      <c r="L83" s="19"/>
      <c r="M83" s="19"/>
      <c r="N83" s="19"/>
    </row>
    <row r="84">
      <c r="A84" s="18"/>
      <c r="F84" s="140"/>
      <c r="J84" s="19"/>
      <c r="K84" s="19"/>
      <c r="L84" s="19"/>
      <c r="M84" s="19"/>
      <c r="N84" s="19"/>
    </row>
    <row r="85">
      <c r="A85" s="18"/>
      <c r="F85" s="140"/>
      <c r="J85" s="19"/>
      <c r="K85" s="19"/>
      <c r="L85" s="19"/>
      <c r="M85" s="19"/>
      <c r="N85" s="19"/>
    </row>
    <row r="86">
      <c r="A86" s="18"/>
      <c r="F86" s="140"/>
      <c r="J86" s="19"/>
      <c r="K86" s="19"/>
      <c r="L86" s="19"/>
      <c r="M86" s="19"/>
      <c r="N86" s="19"/>
    </row>
    <row r="87">
      <c r="A87" s="18"/>
      <c r="F87" s="140"/>
      <c r="J87" s="19"/>
      <c r="K87" s="19"/>
      <c r="L87" s="19"/>
      <c r="M87" s="19"/>
      <c r="N87" s="19"/>
    </row>
    <row r="88">
      <c r="A88" s="18"/>
      <c r="F88" s="140"/>
      <c r="J88" s="19"/>
      <c r="K88" s="19"/>
      <c r="L88" s="19"/>
      <c r="M88" s="19"/>
      <c r="N88" s="19"/>
    </row>
    <row r="89">
      <c r="A89" s="18"/>
      <c r="F89" s="140"/>
      <c r="J89" s="19"/>
      <c r="K89" s="19"/>
      <c r="L89" s="19"/>
      <c r="M89" s="19"/>
      <c r="N89" s="19"/>
    </row>
    <row r="90">
      <c r="A90" s="18"/>
      <c r="F90" s="140"/>
      <c r="J90" s="19"/>
      <c r="K90" s="19"/>
      <c r="L90" s="19"/>
      <c r="M90" s="19"/>
      <c r="N90" s="19"/>
    </row>
    <row r="91">
      <c r="A91" s="18"/>
      <c r="F91" s="140"/>
      <c r="J91" s="19"/>
      <c r="K91" s="19"/>
      <c r="L91" s="19"/>
      <c r="M91" s="19"/>
      <c r="N91" s="19"/>
    </row>
    <row r="92">
      <c r="A92" s="18"/>
      <c r="F92" s="140"/>
      <c r="J92" s="19"/>
      <c r="K92" s="19"/>
      <c r="L92" s="19"/>
      <c r="M92" s="19"/>
      <c r="N92" s="19"/>
    </row>
    <row r="93">
      <c r="A93" s="18"/>
      <c r="F93" s="140"/>
      <c r="J93" s="19"/>
      <c r="K93" s="19"/>
      <c r="L93" s="19"/>
      <c r="M93" s="19"/>
      <c r="N93" s="19"/>
    </row>
    <row r="94">
      <c r="A94" s="18"/>
      <c r="F94" s="140"/>
      <c r="J94" s="19"/>
      <c r="K94" s="19"/>
      <c r="L94" s="19"/>
      <c r="M94" s="19"/>
      <c r="N94" s="19"/>
    </row>
    <row r="95">
      <c r="A95" s="18"/>
      <c r="F95" s="140"/>
      <c r="J95" s="19"/>
      <c r="K95" s="19"/>
      <c r="L95" s="19"/>
      <c r="M95" s="19"/>
      <c r="N95" s="19"/>
    </row>
    <row r="96">
      <c r="A96" s="18"/>
      <c r="F96" s="140"/>
      <c r="J96" s="19"/>
      <c r="K96" s="19"/>
      <c r="L96" s="19"/>
      <c r="M96" s="19"/>
      <c r="N96" s="19"/>
    </row>
    <row r="97">
      <c r="A97" s="18"/>
      <c r="F97" s="140"/>
      <c r="J97" s="19"/>
      <c r="K97" s="19"/>
      <c r="L97" s="19"/>
      <c r="M97" s="19"/>
      <c r="N97" s="19"/>
    </row>
    <row r="98">
      <c r="A98" s="18"/>
      <c r="F98" s="140"/>
      <c r="J98" s="19"/>
      <c r="K98" s="19"/>
      <c r="L98" s="19"/>
      <c r="M98" s="19"/>
      <c r="N98" s="19"/>
    </row>
    <row r="99">
      <c r="A99" s="18"/>
      <c r="F99" s="140"/>
      <c r="J99" s="19"/>
      <c r="K99" s="19"/>
      <c r="L99" s="19"/>
      <c r="M99" s="19"/>
      <c r="N99" s="19"/>
    </row>
    <row r="100">
      <c r="A100" s="18"/>
      <c r="F100" s="140"/>
      <c r="J100" s="19"/>
      <c r="K100" s="19"/>
      <c r="L100" s="19"/>
      <c r="M100" s="19"/>
      <c r="N100" s="19"/>
    </row>
    <row r="101">
      <c r="A101" s="18"/>
      <c r="F101" s="140"/>
      <c r="J101" s="19"/>
      <c r="K101" s="19"/>
      <c r="L101" s="19"/>
      <c r="M101" s="19"/>
      <c r="N101" s="19"/>
    </row>
    <row r="102">
      <c r="A102" s="18"/>
      <c r="F102" s="140"/>
      <c r="J102" s="19"/>
      <c r="K102" s="19"/>
      <c r="L102" s="19"/>
      <c r="M102" s="19"/>
      <c r="N102" s="19"/>
    </row>
    <row r="103">
      <c r="A103" s="18"/>
      <c r="F103" s="140"/>
      <c r="J103" s="19"/>
      <c r="K103" s="19"/>
      <c r="L103" s="19"/>
      <c r="M103" s="19"/>
      <c r="N103" s="19"/>
    </row>
    <row r="104">
      <c r="A104" s="18"/>
      <c r="F104" s="140"/>
      <c r="J104" s="19"/>
      <c r="K104" s="19"/>
      <c r="L104" s="19"/>
      <c r="M104" s="19"/>
      <c r="N104" s="19"/>
    </row>
    <row r="105">
      <c r="A105" s="18"/>
      <c r="F105" s="140"/>
      <c r="J105" s="19"/>
      <c r="K105" s="19"/>
      <c r="L105" s="19"/>
      <c r="M105" s="19"/>
      <c r="N105" s="19"/>
    </row>
    <row r="106">
      <c r="A106" s="18"/>
      <c r="F106" s="140"/>
      <c r="J106" s="19"/>
      <c r="K106" s="19"/>
      <c r="L106" s="19"/>
      <c r="M106" s="19"/>
      <c r="N106" s="19"/>
    </row>
    <row r="107">
      <c r="A107" s="18"/>
      <c r="F107" s="140"/>
      <c r="J107" s="19"/>
      <c r="K107" s="19"/>
      <c r="L107" s="19"/>
      <c r="M107" s="19"/>
      <c r="N107" s="19"/>
    </row>
    <row r="108">
      <c r="A108" s="18"/>
      <c r="F108" s="140"/>
      <c r="J108" s="19"/>
      <c r="K108" s="19"/>
      <c r="L108" s="19"/>
      <c r="M108" s="19"/>
      <c r="N108" s="19"/>
    </row>
    <row r="109">
      <c r="A109" s="18"/>
      <c r="F109" s="140"/>
      <c r="J109" s="19"/>
      <c r="K109" s="19"/>
      <c r="L109" s="19"/>
      <c r="M109" s="19"/>
      <c r="N109" s="19"/>
    </row>
    <row r="110">
      <c r="A110" s="18"/>
      <c r="F110" s="140"/>
      <c r="J110" s="19"/>
      <c r="K110" s="19"/>
      <c r="L110" s="19"/>
      <c r="M110" s="19"/>
      <c r="N110" s="19"/>
    </row>
    <row r="111">
      <c r="A111" s="18"/>
      <c r="F111" s="140"/>
      <c r="J111" s="19"/>
      <c r="K111" s="19"/>
      <c r="L111" s="19"/>
      <c r="M111" s="19"/>
      <c r="N111" s="19"/>
    </row>
    <row r="112">
      <c r="A112" s="18"/>
      <c r="F112" s="140"/>
      <c r="J112" s="19"/>
      <c r="K112" s="19"/>
      <c r="L112" s="19"/>
      <c r="M112" s="19"/>
      <c r="N112" s="19"/>
    </row>
    <row r="113">
      <c r="A113" s="18"/>
      <c r="F113" s="140"/>
      <c r="J113" s="19"/>
      <c r="K113" s="19"/>
      <c r="L113" s="19"/>
      <c r="M113" s="19"/>
      <c r="N113" s="19"/>
    </row>
    <row r="114">
      <c r="A114" s="18"/>
      <c r="F114" s="140"/>
      <c r="J114" s="19"/>
      <c r="K114" s="19"/>
      <c r="L114" s="19"/>
      <c r="M114" s="19"/>
      <c r="N114" s="19"/>
    </row>
    <row r="115">
      <c r="A115" s="18"/>
      <c r="F115" s="140"/>
      <c r="J115" s="19"/>
      <c r="K115" s="19"/>
      <c r="L115" s="19"/>
      <c r="M115" s="19"/>
      <c r="N115" s="19"/>
    </row>
    <row r="116">
      <c r="A116" s="18"/>
      <c r="F116" s="140"/>
      <c r="J116" s="19"/>
      <c r="K116" s="19"/>
      <c r="L116" s="19"/>
      <c r="M116" s="19"/>
      <c r="N116" s="19"/>
    </row>
    <row r="117">
      <c r="A117" s="18"/>
      <c r="F117" s="140"/>
      <c r="J117" s="19"/>
      <c r="K117" s="19"/>
      <c r="L117" s="19"/>
      <c r="M117" s="19"/>
      <c r="N117" s="19"/>
    </row>
    <row r="118">
      <c r="A118" s="18"/>
      <c r="F118" s="140"/>
      <c r="J118" s="19"/>
      <c r="K118" s="19"/>
      <c r="L118" s="19"/>
      <c r="M118" s="19"/>
      <c r="N118" s="19"/>
    </row>
    <row r="119">
      <c r="A119" s="18"/>
      <c r="F119" s="140"/>
      <c r="J119" s="19"/>
      <c r="K119" s="19"/>
      <c r="L119" s="19"/>
      <c r="M119" s="19"/>
      <c r="N119" s="19"/>
    </row>
    <row r="120">
      <c r="A120" s="18"/>
      <c r="F120" s="140"/>
      <c r="J120" s="19"/>
      <c r="K120" s="19"/>
      <c r="L120" s="19"/>
      <c r="M120" s="19"/>
      <c r="N120" s="19"/>
    </row>
    <row r="121">
      <c r="A121" s="18"/>
      <c r="F121" s="140"/>
      <c r="J121" s="19"/>
      <c r="K121" s="19"/>
      <c r="L121" s="19"/>
      <c r="M121" s="19"/>
      <c r="N121" s="19"/>
    </row>
    <row r="122">
      <c r="A122" s="18"/>
      <c r="F122" s="140"/>
      <c r="J122" s="19"/>
      <c r="K122" s="19"/>
      <c r="L122" s="19"/>
      <c r="M122" s="19"/>
      <c r="N122" s="19"/>
    </row>
    <row r="123">
      <c r="A123" s="18"/>
      <c r="F123" s="140"/>
      <c r="J123" s="19"/>
      <c r="K123" s="19"/>
      <c r="L123" s="19"/>
      <c r="M123" s="19"/>
      <c r="N123" s="19"/>
    </row>
    <row r="124">
      <c r="A124" s="18"/>
      <c r="F124" s="140"/>
      <c r="J124" s="19"/>
      <c r="K124" s="19"/>
      <c r="L124" s="19"/>
      <c r="M124" s="19"/>
      <c r="N124" s="19"/>
    </row>
    <row r="125">
      <c r="A125" s="18"/>
      <c r="F125" s="140"/>
      <c r="J125" s="19"/>
      <c r="K125" s="19"/>
      <c r="L125" s="19"/>
      <c r="M125" s="19"/>
      <c r="N125" s="19"/>
    </row>
    <row r="126">
      <c r="A126" s="18"/>
      <c r="F126" s="140"/>
      <c r="J126" s="19"/>
      <c r="K126" s="19"/>
      <c r="L126" s="19"/>
      <c r="M126" s="19"/>
      <c r="N126" s="19"/>
    </row>
    <row r="127">
      <c r="A127" s="18"/>
      <c r="F127" s="140"/>
      <c r="J127" s="19"/>
      <c r="K127" s="19"/>
      <c r="L127" s="19"/>
      <c r="M127" s="19"/>
      <c r="N127" s="19"/>
    </row>
    <row r="128">
      <c r="A128" s="18"/>
      <c r="F128" s="140"/>
      <c r="J128" s="19"/>
      <c r="K128" s="19"/>
      <c r="L128" s="19"/>
      <c r="M128" s="19"/>
      <c r="N128" s="19"/>
    </row>
    <row r="129">
      <c r="A129" s="18"/>
      <c r="F129" s="140"/>
      <c r="J129" s="19"/>
      <c r="K129" s="19"/>
      <c r="L129" s="19"/>
      <c r="M129" s="19"/>
      <c r="N129" s="19"/>
    </row>
    <row r="130">
      <c r="A130" s="18"/>
      <c r="F130" s="140"/>
      <c r="J130" s="19"/>
      <c r="K130" s="19"/>
      <c r="L130" s="19"/>
      <c r="M130" s="19"/>
      <c r="N130" s="19"/>
    </row>
    <row r="131">
      <c r="A131" s="18"/>
      <c r="F131" s="140"/>
      <c r="J131" s="19"/>
      <c r="K131" s="19"/>
      <c r="L131" s="19"/>
      <c r="M131" s="19"/>
      <c r="N131" s="19"/>
    </row>
    <row r="132">
      <c r="A132" s="18"/>
      <c r="F132" s="140"/>
      <c r="J132" s="19"/>
      <c r="K132" s="19"/>
      <c r="L132" s="19"/>
      <c r="M132" s="19"/>
      <c r="N132" s="19"/>
    </row>
    <row r="133">
      <c r="A133" s="18"/>
      <c r="F133" s="140"/>
      <c r="J133" s="19"/>
      <c r="K133" s="19"/>
      <c r="L133" s="19"/>
      <c r="M133" s="19"/>
      <c r="N133" s="19"/>
    </row>
    <row r="134">
      <c r="A134" s="18"/>
      <c r="F134" s="140"/>
      <c r="J134" s="19"/>
      <c r="K134" s="19"/>
      <c r="L134" s="19"/>
      <c r="M134" s="19"/>
      <c r="N134" s="19"/>
    </row>
    <row r="135">
      <c r="A135" s="18"/>
      <c r="F135" s="140"/>
      <c r="J135" s="19"/>
      <c r="K135" s="19"/>
      <c r="L135" s="19"/>
      <c r="M135" s="19"/>
      <c r="N135" s="19"/>
    </row>
    <row r="136">
      <c r="A136" s="18"/>
      <c r="F136" s="140"/>
      <c r="J136" s="19"/>
      <c r="K136" s="19"/>
      <c r="L136" s="19"/>
      <c r="M136" s="19"/>
      <c r="N136" s="19"/>
    </row>
    <row r="137">
      <c r="A137" s="18"/>
      <c r="F137" s="140"/>
      <c r="J137" s="19"/>
      <c r="K137" s="19"/>
      <c r="L137" s="19"/>
      <c r="M137" s="19"/>
      <c r="N137" s="19"/>
    </row>
    <row r="138">
      <c r="A138" s="18"/>
      <c r="F138" s="140"/>
      <c r="J138" s="19"/>
      <c r="K138" s="19"/>
      <c r="L138" s="19"/>
      <c r="M138" s="19"/>
      <c r="N138" s="19"/>
    </row>
    <row r="139">
      <c r="A139" s="18"/>
      <c r="F139" s="140"/>
      <c r="J139" s="19"/>
      <c r="K139" s="19"/>
      <c r="L139" s="19"/>
      <c r="M139" s="19"/>
      <c r="N139" s="19"/>
    </row>
    <row r="140">
      <c r="A140" s="18"/>
      <c r="F140" s="140"/>
      <c r="J140" s="19"/>
      <c r="K140" s="19"/>
      <c r="L140" s="19"/>
      <c r="M140" s="19"/>
      <c r="N140" s="19"/>
    </row>
    <row r="141">
      <c r="A141" s="18"/>
      <c r="F141" s="140"/>
      <c r="J141" s="19"/>
      <c r="K141" s="19"/>
      <c r="L141" s="19"/>
      <c r="M141" s="19"/>
      <c r="N141" s="19"/>
    </row>
    <row r="142">
      <c r="A142" s="18"/>
      <c r="F142" s="140"/>
      <c r="J142" s="19"/>
      <c r="K142" s="19"/>
      <c r="L142" s="19"/>
      <c r="M142" s="19"/>
      <c r="N142" s="19"/>
    </row>
    <row r="143">
      <c r="A143" s="18"/>
      <c r="F143" s="140"/>
      <c r="J143" s="19"/>
      <c r="K143" s="19"/>
      <c r="L143" s="19"/>
      <c r="M143" s="19"/>
      <c r="N143" s="19"/>
    </row>
    <row r="144">
      <c r="A144" s="18"/>
      <c r="F144" s="140"/>
      <c r="J144" s="19"/>
      <c r="K144" s="19"/>
      <c r="L144" s="19"/>
      <c r="M144" s="19"/>
      <c r="N144" s="19"/>
    </row>
    <row r="145">
      <c r="A145" s="18"/>
      <c r="F145" s="140"/>
      <c r="J145" s="19"/>
      <c r="K145" s="19"/>
      <c r="L145" s="19"/>
      <c r="M145" s="19"/>
      <c r="N145" s="19"/>
    </row>
    <row r="146">
      <c r="A146" s="18"/>
      <c r="F146" s="140"/>
      <c r="J146" s="19"/>
      <c r="K146" s="19"/>
      <c r="L146" s="19"/>
      <c r="M146" s="19"/>
      <c r="N146" s="19"/>
    </row>
    <row r="147">
      <c r="A147" s="18"/>
      <c r="F147" s="140"/>
      <c r="J147" s="19"/>
      <c r="K147" s="19"/>
      <c r="L147" s="19"/>
      <c r="M147" s="19"/>
      <c r="N147" s="19"/>
    </row>
    <row r="148">
      <c r="A148" s="18"/>
      <c r="F148" s="140"/>
      <c r="J148" s="19"/>
      <c r="K148" s="19"/>
      <c r="L148" s="19"/>
      <c r="M148" s="19"/>
      <c r="N148" s="19"/>
    </row>
    <row r="149">
      <c r="A149" s="18"/>
      <c r="F149" s="140"/>
      <c r="J149" s="19"/>
      <c r="K149" s="19"/>
      <c r="L149" s="19"/>
      <c r="M149" s="19"/>
      <c r="N149" s="19"/>
    </row>
    <row r="150">
      <c r="A150" s="18"/>
      <c r="F150" s="140"/>
      <c r="J150" s="19"/>
      <c r="K150" s="19"/>
      <c r="L150" s="19"/>
      <c r="M150" s="19"/>
      <c r="N150" s="19"/>
    </row>
  </sheetData>
  <dataValidations>
    <dataValidation type="list" allowBlank="1" showErrorMessage="1" sqref="F2:F150">
      <formula1>"HA,A,R,HR"</formula1>
    </dataValidation>
    <dataValidation type="list" allowBlank="1" sqref="G2:G51">
      <formula1>"HA,A,R,HR,Not Yet"</formula1>
    </dataValidation>
  </dataValidations>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18.88"/>
    <col customWidth="1" min="3" max="3" width="17.63"/>
    <col customWidth="1" min="4" max="4" width="18.88"/>
    <col customWidth="1" hidden="1" min="5" max="5" width="20.88"/>
    <col customWidth="1" min="6" max="6" width="20.38"/>
    <col customWidth="1" min="7" max="7" width="63.75"/>
    <col customWidth="1" min="8" max="8" width="178.25"/>
    <col customWidth="1" min="9" max="11" width="18.88"/>
    <col customWidth="1" hidden="1" min="12" max="12" width="37.63"/>
    <col customWidth="1" min="13" max="13" width="18.88"/>
    <col customWidth="1" hidden="1" min="14" max="14" width="18.88"/>
    <col customWidth="1" min="15" max="15" width="20.88"/>
    <col customWidth="1" min="16" max="16" width="15.63"/>
    <col customWidth="1" min="17" max="17" width="19.5"/>
    <col customWidth="1" min="18" max="18" width="19.13"/>
    <col customWidth="1" min="19" max="19" width="27.63"/>
    <col customWidth="1" min="20" max="20" width="17.75"/>
    <col customWidth="1" min="21" max="21" width="23.75"/>
    <col customWidth="1" min="22" max="22" width="87.88"/>
    <col customWidth="1" min="23" max="27" width="18.88"/>
  </cols>
  <sheetData>
    <row r="1" ht="22.5" customHeight="1">
      <c r="A1" s="7" t="s">
        <v>2311</v>
      </c>
      <c r="B1" s="1" t="s">
        <v>0</v>
      </c>
      <c r="C1" s="1" t="s">
        <v>1</v>
      </c>
      <c r="D1" s="1" t="s">
        <v>2</v>
      </c>
      <c r="E1" s="1" t="s">
        <v>3</v>
      </c>
      <c r="F1" s="1" t="s">
        <v>4</v>
      </c>
      <c r="G1" s="8" t="s">
        <v>5</v>
      </c>
      <c r="H1" s="8" t="s">
        <v>6</v>
      </c>
      <c r="I1" s="8" t="s">
        <v>7</v>
      </c>
      <c r="J1" s="8" t="s">
        <v>8</v>
      </c>
      <c r="K1" s="8" t="s">
        <v>9</v>
      </c>
      <c r="L1" s="1" t="s">
        <v>10</v>
      </c>
      <c r="M1" s="1" t="s">
        <v>11</v>
      </c>
      <c r="N1" s="1" t="s">
        <v>12</v>
      </c>
      <c r="O1" s="1" t="s">
        <v>13</v>
      </c>
      <c r="P1" s="1" t="s">
        <v>14</v>
      </c>
      <c r="Q1" s="94" t="s">
        <v>2649</v>
      </c>
      <c r="R1" s="94" t="s">
        <v>2650</v>
      </c>
      <c r="S1" s="94" t="s">
        <v>2651</v>
      </c>
      <c r="T1" s="95" t="s">
        <v>2652</v>
      </c>
      <c r="U1" s="94" t="s">
        <v>2653</v>
      </c>
      <c r="V1" s="104" t="s">
        <v>2312</v>
      </c>
    </row>
    <row r="2" ht="22.5" customHeight="1">
      <c r="A2" s="10">
        <v>260201.0</v>
      </c>
      <c r="B2" s="4">
        <v>46037.33978311342</v>
      </c>
      <c r="C2" s="5" t="s">
        <v>1550</v>
      </c>
      <c r="D2" s="5" t="s">
        <v>1551</v>
      </c>
      <c r="E2" s="5" t="s">
        <v>1550</v>
      </c>
      <c r="F2" s="5" t="s">
        <v>17</v>
      </c>
      <c r="G2" s="11" t="s">
        <v>1552</v>
      </c>
      <c r="H2" s="11" t="s">
        <v>1553</v>
      </c>
      <c r="I2" s="141" t="s">
        <v>1554</v>
      </c>
      <c r="J2" s="11" t="s">
        <v>1432</v>
      </c>
      <c r="K2" s="11" t="s">
        <v>1555</v>
      </c>
      <c r="L2" s="5" t="s">
        <v>30</v>
      </c>
      <c r="M2" s="5" t="s">
        <v>1556</v>
      </c>
      <c r="N2" s="5" t="s">
        <v>119</v>
      </c>
      <c r="O2" s="5" t="s">
        <v>446</v>
      </c>
      <c r="P2" s="5" t="s">
        <v>446</v>
      </c>
      <c r="Q2" s="142" t="s">
        <v>2827</v>
      </c>
      <c r="R2" s="3" t="s">
        <v>2560</v>
      </c>
      <c r="S2" s="3" t="s">
        <v>30</v>
      </c>
      <c r="T2" s="17"/>
      <c r="U2" s="3"/>
      <c r="V2" s="17"/>
    </row>
    <row r="3" ht="22.5" customHeight="1">
      <c r="A3" s="10">
        <v>260202.0</v>
      </c>
      <c r="B3" s="4">
        <v>46037.34462305556</v>
      </c>
      <c r="C3" s="5" t="s">
        <v>1557</v>
      </c>
      <c r="D3" s="5" t="s">
        <v>1558</v>
      </c>
      <c r="E3" s="5" t="s">
        <v>1557</v>
      </c>
      <c r="F3" s="5" t="s">
        <v>17</v>
      </c>
      <c r="G3" s="11" t="s">
        <v>1559</v>
      </c>
      <c r="H3" s="11" t="s">
        <v>1560</v>
      </c>
      <c r="I3" s="11" t="s">
        <v>1561</v>
      </c>
      <c r="J3" s="141" t="s">
        <v>1562</v>
      </c>
      <c r="K3" s="11" t="s">
        <v>20</v>
      </c>
      <c r="L3" s="5" t="s">
        <v>23</v>
      </c>
      <c r="M3" s="5" t="s">
        <v>1563</v>
      </c>
      <c r="N3" s="5" t="s">
        <v>119</v>
      </c>
      <c r="O3" s="5" t="s">
        <v>257</v>
      </c>
      <c r="P3" s="5" t="s">
        <v>258</v>
      </c>
      <c r="Q3" s="3" t="s">
        <v>2359</v>
      </c>
      <c r="R3" s="3" t="s">
        <v>2827</v>
      </c>
      <c r="S3" s="3" t="s">
        <v>30</v>
      </c>
      <c r="T3" s="109"/>
      <c r="U3" s="12"/>
      <c r="V3" s="109"/>
    </row>
    <row r="4" ht="22.5" customHeight="1">
      <c r="A4" s="10">
        <v>260203.0</v>
      </c>
      <c r="B4" s="4">
        <v>46037.37063422454</v>
      </c>
      <c r="C4" s="5" t="s">
        <v>1564</v>
      </c>
      <c r="D4" s="5" t="s">
        <v>1565</v>
      </c>
      <c r="E4" s="5" t="s">
        <v>1564</v>
      </c>
      <c r="F4" s="5" t="s">
        <v>17</v>
      </c>
      <c r="G4" s="11" t="s">
        <v>1566</v>
      </c>
      <c r="H4" s="11" t="s">
        <v>1567</v>
      </c>
      <c r="I4" s="141" t="s">
        <v>1568</v>
      </c>
      <c r="J4" s="11" t="s">
        <v>1569</v>
      </c>
      <c r="K4" s="11" t="s">
        <v>1570</v>
      </c>
      <c r="L4" s="5" t="s">
        <v>30</v>
      </c>
      <c r="M4" s="5" t="s">
        <v>878</v>
      </c>
      <c r="N4" s="5" t="s">
        <v>119</v>
      </c>
      <c r="O4" s="5" t="s">
        <v>1571</v>
      </c>
      <c r="P4" s="5" t="s">
        <v>1572</v>
      </c>
      <c r="Q4" s="142" t="s">
        <v>2396</v>
      </c>
      <c r="R4" s="142" t="s">
        <v>2401</v>
      </c>
      <c r="S4" s="3"/>
      <c r="T4" s="17"/>
      <c r="U4" s="3"/>
      <c r="V4" s="17"/>
    </row>
    <row r="5" ht="22.5" customHeight="1">
      <c r="A5" s="10">
        <v>260204.0</v>
      </c>
      <c r="B5" s="4">
        <v>46037.40196178241</v>
      </c>
      <c r="C5" s="5" t="s">
        <v>1573</v>
      </c>
      <c r="D5" s="5" t="s">
        <v>1574</v>
      </c>
      <c r="E5" s="5" t="s">
        <v>1573</v>
      </c>
      <c r="F5" s="5" t="s">
        <v>17</v>
      </c>
      <c r="G5" s="11" t="s">
        <v>1575</v>
      </c>
      <c r="H5" s="11" t="s">
        <v>1576</v>
      </c>
      <c r="I5" s="11" t="s">
        <v>1577</v>
      </c>
      <c r="J5" s="141" t="s">
        <v>21</v>
      </c>
      <c r="K5" s="11" t="s">
        <v>1578</v>
      </c>
      <c r="L5" s="5" t="s">
        <v>30</v>
      </c>
      <c r="M5" s="5" t="s">
        <v>1579</v>
      </c>
      <c r="N5" s="5" t="s">
        <v>119</v>
      </c>
      <c r="O5" s="5" t="s">
        <v>257</v>
      </c>
      <c r="P5" s="5" t="s">
        <v>1580</v>
      </c>
      <c r="Q5" s="3" t="s">
        <v>2597</v>
      </c>
      <c r="R5" s="5" t="s">
        <v>2592</v>
      </c>
      <c r="S5" s="3"/>
      <c r="T5" s="17"/>
      <c r="U5" s="3"/>
      <c r="V5" s="17" t="s">
        <v>2839</v>
      </c>
    </row>
    <row r="6" ht="22.5" customHeight="1">
      <c r="A6" s="10">
        <v>260205.0</v>
      </c>
      <c r="B6" s="4">
        <v>46037.4869652662</v>
      </c>
      <c r="C6" s="5" t="s">
        <v>1581</v>
      </c>
      <c r="D6" s="5" t="s">
        <v>1582</v>
      </c>
      <c r="E6" s="5" t="s">
        <v>1581</v>
      </c>
      <c r="F6" s="5" t="s">
        <v>17</v>
      </c>
      <c r="G6" s="11" t="s">
        <v>1583</v>
      </c>
      <c r="H6" s="11" t="s">
        <v>1584</v>
      </c>
      <c r="I6" s="11" t="s">
        <v>1585</v>
      </c>
      <c r="J6" s="11" t="s">
        <v>1586</v>
      </c>
      <c r="K6" s="11" t="s">
        <v>1587</v>
      </c>
      <c r="L6" s="5" t="s">
        <v>162</v>
      </c>
      <c r="M6" s="5" t="s">
        <v>1588</v>
      </c>
      <c r="N6" s="5" t="s">
        <v>61</v>
      </c>
      <c r="O6" s="5" t="s">
        <v>447</v>
      </c>
      <c r="P6" s="5" t="s">
        <v>1589</v>
      </c>
      <c r="Q6" s="5" t="s">
        <v>2396</v>
      </c>
      <c r="R6" s="5" t="s">
        <v>2389</v>
      </c>
      <c r="S6" s="143" t="s">
        <v>30</v>
      </c>
      <c r="T6" s="11" t="s">
        <v>2840</v>
      </c>
      <c r="U6" s="5" t="s">
        <v>2802</v>
      </c>
      <c r="V6" s="11" t="s">
        <v>2841</v>
      </c>
    </row>
    <row r="7" ht="22.5" customHeight="1">
      <c r="A7" s="10">
        <v>260206.0</v>
      </c>
      <c r="B7" s="4">
        <v>46037.654585543976</v>
      </c>
      <c r="C7" s="5" t="s">
        <v>1590</v>
      </c>
      <c r="D7" s="5" t="s">
        <v>1591</v>
      </c>
      <c r="E7" s="5" t="s">
        <v>1590</v>
      </c>
      <c r="F7" s="5" t="s">
        <v>17</v>
      </c>
      <c r="G7" s="11" t="s">
        <v>1592</v>
      </c>
      <c r="H7" s="11" t="s">
        <v>1593</v>
      </c>
      <c r="I7" s="141" t="s">
        <v>1594</v>
      </c>
      <c r="J7" s="11" t="s">
        <v>1595</v>
      </c>
      <c r="K7" s="11" t="s">
        <v>1596</v>
      </c>
      <c r="L7" s="5" t="s">
        <v>30</v>
      </c>
      <c r="M7" s="5" t="s">
        <v>1597</v>
      </c>
      <c r="N7" s="5" t="s">
        <v>39</v>
      </c>
      <c r="O7" s="5" t="s">
        <v>833</v>
      </c>
      <c r="P7" s="5" t="s">
        <v>404</v>
      </c>
      <c r="Q7" s="3" t="s">
        <v>2618</v>
      </c>
      <c r="R7" s="3" t="s">
        <v>2612</v>
      </c>
      <c r="S7" s="3" t="s">
        <v>30</v>
      </c>
      <c r="T7" s="17"/>
      <c r="U7" s="3"/>
      <c r="V7" s="17"/>
    </row>
    <row r="8" ht="22.5" customHeight="1">
      <c r="A8" s="10">
        <v>260207.0</v>
      </c>
      <c r="B8" s="4">
        <v>46037.72644809028</v>
      </c>
      <c r="C8" s="5" t="s">
        <v>1598</v>
      </c>
      <c r="D8" s="5" t="s">
        <v>1599</v>
      </c>
      <c r="E8" s="5" t="s">
        <v>1600</v>
      </c>
      <c r="F8" s="5" t="s">
        <v>64</v>
      </c>
      <c r="G8" s="11" t="s">
        <v>1601</v>
      </c>
      <c r="H8" s="11" t="s">
        <v>1602</v>
      </c>
      <c r="I8" s="11" t="s">
        <v>1603</v>
      </c>
      <c r="J8" s="11" t="s">
        <v>1604</v>
      </c>
      <c r="K8" s="11" t="s">
        <v>1605</v>
      </c>
      <c r="L8" s="5" t="s">
        <v>30</v>
      </c>
      <c r="M8" s="5" t="s">
        <v>1606</v>
      </c>
      <c r="N8" s="5" t="s">
        <v>456</v>
      </c>
      <c r="O8" s="5" t="s">
        <v>51</v>
      </c>
      <c r="P8" s="5" t="s">
        <v>52</v>
      </c>
      <c r="Q8" s="5" t="s">
        <v>2630</v>
      </c>
      <c r="R8" s="5" t="s">
        <v>2623</v>
      </c>
      <c r="S8" s="143" t="s">
        <v>30</v>
      </c>
      <c r="T8" s="11" t="s">
        <v>2842</v>
      </c>
      <c r="U8" s="5"/>
      <c r="V8" s="13" t="s">
        <v>2843</v>
      </c>
    </row>
    <row r="9" ht="22.5" customHeight="1">
      <c r="A9" s="10">
        <v>260208.0</v>
      </c>
      <c r="B9" s="4">
        <v>46037.750608055554</v>
      </c>
      <c r="C9" s="5" t="s">
        <v>1607</v>
      </c>
      <c r="D9" s="5" t="s">
        <v>1608</v>
      </c>
      <c r="E9" s="5" t="s">
        <v>1607</v>
      </c>
      <c r="F9" s="5" t="s">
        <v>17</v>
      </c>
      <c r="G9" s="11" t="s">
        <v>1609</v>
      </c>
      <c r="H9" s="13" t="s">
        <v>1610</v>
      </c>
      <c r="I9" s="141" t="s">
        <v>1611</v>
      </c>
      <c r="J9" s="11" t="s">
        <v>1612</v>
      </c>
      <c r="K9" s="11" t="s">
        <v>159</v>
      </c>
      <c r="L9" s="5" t="s">
        <v>162</v>
      </c>
      <c r="M9" s="5" t="s">
        <v>1613</v>
      </c>
      <c r="N9" s="5" t="s">
        <v>119</v>
      </c>
      <c r="O9" s="5" t="s">
        <v>26</v>
      </c>
      <c r="P9" s="5" t="s">
        <v>26</v>
      </c>
      <c r="Q9" s="3" t="s">
        <v>2827</v>
      </c>
      <c r="R9" s="144" t="s">
        <v>2427</v>
      </c>
      <c r="S9" s="3" t="s">
        <v>30</v>
      </c>
      <c r="T9" s="17"/>
      <c r="U9" s="3"/>
      <c r="V9" s="17" t="s">
        <v>2844</v>
      </c>
    </row>
    <row r="10" ht="22.5" customHeight="1">
      <c r="A10" s="10">
        <v>260209.0</v>
      </c>
      <c r="B10" s="4">
        <v>46037.75469607639</v>
      </c>
      <c r="C10" s="5" t="s">
        <v>1614</v>
      </c>
      <c r="D10" s="5" t="s">
        <v>1615</v>
      </c>
      <c r="E10" s="5" t="s">
        <v>1614</v>
      </c>
      <c r="F10" s="5" t="s">
        <v>64</v>
      </c>
      <c r="G10" s="11" t="s">
        <v>1616</v>
      </c>
      <c r="H10" s="11" t="s">
        <v>1617</v>
      </c>
      <c r="I10" s="11" t="s">
        <v>844</v>
      </c>
      <c r="J10" s="11" t="s">
        <v>1115</v>
      </c>
      <c r="K10" s="141" t="s">
        <v>1618</v>
      </c>
      <c r="L10" s="5" t="s">
        <v>162</v>
      </c>
      <c r="M10" s="5" t="s">
        <v>1456</v>
      </c>
      <c r="N10" s="5" t="s">
        <v>25</v>
      </c>
      <c r="O10" s="5" t="s">
        <v>437</v>
      </c>
      <c r="P10" s="5" t="s">
        <v>437</v>
      </c>
      <c r="Q10" s="3" t="s">
        <v>2407</v>
      </c>
      <c r="R10" s="3" t="s">
        <v>2502</v>
      </c>
      <c r="S10" s="3" t="s">
        <v>30</v>
      </c>
      <c r="T10" s="109"/>
      <c r="U10" s="12"/>
      <c r="V10" s="109"/>
    </row>
    <row r="11" ht="22.5" customHeight="1">
      <c r="A11" s="10">
        <v>260210.0</v>
      </c>
      <c r="B11" s="4">
        <v>46037.780702523145</v>
      </c>
      <c r="C11" s="5" t="s">
        <v>1619</v>
      </c>
      <c r="D11" s="5" t="s">
        <v>1620</v>
      </c>
      <c r="E11" s="5" t="s">
        <v>1619</v>
      </c>
      <c r="F11" s="5" t="s">
        <v>64</v>
      </c>
      <c r="G11" s="11" t="s">
        <v>1621</v>
      </c>
      <c r="H11" s="11" t="s">
        <v>1622</v>
      </c>
      <c r="I11" s="11" t="s">
        <v>1623</v>
      </c>
      <c r="J11" s="145" t="s">
        <v>22</v>
      </c>
      <c r="K11" s="11" t="s">
        <v>1624</v>
      </c>
      <c r="L11" s="5" t="s">
        <v>30</v>
      </c>
      <c r="M11" s="5" t="s">
        <v>1625</v>
      </c>
      <c r="N11" s="5" t="s">
        <v>119</v>
      </c>
      <c r="O11" s="5" t="s">
        <v>51</v>
      </c>
      <c r="P11" s="5" t="s">
        <v>73</v>
      </c>
      <c r="Q11" s="144" t="s">
        <v>2635</v>
      </c>
      <c r="R11" s="144" t="s">
        <v>2580</v>
      </c>
      <c r="S11" s="3" t="s">
        <v>30</v>
      </c>
      <c r="T11" s="109"/>
      <c r="U11" s="12"/>
      <c r="V11" s="109"/>
    </row>
    <row r="12" ht="22.5" customHeight="1">
      <c r="A12" s="10">
        <v>260211.0</v>
      </c>
      <c r="B12" s="4">
        <v>46037.784182407406</v>
      </c>
      <c r="C12" s="5" t="s">
        <v>1626</v>
      </c>
      <c r="D12" s="5" t="s">
        <v>1627</v>
      </c>
      <c r="E12" s="5" t="s">
        <v>1626</v>
      </c>
      <c r="F12" s="5" t="s">
        <v>64</v>
      </c>
      <c r="G12" s="11" t="s">
        <v>1628</v>
      </c>
      <c r="H12" s="11" t="s">
        <v>1629</v>
      </c>
      <c r="I12" s="141" t="s">
        <v>1630</v>
      </c>
      <c r="J12" s="11" t="s">
        <v>1631</v>
      </c>
      <c r="K12" s="11" t="s">
        <v>1632</v>
      </c>
      <c r="L12" s="5" t="s">
        <v>30</v>
      </c>
      <c r="M12" s="5" t="s">
        <v>1156</v>
      </c>
      <c r="N12" s="5" t="s">
        <v>164</v>
      </c>
      <c r="O12" s="5" t="s">
        <v>51</v>
      </c>
      <c r="P12" s="5" t="s">
        <v>52</v>
      </c>
      <c r="Q12" s="3" t="s">
        <v>2396</v>
      </c>
      <c r="R12" s="3" t="s">
        <v>2455</v>
      </c>
      <c r="S12" s="3" t="s">
        <v>30</v>
      </c>
      <c r="T12" s="17"/>
      <c r="U12" s="3"/>
      <c r="V12" s="17"/>
    </row>
    <row r="13" ht="22.5" customHeight="1">
      <c r="A13" s="10">
        <v>260212.0</v>
      </c>
      <c r="B13" s="4">
        <v>46037.83386745371</v>
      </c>
      <c r="C13" s="5" t="s">
        <v>1633</v>
      </c>
      <c r="D13" s="5" t="s">
        <v>1634</v>
      </c>
      <c r="E13" s="5" t="s">
        <v>1633</v>
      </c>
      <c r="F13" s="5" t="s">
        <v>131</v>
      </c>
      <c r="G13" s="11" t="s">
        <v>1635</v>
      </c>
      <c r="H13" s="11" t="s">
        <v>1636</v>
      </c>
      <c r="I13" s="11" t="s">
        <v>1637</v>
      </c>
      <c r="J13" s="141" t="s">
        <v>1638</v>
      </c>
      <c r="K13" s="11" t="s">
        <v>1639</v>
      </c>
      <c r="L13" s="5" t="s">
        <v>162</v>
      </c>
      <c r="M13" s="5" t="s">
        <v>1640</v>
      </c>
      <c r="N13" s="5" t="s">
        <v>39</v>
      </c>
      <c r="O13" s="5" t="s">
        <v>548</v>
      </c>
      <c r="P13" s="5" t="s">
        <v>404</v>
      </c>
      <c r="Q13" s="3" t="s">
        <v>2580</v>
      </c>
      <c r="R13" s="3" t="s">
        <v>2571</v>
      </c>
      <c r="S13" s="3" t="s">
        <v>30</v>
      </c>
      <c r="T13" s="109"/>
      <c r="U13" s="12"/>
      <c r="V13" s="109"/>
    </row>
    <row r="14" ht="22.5" customHeight="1">
      <c r="A14" s="10">
        <v>260213.0</v>
      </c>
      <c r="B14" s="4">
        <v>46037.835364687504</v>
      </c>
      <c r="C14" s="5" t="s">
        <v>1641</v>
      </c>
      <c r="D14" s="5" t="s">
        <v>1642</v>
      </c>
      <c r="E14" s="5" t="s">
        <v>1641</v>
      </c>
      <c r="F14" s="5" t="s">
        <v>64</v>
      </c>
      <c r="G14" s="11" t="s">
        <v>1643</v>
      </c>
      <c r="H14" s="11" t="s">
        <v>1644</v>
      </c>
      <c r="I14" s="11" t="s">
        <v>1645</v>
      </c>
      <c r="J14" s="11" t="s">
        <v>409</v>
      </c>
      <c r="K14" s="11" t="s">
        <v>1138</v>
      </c>
      <c r="L14" s="5" t="s">
        <v>162</v>
      </c>
      <c r="M14" s="5" t="s">
        <v>1646</v>
      </c>
      <c r="N14" s="5" t="s">
        <v>119</v>
      </c>
      <c r="O14" s="5" t="s">
        <v>1647</v>
      </c>
      <c r="P14" s="5" t="s">
        <v>566</v>
      </c>
      <c r="Q14" s="3" t="s">
        <v>2381</v>
      </c>
      <c r="R14" s="3" t="s">
        <v>2344</v>
      </c>
      <c r="S14" s="3" t="s">
        <v>30</v>
      </c>
      <c r="T14" s="17"/>
      <c r="U14" s="3"/>
      <c r="V14" s="17"/>
    </row>
    <row r="15" ht="22.5" customHeight="1">
      <c r="A15" s="10">
        <v>260214.0</v>
      </c>
      <c r="B15" s="4">
        <v>46037.848872523144</v>
      </c>
      <c r="C15" s="5" t="s">
        <v>1648</v>
      </c>
      <c r="D15" s="5" t="s">
        <v>1649</v>
      </c>
      <c r="E15" s="5" t="s">
        <v>1648</v>
      </c>
      <c r="F15" s="5" t="s">
        <v>17</v>
      </c>
      <c r="G15" s="11" t="s">
        <v>1650</v>
      </c>
      <c r="H15" s="11" t="s">
        <v>1651</v>
      </c>
      <c r="I15" s="11" t="s">
        <v>274</v>
      </c>
      <c r="J15" s="141" t="s">
        <v>1652</v>
      </c>
      <c r="K15" s="11" t="s">
        <v>1653</v>
      </c>
      <c r="L15" s="5" t="s">
        <v>23</v>
      </c>
      <c r="M15" s="5" t="s">
        <v>1654</v>
      </c>
      <c r="N15" s="5" t="s">
        <v>413</v>
      </c>
      <c r="O15" s="5" t="s">
        <v>437</v>
      </c>
      <c r="P15" s="5" t="s">
        <v>328</v>
      </c>
      <c r="Q15" s="3" t="s">
        <v>2623</v>
      </c>
      <c r="R15" s="3" t="s">
        <v>2618</v>
      </c>
      <c r="S15" s="3" t="s">
        <v>30</v>
      </c>
      <c r="T15" s="17" t="s">
        <v>2845</v>
      </c>
      <c r="U15" s="12"/>
      <c r="V15" s="109"/>
    </row>
    <row r="16" ht="22.5" customHeight="1">
      <c r="A16" s="10">
        <v>260215.0</v>
      </c>
      <c r="B16" s="4">
        <v>46037.891919444446</v>
      </c>
      <c r="C16" s="5" t="s">
        <v>1655</v>
      </c>
      <c r="D16" s="5" t="s">
        <v>1656</v>
      </c>
      <c r="E16" s="5" t="s">
        <v>1655</v>
      </c>
      <c r="F16" s="5" t="s">
        <v>17</v>
      </c>
      <c r="G16" s="11" t="s">
        <v>1657</v>
      </c>
      <c r="H16" s="11" t="s">
        <v>1658</v>
      </c>
      <c r="I16" s="11" t="s">
        <v>1659</v>
      </c>
      <c r="J16" s="11" t="s">
        <v>58</v>
      </c>
      <c r="K16" s="141" t="s">
        <v>1660</v>
      </c>
      <c r="L16" s="5" t="s">
        <v>162</v>
      </c>
      <c r="M16" s="5" t="s">
        <v>1661</v>
      </c>
      <c r="N16" s="5" t="s">
        <v>31</v>
      </c>
      <c r="O16" s="5" t="s">
        <v>26</v>
      </c>
      <c r="P16" s="5" t="s">
        <v>26</v>
      </c>
      <c r="Q16" s="3" t="s">
        <v>2427</v>
      </c>
      <c r="R16" s="3" t="s">
        <v>2827</v>
      </c>
      <c r="S16" s="3" t="s">
        <v>30</v>
      </c>
      <c r="T16" s="17"/>
      <c r="U16" s="3"/>
      <c r="V16" s="17"/>
    </row>
    <row r="17" ht="22.5" customHeight="1">
      <c r="A17" s="10">
        <v>260216.0</v>
      </c>
      <c r="B17" s="4">
        <v>46037.897460277774</v>
      </c>
      <c r="C17" s="5" t="s">
        <v>1662</v>
      </c>
      <c r="D17" s="5" t="s">
        <v>1663</v>
      </c>
      <c r="E17" s="5" t="s">
        <v>1662</v>
      </c>
      <c r="F17" s="5" t="s">
        <v>64</v>
      </c>
      <c r="G17" s="11" t="s">
        <v>1664</v>
      </c>
      <c r="H17" s="11" t="s">
        <v>1665</v>
      </c>
      <c r="I17" s="11" t="s">
        <v>1666</v>
      </c>
      <c r="J17" s="141" t="s">
        <v>1667</v>
      </c>
      <c r="K17" s="11" t="s">
        <v>1668</v>
      </c>
      <c r="L17" s="5" t="s">
        <v>30</v>
      </c>
      <c r="M17" s="5" t="s">
        <v>1669</v>
      </c>
      <c r="N17" s="5" t="s">
        <v>31</v>
      </c>
      <c r="O17" s="5" t="s">
        <v>72</v>
      </c>
      <c r="P17" s="5" t="s">
        <v>73</v>
      </c>
      <c r="Q17" s="3" t="s">
        <v>2536</v>
      </c>
      <c r="R17" s="3" t="s">
        <v>2502</v>
      </c>
      <c r="S17" s="12"/>
      <c r="T17" s="109"/>
      <c r="U17" s="12"/>
      <c r="V17" s="109"/>
    </row>
    <row r="18" ht="22.5" customHeight="1">
      <c r="A18" s="10">
        <v>260217.0</v>
      </c>
      <c r="B18" s="4">
        <v>46037.91215359954</v>
      </c>
      <c r="C18" s="5" t="s">
        <v>1670</v>
      </c>
      <c r="D18" s="5" t="s">
        <v>1671</v>
      </c>
      <c r="E18" s="5" t="s">
        <v>1670</v>
      </c>
      <c r="F18" s="5" t="s">
        <v>64</v>
      </c>
      <c r="G18" s="11" t="s">
        <v>1672</v>
      </c>
      <c r="H18" s="11" t="s">
        <v>1673</v>
      </c>
      <c r="I18" s="11" t="s">
        <v>1674</v>
      </c>
      <c r="J18" s="11" t="s">
        <v>1675</v>
      </c>
      <c r="K18" s="11" t="s">
        <v>1676</v>
      </c>
      <c r="L18" s="5" t="s">
        <v>30</v>
      </c>
      <c r="M18" s="5" t="s">
        <v>1677</v>
      </c>
      <c r="N18" s="5" t="s">
        <v>119</v>
      </c>
      <c r="O18" s="5" t="s">
        <v>51</v>
      </c>
      <c r="P18" s="5" t="s">
        <v>1678</v>
      </c>
      <c r="Q18" s="5" t="s">
        <v>2586</v>
      </c>
      <c r="R18" s="5" t="s">
        <v>2635</v>
      </c>
      <c r="S18" s="5" t="s">
        <v>162</v>
      </c>
      <c r="T18" s="11" t="s">
        <v>2846</v>
      </c>
      <c r="U18" s="5" t="s">
        <v>2802</v>
      </c>
      <c r="V18" s="11" t="s">
        <v>2847</v>
      </c>
    </row>
    <row r="19" ht="22.5" customHeight="1">
      <c r="A19" s="10">
        <v>260218.0</v>
      </c>
      <c r="B19" s="4">
        <v>46037.940740590275</v>
      </c>
      <c r="C19" s="5" t="s">
        <v>1679</v>
      </c>
      <c r="D19" s="5" t="s">
        <v>1680</v>
      </c>
      <c r="E19" s="5" t="s">
        <v>1679</v>
      </c>
      <c r="F19" s="5" t="s">
        <v>17</v>
      </c>
      <c r="G19" s="11" t="s">
        <v>1681</v>
      </c>
      <c r="H19" s="11" t="s">
        <v>1682</v>
      </c>
      <c r="I19" s="11" t="s">
        <v>21</v>
      </c>
      <c r="J19" s="11" t="s">
        <v>1683</v>
      </c>
      <c r="K19" s="146" t="s">
        <v>1684</v>
      </c>
      <c r="L19" s="5" t="s">
        <v>23</v>
      </c>
      <c r="M19" s="5" t="s">
        <v>1685</v>
      </c>
      <c r="N19" s="5" t="s">
        <v>71</v>
      </c>
      <c r="O19" s="5" t="s">
        <v>200</v>
      </c>
      <c r="P19" s="5" t="s">
        <v>1401</v>
      </c>
      <c r="Q19" s="3" t="s">
        <v>2514</v>
      </c>
      <c r="R19" s="3" t="s">
        <v>2597</v>
      </c>
      <c r="S19" s="3" t="s">
        <v>30</v>
      </c>
      <c r="T19" s="109"/>
      <c r="U19" s="12"/>
      <c r="V19" s="109"/>
    </row>
    <row r="20" ht="22.5" customHeight="1">
      <c r="A20" s="10">
        <v>260219.0</v>
      </c>
      <c r="B20" s="4">
        <v>46037.94849663194</v>
      </c>
      <c r="C20" s="5" t="s">
        <v>1686</v>
      </c>
      <c r="D20" s="5" t="s">
        <v>1687</v>
      </c>
      <c r="E20" s="5" t="s">
        <v>1686</v>
      </c>
      <c r="F20" s="5" t="s">
        <v>64</v>
      </c>
      <c r="G20" s="11" t="s">
        <v>1688</v>
      </c>
      <c r="H20" s="11" t="s">
        <v>1689</v>
      </c>
      <c r="I20" s="11" t="s">
        <v>1690</v>
      </c>
      <c r="J20" s="146" t="s">
        <v>1691</v>
      </c>
      <c r="K20" s="11" t="s">
        <v>1692</v>
      </c>
      <c r="L20" s="5" t="s">
        <v>30</v>
      </c>
      <c r="M20" s="5" t="s">
        <v>1693</v>
      </c>
      <c r="N20" s="5" t="s">
        <v>119</v>
      </c>
      <c r="O20" s="5" t="s">
        <v>403</v>
      </c>
      <c r="P20" s="5" t="s">
        <v>734</v>
      </c>
      <c r="Q20" s="3" t="s">
        <v>2848</v>
      </c>
      <c r="R20" s="3" t="s">
        <v>2407</v>
      </c>
      <c r="S20" s="3" t="s">
        <v>30</v>
      </c>
      <c r="T20" s="17"/>
      <c r="U20" s="3"/>
      <c r="V20" s="17" t="s">
        <v>2849</v>
      </c>
    </row>
    <row r="21" ht="22.5" customHeight="1">
      <c r="A21" s="10">
        <v>260220.0</v>
      </c>
      <c r="B21" s="4">
        <v>46037.952517314814</v>
      </c>
      <c r="C21" s="5" t="s">
        <v>1694</v>
      </c>
      <c r="D21" s="5" t="s">
        <v>1695</v>
      </c>
      <c r="E21" s="5" t="s">
        <v>1694</v>
      </c>
      <c r="F21" s="5" t="s">
        <v>64</v>
      </c>
      <c r="G21" s="11" t="s">
        <v>1696</v>
      </c>
      <c r="H21" s="11" t="s">
        <v>1697</v>
      </c>
      <c r="I21" s="11" t="s">
        <v>1698</v>
      </c>
      <c r="J21" s="11" t="s">
        <v>1699</v>
      </c>
      <c r="K21" s="146" t="s">
        <v>1700</v>
      </c>
      <c r="L21" s="5" t="s">
        <v>30</v>
      </c>
      <c r="M21" s="5" t="s">
        <v>1701</v>
      </c>
      <c r="N21" s="5" t="s">
        <v>1702</v>
      </c>
      <c r="O21" s="5" t="s">
        <v>1703</v>
      </c>
      <c r="P21" s="5" t="s">
        <v>1703</v>
      </c>
      <c r="Q21" s="3" t="s">
        <v>2630</v>
      </c>
      <c r="R21" s="3" t="s">
        <v>2432</v>
      </c>
      <c r="S21" s="3" t="s">
        <v>30</v>
      </c>
      <c r="T21" s="17"/>
      <c r="U21" s="3"/>
      <c r="V21" s="17" t="s">
        <v>2850</v>
      </c>
    </row>
    <row r="22" ht="22.5" customHeight="1">
      <c r="A22" s="10">
        <v>260221.0</v>
      </c>
      <c r="B22" s="4">
        <v>46037.96924219908</v>
      </c>
      <c r="C22" s="5" t="s">
        <v>1704</v>
      </c>
      <c r="D22" s="5" t="s">
        <v>1705</v>
      </c>
      <c r="E22" s="5" t="s">
        <v>1704</v>
      </c>
      <c r="F22" s="5" t="s">
        <v>17</v>
      </c>
      <c r="G22" s="11" t="s">
        <v>1706</v>
      </c>
      <c r="H22" s="11" t="s">
        <v>1707</v>
      </c>
      <c r="I22" s="11" t="s">
        <v>1708</v>
      </c>
      <c r="J22" s="11" t="s">
        <v>1709</v>
      </c>
      <c r="K22" s="11" t="s">
        <v>1710</v>
      </c>
      <c r="L22" s="5" t="s">
        <v>162</v>
      </c>
      <c r="M22" s="5" t="s">
        <v>1711</v>
      </c>
      <c r="N22" s="5" t="s">
        <v>119</v>
      </c>
      <c r="O22" s="5" t="s">
        <v>26</v>
      </c>
      <c r="P22" s="5" t="s">
        <v>26</v>
      </c>
      <c r="Q22" s="3" t="s">
        <v>2359</v>
      </c>
      <c r="R22" s="3" t="s">
        <v>2607</v>
      </c>
      <c r="S22" s="3" t="s">
        <v>30</v>
      </c>
      <c r="T22" s="17"/>
      <c r="U22" s="3"/>
      <c r="V22" s="17"/>
    </row>
    <row r="23" ht="22.5" customHeight="1">
      <c r="A23" s="10">
        <v>260222.0</v>
      </c>
      <c r="B23" s="4">
        <v>46037.977697442126</v>
      </c>
      <c r="C23" s="5" t="s">
        <v>15</v>
      </c>
      <c r="D23" s="5" t="s">
        <v>1712</v>
      </c>
      <c r="E23" s="5" t="s">
        <v>15</v>
      </c>
      <c r="F23" s="5" t="s">
        <v>64</v>
      </c>
      <c r="G23" s="11" t="s">
        <v>1713</v>
      </c>
      <c r="H23" s="11" t="s">
        <v>1714</v>
      </c>
      <c r="I23" s="11" t="s">
        <v>720</v>
      </c>
      <c r="J23" s="11" t="s">
        <v>1715</v>
      </c>
      <c r="K23" s="11" t="s">
        <v>1716</v>
      </c>
      <c r="L23" s="5" t="s">
        <v>162</v>
      </c>
      <c r="M23" s="5" t="s">
        <v>24</v>
      </c>
      <c r="N23" s="5" t="s">
        <v>25</v>
      </c>
      <c r="O23" s="5" t="s">
        <v>26</v>
      </c>
      <c r="P23" s="5" t="s">
        <v>825</v>
      </c>
      <c r="Q23" s="5" t="s">
        <v>2396</v>
      </c>
      <c r="R23" s="5" t="s">
        <v>2607</v>
      </c>
      <c r="S23" s="5" t="s">
        <v>30</v>
      </c>
      <c r="T23" s="17" t="s">
        <v>2851</v>
      </c>
      <c r="U23" s="3" t="s">
        <v>2802</v>
      </c>
      <c r="V23" s="17" t="s">
        <v>2852</v>
      </c>
    </row>
    <row r="24" ht="22.5" customHeight="1">
      <c r="A24" s="10">
        <v>260223.0</v>
      </c>
      <c r="B24" s="4">
        <v>46038.05131846065</v>
      </c>
      <c r="C24" s="5" t="s">
        <v>1717</v>
      </c>
      <c r="D24" s="5" t="s">
        <v>1718</v>
      </c>
      <c r="E24" s="5" t="s">
        <v>1717</v>
      </c>
      <c r="F24" s="5" t="s">
        <v>64</v>
      </c>
      <c r="G24" s="11" t="s">
        <v>1719</v>
      </c>
      <c r="H24" s="11" t="s">
        <v>1720</v>
      </c>
      <c r="I24" s="141" t="s">
        <v>1721</v>
      </c>
      <c r="J24" s="11" t="s">
        <v>720</v>
      </c>
      <c r="K24" s="11" t="s">
        <v>1722</v>
      </c>
      <c r="L24" s="5" t="s">
        <v>162</v>
      </c>
      <c r="M24" s="5" t="s">
        <v>878</v>
      </c>
      <c r="N24" s="5" t="s">
        <v>119</v>
      </c>
      <c r="O24" s="5" t="s">
        <v>548</v>
      </c>
      <c r="P24" s="5" t="s">
        <v>548</v>
      </c>
      <c r="Q24" s="3" t="s">
        <v>2853</v>
      </c>
      <c r="R24" s="3" t="s">
        <v>2529</v>
      </c>
      <c r="S24" s="3" t="s">
        <v>30</v>
      </c>
      <c r="T24" s="17"/>
      <c r="U24" s="3"/>
      <c r="V24" s="17" t="s">
        <v>2096</v>
      </c>
    </row>
    <row r="25" ht="22.5" customHeight="1">
      <c r="A25" s="10">
        <v>260224.0</v>
      </c>
      <c r="B25" s="4">
        <v>46038.05414087963</v>
      </c>
      <c r="C25" s="5" t="s">
        <v>1723</v>
      </c>
      <c r="D25" s="5" t="s">
        <v>1724</v>
      </c>
      <c r="E25" s="5" t="s">
        <v>1723</v>
      </c>
      <c r="F25" s="5" t="s">
        <v>17</v>
      </c>
      <c r="G25" s="11" t="s">
        <v>1725</v>
      </c>
      <c r="H25" s="11" t="s">
        <v>1726</v>
      </c>
      <c r="I25" s="141" t="s">
        <v>1727</v>
      </c>
      <c r="J25" s="11" t="s">
        <v>1728</v>
      </c>
      <c r="K25" s="11" t="s">
        <v>1729</v>
      </c>
      <c r="L25" s="5" t="s">
        <v>162</v>
      </c>
      <c r="M25" s="5" t="s">
        <v>1730</v>
      </c>
      <c r="N25" s="5" t="s">
        <v>71</v>
      </c>
      <c r="O25" s="5" t="s">
        <v>1731</v>
      </c>
      <c r="P25" s="5" t="s">
        <v>182</v>
      </c>
      <c r="Q25" s="3" t="s">
        <v>2449</v>
      </c>
      <c r="R25" s="3" t="s">
        <v>2455</v>
      </c>
      <c r="S25" s="3" t="s">
        <v>30</v>
      </c>
      <c r="T25" s="109"/>
      <c r="U25" s="12"/>
      <c r="V25" s="109"/>
    </row>
    <row r="26" ht="22.5" customHeight="1">
      <c r="A26" s="10">
        <v>260225.0</v>
      </c>
      <c r="B26" s="4">
        <v>46038.108123136575</v>
      </c>
      <c r="C26" s="5" t="s">
        <v>1732</v>
      </c>
      <c r="D26" s="5" t="s">
        <v>1733</v>
      </c>
      <c r="E26" s="5" t="s">
        <v>1732</v>
      </c>
      <c r="F26" s="5" t="s">
        <v>17</v>
      </c>
      <c r="G26" s="11" t="s">
        <v>1734</v>
      </c>
      <c r="H26" s="11" t="s">
        <v>1735</v>
      </c>
      <c r="I26" s="11" t="s">
        <v>1736</v>
      </c>
      <c r="J26" s="11" t="s">
        <v>1737</v>
      </c>
      <c r="K26" s="11" t="s">
        <v>20</v>
      </c>
      <c r="L26" s="5" t="s">
        <v>30</v>
      </c>
      <c r="M26" s="5" t="s">
        <v>1738</v>
      </c>
      <c r="N26" s="5" t="s">
        <v>119</v>
      </c>
      <c r="O26" s="5" t="s">
        <v>51</v>
      </c>
      <c r="P26" s="5" t="s">
        <v>52</v>
      </c>
      <c r="Q26" s="3" t="s">
        <v>2644</v>
      </c>
      <c r="R26" s="3" t="s">
        <v>2854</v>
      </c>
      <c r="S26" s="3" t="s">
        <v>30</v>
      </c>
      <c r="T26" s="109"/>
      <c r="U26" s="12"/>
      <c r="V26" s="109"/>
    </row>
    <row r="27" ht="22.5" customHeight="1">
      <c r="A27" s="10">
        <v>260226.0</v>
      </c>
      <c r="B27" s="4">
        <v>46038.875274351856</v>
      </c>
      <c r="C27" s="5" t="s">
        <v>1739</v>
      </c>
      <c r="D27" s="5" t="s">
        <v>1740</v>
      </c>
      <c r="E27" s="5" t="s">
        <v>1739</v>
      </c>
      <c r="F27" s="5" t="s">
        <v>131</v>
      </c>
      <c r="G27" s="11" t="s">
        <v>1741</v>
      </c>
      <c r="H27" s="11" t="s">
        <v>1742</v>
      </c>
      <c r="I27" s="141" t="s">
        <v>1743</v>
      </c>
      <c r="J27" s="11" t="s">
        <v>1744</v>
      </c>
      <c r="K27" s="11" t="s">
        <v>1745</v>
      </c>
      <c r="L27" s="5" t="s">
        <v>162</v>
      </c>
      <c r="M27" s="5" t="s">
        <v>1746</v>
      </c>
      <c r="N27" s="5" t="s">
        <v>25</v>
      </c>
      <c r="O27" s="5" t="s">
        <v>26</v>
      </c>
      <c r="P27" s="5" t="s">
        <v>825</v>
      </c>
      <c r="Q27" s="3" t="s">
        <v>2479</v>
      </c>
      <c r="R27" s="3" t="s">
        <v>2495</v>
      </c>
      <c r="S27" s="3" t="s">
        <v>30</v>
      </c>
      <c r="T27" s="109"/>
      <c r="U27" s="12"/>
      <c r="V27" s="109"/>
    </row>
    <row r="28" ht="22.5" customHeight="1">
      <c r="A28" s="10">
        <v>260227.0</v>
      </c>
      <c r="B28" s="4">
        <v>46038.21243915509</v>
      </c>
      <c r="C28" s="5" t="s">
        <v>1747</v>
      </c>
      <c r="D28" s="5" t="s">
        <v>1748</v>
      </c>
      <c r="E28" s="5" t="s">
        <v>1747</v>
      </c>
      <c r="F28" s="5" t="s">
        <v>17</v>
      </c>
      <c r="G28" s="11" t="s">
        <v>1749</v>
      </c>
      <c r="H28" s="11" t="s">
        <v>1750</v>
      </c>
      <c r="I28" s="11" t="s">
        <v>1751</v>
      </c>
      <c r="J28" s="141" t="s">
        <v>1752</v>
      </c>
      <c r="K28" s="11" t="s">
        <v>1753</v>
      </c>
      <c r="L28" s="5" t="s">
        <v>162</v>
      </c>
      <c r="M28" s="5" t="s">
        <v>1754</v>
      </c>
      <c r="N28" s="5" t="s">
        <v>61</v>
      </c>
      <c r="O28" s="5" t="s">
        <v>437</v>
      </c>
      <c r="P28" s="5" t="s">
        <v>268</v>
      </c>
      <c r="Q28" s="3" t="s">
        <v>2597</v>
      </c>
      <c r="R28" s="3" t="s">
        <v>2560</v>
      </c>
      <c r="S28" s="3" t="s">
        <v>30</v>
      </c>
      <c r="T28" s="109"/>
      <c r="U28" s="12"/>
      <c r="V28" s="109"/>
    </row>
    <row r="29" ht="22.5" customHeight="1">
      <c r="A29" s="10">
        <v>260228.0</v>
      </c>
      <c r="B29" s="4">
        <v>46038.24360479167</v>
      </c>
      <c r="C29" s="5" t="s">
        <v>1755</v>
      </c>
      <c r="D29" s="5" t="s">
        <v>1756</v>
      </c>
      <c r="E29" s="5" t="s">
        <v>1755</v>
      </c>
      <c r="F29" s="5" t="s">
        <v>17</v>
      </c>
      <c r="G29" s="11" t="s">
        <v>1757</v>
      </c>
      <c r="H29" s="11" t="s">
        <v>1758</v>
      </c>
      <c r="I29" s="11" t="s">
        <v>1759</v>
      </c>
      <c r="J29" s="11" t="s">
        <v>51</v>
      </c>
      <c r="K29" s="11" t="s">
        <v>1760</v>
      </c>
      <c r="L29" s="5" t="s">
        <v>23</v>
      </c>
      <c r="M29" s="5" t="s">
        <v>1761</v>
      </c>
      <c r="N29" s="5" t="s">
        <v>39</v>
      </c>
      <c r="O29" s="5" t="s">
        <v>181</v>
      </c>
      <c r="P29" s="5" t="s">
        <v>1762</v>
      </c>
      <c r="Q29" s="3" t="s">
        <v>2630</v>
      </c>
      <c r="R29" s="3" t="s">
        <v>2473</v>
      </c>
      <c r="S29" s="3" t="s">
        <v>30</v>
      </c>
      <c r="T29" s="109"/>
      <c r="U29" s="12"/>
      <c r="V29" s="109"/>
    </row>
    <row r="30" ht="22.5" customHeight="1">
      <c r="A30" s="10">
        <v>260229.0</v>
      </c>
      <c r="B30" s="4">
        <v>46038.245496400465</v>
      </c>
      <c r="C30" s="5" t="s">
        <v>1763</v>
      </c>
      <c r="D30" s="5" t="s">
        <v>1764</v>
      </c>
      <c r="E30" s="5" t="s">
        <v>1763</v>
      </c>
      <c r="F30" s="5" t="s">
        <v>17</v>
      </c>
      <c r="G30" s="11" t="s">
        <v>1765</v>
      </c>
      <c r="H30" s="11" t="s">
        <v>1766</v>
      </c>
      <c r="I30" s="11" t="s">
        <v>1767</v>
      </c>
      <c r="J30" s="11" t="s">
        <v>1768</v>
      </c>
      <c r="K30" s="11" t="s">
        <v>1769</v>
      </c>
      <c r="L30" s="5" t="s">
        <v>23</v>
      </c>
      <c r="M30" s="5" t="s">
        <v>1770</v>
      </c>
      <c r="N30" s="5" t="s">
        <v>456</v>
      </c>
      <c r="O30" s="5" t="s">
        <v>1771</v>
      </c>
      <c r="P30" s="5" t="s">
        <v>566</v>
      </c>
      <c r="Q30" s="3" t="s">
        <v>2644</v>
      </c>
      <c r="R30" s="3" t="s">
        <v>2449</v>
      </c>
      <c r="S30" s="3" t="s">
        <v>30</v>
      </c>
      <c r="T30" s="17"/>
      <c r="U30" s="3"/>
      <c r="V30" s="17" t="s">
        <v>2855</v>
      </c>
    </row>
    <row r="31" ht="22.5" customHeight="1">
      <c r="A31" s="10">
        <v>260230.0</v>
      </c>
      <c r="B31" s="4">
        <v>46038.25010081018</v>
      </c>
      <c r="C31" s="5" t="s">
        <v>1772</v>
      </c>
      <c r="D31" s="5" t="s">
        <v>1773</v>
      </c>
      <c r="E31" s="5" t="s">
        <v>1772</v>
      </c>
      <c r="F31" s="5" t="s">
        <v>17</v>
      </c>
      <c r="G31" s="11" t="s">
        <v>1774</v>
      </c>
      <c r="H31" s="11" t="s">
        <v>1775</v>
      </c>
      <c r="I31" s="15" t="s">
        <v>1776</v>
      </c>
      <c r="J31" s="11" t="s">
        <v>1379</v>
      </c>
      <c r="K31" s="11" t="s">
        <v>1777</v>
      </c>
      <c r="L31" s="5" t="s">
        <v>162</v>
      </c>
      <c r="M31" s="5" t="s">
        <v>1646</v>
      </c>
      <c r="N31" s="5" t="s">
        <v>119</v>
      </c>
      <c r="O31" s="5" t="s">
        <v>548</v>
      </c>
      <c r="P31" s="5" t="s">
        <v>200</v>
      </c>
      <c r="Q31" s="3" t="s">
        <v>2827</v>
      </c>
      <c r="R31" s="3" t="s">
        <v>2440</v>
      </c>
      <c r="S31" s="3" t="s">
        <v>30</v>
      </c>
      <c r="T31" s="109"/>
      <c r="U31" s="12"/>
      <c r="V31" s="109"/>
    </row>
    <row r="32" ht="22.5" customHeight="1">
      <c r="A32" s="10">
        <v>260231.0</v>
      </c>
      <c r="B32" s="4">
        <v>46038.2560659375</v>
      </c>
      <c r="C32" s="5" t="s">
        <v>1778</v>
      </c>
      <c r="D32" s="5" t="s">
        <v>1779</v>
      </c>
      <c r="E32" s="5" t="s">
        <v>1778</v>
      </c>
      <c r="F32" s="5" t="s">
        <v>17</v>
      </c>
      <c r="G32" s="11" t="s">
        <v>1780</v>
      </c>
      <c r="H32" s="11" t="s">
        <v>1781</v>
      </c>
      <c r="I32" s="141" t="s">
        <v>1782</v>
      </c>
      <c r="J32" s="11" t="s">
        <v>1783</v>
      </c>
      <c r="K32" s="11" t="s">
        <v>1784</v>
      </c>
      <c r="L32" s="5" t="s">
        <v>23</v>
      </c>
      <c r="M32" s="5" t="s">
        <v>1785</v>
      </c>
      <c r="N32" s="5" t="s">
        <v>119</v>
      </c>
      <c r="O32" s="5" t="s">
        <v>51</v>
      </c>
      <c r="P32" s="5" t="s">
        <v>268</v>
      </c>
      <c r="Q32" s="5" t="s">
        <v>2630</v>
      </c>
      <c r="R32" s="5" t="s">
        <v>2514</v>
      </c>
      <c r="S32" s="3" t="s">
        <v>30</v>
      </c>
      <c r="T32" s="109"/>
      <c r="U32" s="12"/>
      <c r="V32" s="109"/>
    </row>
    <row r="33" ht="22.5" customHeight="1">
      <c r="A33" s="10">
        <v>260232.0</v>
      </c>
      <c r="B33" s="4">
        <v>46038.273083506945</v>
      </c>
      <c r="C33" s="5" t="s">
        <v>1786</v>
      </c>
      <c r="D33" s="5" t="s">
        <v>1787</v>
      </c>
      <c r="E33" s="5" t="s">
        <v>1786</v>
      </c>
      <c r="F33" s="5" t="s">
        <v>17</v>
      </c>
      <c r="G33" s="11" t="s">
        <v>1788</v>
      </c>
      <c r="H33" s="11" t="s">
        <v>1789</v>
      </c>
      <c r="I33" s="11" t="s">
        <v>324</v>
      </c>
      <c r="J33" s="141" t="s">
        <v>1790</v>
      </c>
      <c r="K33" s="11" t="s">
        <v>1791</v>
      </c>
      <c r="L33" s="5" t="s">
        <v>23</v>
      </c>
      <c r="M33" s="5" t="s">
        <v>1792</v>
      </c>
      <c r="N33" s="5" t="s">
        <v>1383</v>
      </c>
      <c r="O33" s="5" t="s">
        <v>51</v>
      </c>
      <c r="P33" s="5" t="s">
        <v>200</v>
      </c>
      <c r="Q33" s="3" t="s">
        <v>2580</v>
      </c>
      <c r="R33" s="3" t="s">
        <v>2487</v>
      </c>
      <c r="S33" s="3" t="s">
        <v>30</v>
      </c>
      <c r="T33" s="109"/>
      <c r="U33" s="12"/>
      <c r="V33" s="109"/>
    </row>
    <row r="34" ht="22.5" customHeight="1">
      <c r="A34" s="10">
        <v>260233.0</v>
      </c>
      <c r="B34" s="4">
        <v>46038.274556550925</v>
      </c>
      <c r="C34" s="5" t="s">
        <v>1793</v>
      </c>
      <c r="D34" s="5" t="s">
        <v>1794</v>
      </c>
      <c r="E34" s="5" t="s">
        <v>1793</v>
      </c>
      <c r="F34" s="5" t="s">
        <v>17</v>
      </c>
      <c r="G34" s="11" t="s">
        <v>1795</v>
      </c>
      <c r="H34" s="11" t="s">
        <v>1796</v>
      </c>
      <c r="I34" s="11" t="s">
        <v>1797</v>
      </c>
      <c r="J34" s="141" t="s">
        <v>862</v>
      </c>
      <c r="K34" s="11" t="s">
        <v>1138</v>
      </c>
      <c r="L34" s="5" t="s">
        <v>23</v>
      </c>
      <c r="M34" s="5" t="s">
        <v>1798</v>
      </c>
      <c r="N34" s="5" t="s">
        <v>119</v>
      </c>
      <c r="O34" s="5" t="s">
        <v>437</v>
      </c>
      <c r="P34" s="5" t="s">
        <v>182</v>
      </c>
      <c r="Q34" s="3" t="s">
        <v>2381</v>
      </c>
      <c r="R34" s="3" t="s">
        <v>2612</v>
      </c>
      <c r="S34" s="3" t="s">
        <v>30</v>
      </c>
      <c r="T34" s="109"/>
      <c r="U34" s="12"/>
      <c r="V34" s="109"/>
    </row>
    <row r="35" ht="22.5" customHeight="1">
      <c r="A35" s="10">
        <v>260234.0</v>
      </c>
      <c r="B35" s="4">
        <v>46038.2774840625</v>
      </c>
      <c r="C35" s="5" t="s">
        <v>1799</v>
      </c>
      <c r="D35" s="5" t="s">
        <v>1800</v>
      </c>
      <c r="E35" s="5" t="s">
        <v>1799</v>
      </c>
      <c r="F35" s="5" t="s">
        <v>17</v>
      </c>
      <c r="G35" s="11" t="s">
        <v>1801</v>
      </c>
      <c r="H35" s="11" t="s">
        <v>1802</v>
      </c>
      <c r="I35" s="11" t="s">
        <v>1803</v>
      </c>
      <c r="J35" s="11" t="s">
        <v>1804</v>
      </c>
      <c r="K35" s="11" t="s">
        <v>1805</v>
      </c>
      <c r="L35" s="5" t="s">
        <v>30</v>
      </c>
      <c r="M35" s="5" t="s">
        <v>39</v>
      </c>
      <c r="N35" s="5" t="s">
        <v>39</v>
      </c>
      <c r="O35" s="5" t="s">
        <v>181</v>
      </c>
      <c r="P35" s="5" t="s">
        <v>660</v>
      </c>
      <c r="Q35" s="5" t="s">
        <v>2466</v>
      </c>
      <c r="R35" s="5" t="s">
        <v>2623</v>
      </c>
      <c r="S35" s="5" t="s">
        <v>30</v>
      </c>
      <c r="T35" s="121"/>
      <c r="U35" s="102"/>
      <c r="V35" s="121"/>
    </row>
    <row r="36" ht="22.5" customHeight="1">
      <c r="A36" s="10">
        <v>260235.0</v>
      </c>
      <c r="B36" s="4">
        <v>46038.278584942134</v>
      </c>
      <c r="C36" s="5" t="s">
        <v>1806</v>
      </c>
      <c r="D36" s="5" t="s">
        <v>1807</v>
      </c>
      <c r="E36" s="5" t="s">
        <v>1806</v>
      </c>
      <c r="F36" s="5" t="s">
        <v>64</v>
      </c>
      <c r="G36" s="11" t="s">
        <v>1808</v>
      </c>
      <c r="H36" s="11" t="s">
        <v>1809</v>
      </c>
      <c r="I36" s="11" t="s">
        <v>1810</v>
      </c>
      <c r="J36" s="11" t="s">
        <v>1811</v>
      </c>
      <c r="K36" s="11" t="s">
        <v>1812</v>
      </c>
      <c r="L36" s="5" t="s">
        <v>30</v>
      </c>
      <c r="M36" s="5" t="s">
        <v>1813</v>
      </c>
      <c r="N36" s="5" t="s">
        <v>61</v>
      </c>
      <c r="O36" s="5" t="s">
        <v>51</v>
      </c>
      <c r="P36" s="5" t="s">
        <v>51</v>
      </c>
      <c r="Q36" s="5" t="s">
        <v>2607</v>
      </c>
      <c r="R36" s="5" t="s">
        <v>2602</v>
      </c>
      <c r="S36" s="5" t="s">
        <v>30</v>
      </c>
      <c r="T36" s="11" t="s">
        <v>2856</v>
      </c>
      <c r="U36" s="5" t="s">
        <v>2802</v>
      </c>
      <c r="V36" s="11" t="s">
        <v>2857</v>
      </c>
    </row>
    <row r="37" ht="22.5" customHeight="1">
      <c r="A37" s="10">
        <v>260236.0</v>
      </c>
      <c r="B37" s="4">
        <v>46038.28588107639</v>
      </c>
      <c r="C37" s="5" t="s">
        <v>1814</v>
      </c>
      <c r="D37" s="5" t="s">
        <v>1815</v>
      </c>
      <c r="E37" s="5" t="s">
        <v>1814</v>
      </c>
      <c r="F37" s="5" t="s">
        <v>17</v>
      </c>
      <c r="G37" s="11" t="s">
        <v>1816</v>
      </c>
      <c r="H37" s="11" t="s">
        <v>1817</v>
      </c>
      <c r="I37" s="11" t="s">
        <v>1818</v>
      </c>
      <c r="J37" s="11" t="s">
        <v>1819</v>
      </c>
      <c r="K37" s="11" t="s">
        <v>1820</v>
      </c>
      <c r="L37" s="5" t="s">
        <v>162</v>
      </c>
      <c r="M37" s="5" t="s">
        <v>1821</v>
      </c>
      <c r="N37" s="5" t="s">
        <v>1822</v>
      </c>
      <c r="O37" s="5" t="s">
        <v>592</v>
      </c>
      <c r="P37" s="5" t="s">
        <v>593</v>
      </c>
      <c r="Q37" s="5" t="s">
        <v>2580</v>
      </c>
      <c r="R37" s="5" t="s">
        <v>2440</v>
      </c>
      <c r="S37" s="3" t="s">
        <v>30</v>
      </c>
      <c r="T37" s="109"/>
      <c r="U37" s="12"/>
      <c r="V37" s="109"/>
    </row>
    <row r="38" ht="22.5" customHeight="1">
      <c r="A38" s="10">
        <v>260237.0</v>
      </c>
      <c r="B38" s="4">
        <v>46038.30154659723</v>
      </c>
      <c r="C38" s="5" t="s">
        <v>1823</v>
      </c>
      <c r="D38" s="5" t="s">
        <v>1824</v>
      </c>
      <c r="E38" s="5" t="s">
        <v>1823</v>
      </c>
      <c r="F38" s="5" t="s">
        <v>17</v>
      </c>
      <c r="G38" s="11" t="s">
        <v>1825</v>
      </c>
      <c r="H38" s="11" t="s">
        <v>1826</v>
      </c>
      <c r="I38" s="11" t="s">
        <v>1827</v>
      </c>
      <c r="J38" s="11" t="s">
        <v>1828</v>
      </c>
      <c r="K38" s="11" t="s">
        <v>1344</v>
      </c>
      <c r="L38" s="5" t="s">
        <v>30</v>
      </c>
      <c r="M38" s="5" t="s">
        <v>1829</v>
      </c>
      <c r="N38" s="5" t="s">
        <v>1822</v>
      </c>
      <c r="O38" s="5" t="s">
        <v>51</v>
      </c>
      <c r="P38" s="5" t="s">
        <v>1830</v>
      </c>
      <c r="Q38" s="5" t="s">
        <v>2858</v>
      </c>
      <c r="R38" s="5" t="s">
        <v>2592</v>
      </c>
      <c r="S38" s="3"/>
      <c r="T38" s="17"/>
      <c r="U38" s="3"/>
      <c r="V38" s="17" t="s">
        <v>2859</v>
      </c>
    </row>
    <row r="39" ht="22.5" customHeight="1">
      <c r="A39" s="10">
        <v>260238.0</v>
      </c>
      <c r="B39" s="4">
        <v>46038.31003432871</v>
      </c>
      <c r="C39" s="5" t="s">
        <v>1814</v>
      </c>
      <c r="D39" s="5" t="s">
        <v>1815</v>
      </c>
      <c r="E39" s="5" t="s">
        <v>1814</v>
      </c>
      <c r="F39" s="5" t="s">
        <v>17</v>
      </c>
      <c r="G39" s="11" t="s">
        <v>1831</v>
      </c>
      <c r="H39" s="11" t="s">
        <v>1832</v>
      </c>
      <c r="I39" s="11" t="s">
        <v>1819</v>
      </c>
      <c r="J39" s="11" t="s">
        <v>1833</v>
      </c>
      <c r="K39" s="11" t="s">
        <v>1834</v>
      </c>
      <c r="L39" s="5" t="s">
        <v>162</v>
      </c>
      <c r="M39" s="5" t="s">
        <v>1821</v>
      </c>
      <c r="N39" s="5" t="s">
        <v>1822</v>
      </c>
      <c r="O39" s="5" t="s">
        <v>592</v>
      </c>
      <c r="P39" s="5" t="s">
        <v>593</v>
      </c>
      <c r="Q39" s="5" t="s">
        <v>2554</v>
      </c>
      <c r="R39" s="5" t="s">
        <v>2440</v>
      </c>
      <c r="S39" s="5" t="s">
        <v>30</v>
      </c>
      <c r="T39" s="11" t="s">
        <v>2860</v>
      </c>
      <c r="U39" s="5" t="s">
        <v>2802</v>
      </c>
      <c r="V39" s="11" t="s">
        <v>2861</v>
      </c>
    </row>
    <row r="40" ht="22.5" customHeight="1">
      <c r="A40" s="96">
        <v>260239.0</v>
      </c>
      <c r="B40" s="97">
        <v>46038.32530041666</v>
      </c>
      <c r="C40" s="98" t="s">
        <v>1835</v>
      </c>
      <c r="D40" s="98" t="s">
        <v>1836</v>
      </c>
      <c r="E40" s="98" t="s">
        <v>1835</v>
      </c>
      <c r="F40" s="98" t="s">
        <v>17</v>
      </c>
      <c r="G40" s="99" t="s">
        <v>1837</v>
      </c>
      <c r="H40" s="99" t="s">
        <v>1838</v>
      </c>
      <c r="I40" s="99" t="s">
        <v>1839</v>
      </c>
      <c r="J40" s="99" t="s">
        <v>1840</v>
      </c>
      <c r="K40" s="99" t="s">
        <v>1841</v>
      </c>
      <c r="L40" s="98" t="s">
        <v>30</v>
      </c>
      <c r="M40" s="98" t="s">
        <v>1842</v>
      </c>
      <c r="N40" s="98" t="s">
        <v>39</v>
      </c>
      <c r="O40" s="98" t="s">
        <v>51</v>
      </c>
      <c r="P40" s="98" t="s">
        <v>52</v>
      </c>
      <c r="Q40" s="98"/>
      <c r="R40" s="100"/>
      <c r="S40" s="98" t="s">
        <v>162</v>
      </c>
      <c r="T40" s="99" t="s">
        <v>2862</v>
      </c>
      <c r="U40" s="98" t="s">
        <v>2802</v>
      </c>
      <c r="V40" s="99" t="s">
        <v>2863</v>
      </c>
      <c r="W40" s="101"/>
      <c r="X40" s="101"/>
      <c r="Y40" s="101"/>
      <c r="Z40" s="101"/>
      <c r="AA40" s="101"/>
    </row>
    <row r="41" ht="22.5" customHeight="1">
      <c r="A41" s="10">
        <v>260240.0</v>
      </c>
      <c r="B41" s="4">
        <v>46038.33702363426</v>
      </c>
      <c r="C41" s="5" t="s">
        <v>1843</v>
      </c>
      <c r="D41" s="5" t="s">
        <v>1844</v>
      </c>
      <c r="E41" s="5" t="s">
        <v>1843</v>
      </c>
      <c r="F41" s="5" t="s">
        <v>17</v>
      </c>
      <c r="G41" s="11" t="s">
        <v>1845</v>
      </c>
      <c r="H41" s="11" t="s">
        <v>1846</v>
      </c>
      <c r="I41" s="11" t="s">
        <v>51</v>
      </c>
      <c r="J41" s="11" t="s">
        <v>1847</v>
      </c>
      <c r="K41" s="11" t="s">
        <v>1848</v>
      </c>
      <c r="L41" s="5" t="s">
        <v>162</v>
      </c>
      <c r="M41" s="5" t="s">
        <v>1849</v>
      </c>
      <c r="N41" s="5" t="s">
        <v>61</v>
      </c>
      <c r="O41" s="5" t="s">
        <v>548</v>
      </c>
      <c r="P41" s="5" t="s">
        <v>660</v>
      </c>
      <c r="Q41" s="3" t="s">
        <v>2473</v>
      </c>
      <c r="R41" s="3" t="s">
        <v>2864</v>
      </c>
      <c r="S41" s="3" t="s">
        <v>30</v>
      </c>
      <c r="T41" s="109"/>
      <c r="U41" s="12"/>
      <c r="V41" s="109"/>
    </row>
    <row r="42" ht="22.5" customHeight="1">
      <c r="A42" s="96">
        <v>260241.0</v>
      </c>
      <c r="B42" s="97">
        <v>46039.26825141204</v>
      </c>
      <c r="C42" s="98" t="s">
        <v>1850</v>
      </c>
      <c r="D42" s="98" t="s">
        <v>1851</v>
      </c>
      <c r="E42" s="98" t="s">
        <v>1850</v>
      </c>
      <c r="F42" s="98" t="s">
        <v>17</v>
      </c>
      <c r="G42" s="99" t="s">
        <v>1852</v>
      </c>
      <c r="H42" s="99" t="s">
        <v>2865</v>
      </c>
      <c r="I42" s="99" t="s">
        <v>1854</v>
      </c>
      <c r="J42" s="99" t="s">
        <v>1855</v>
      </c>
      <c r="K42" s="99" t="s">
        <v>1856</v>
      </c>
      <c r="L42" s="98" t="s">
        <v>30</v>
      </c>
      <c r="M42" s="98" t="s">
        <v>1857</v>
      </c>
      <c r="N42" s="98" t="s">
        <v>119</v>
      </c>
      <c r="O42" s="98" t="s">
        <v>51</v>
      </c>
      <c r="P42" s="98" t="s">
        <v>52</v>
      </c>
      <c r="Q42" s="98"/>
      <c r="R42" s="98"/>
      <c r="S42" s="98" t="s">
        <v>162</v>
      </c>
      <c r="T42" s="99" t="s">
        <v>2866</v>
      </c>
      <c r="U42" s="98" t="s">
        <v>2802</v>
      </c>
      <c r="V42" s="99" t="s">
        <v>2867</v>
      </c>
      <c r="W42" s="101"/>
      <c r="X42" s="101"/>
      <c r="Y42" s="101"/>
      <c r="Z42" s="101"/>
      <c r="AA42" s="101"/>
    </row>
    <row r="43" ht="22.5" customHeight="1">
      <c r="A43" s="10">
        <v>260242.0</v>
      </c>
      <c r="B43" s="4">
        <v>46038.370104710644</v>
      </c>
      <c r="C43" s="5" t="s">
        <v>1858</v>
      </c>
      <c r="D43" s="5" t="s">
        <v>1859</v>
      </c>
      <c r="E43" s="5" t="s">
        <v>1858</v>
      </c>
      <c r="F43" s="5" t="s">
        <v>17</v>
      </c>
      <c r="G43" s="11" t="s">
        <v>1860</v>
      </c>
      <c r="H43" s="11" t="s">
        <v>1861</v>
      </c>
      <c r="I43" s="11" t="s">
        <v>1862</v>
      </c>
      <c r="J43" s="11" t="s">
        <v>21</v>
      </c>
      <c r="K43" s="11" t="s">
        <v>1863</v>
      </c>
      <c r="L43" s="5" t="s">
        <v>162</v>
      </c>
      <c r="M43" s="5" t="s">
        <v>1864</v>
      </c>
      <c r="N43" s="5" t="s">
        <v>164</v>
      </c>
      <c r="O43" s="5" t="s">
        <v>1865</v>
      </c>
      <c r="P43" s="5" t="s">
        <v>1237</v>
      </c>
      <c r="Q43" s="3" t="s">
        <v>2420</v>
      </c>
      <c r="R43" s="5" t="s">
        <v>2607</v>
      </c>
      <c r="S43" s="3" t="s">
        <v>30</v>
      </c>
      <c r="T43" s="109"/>
      <c r="U43" s="12"/>
      <c r="V43" s="109"/>
    </row>
    <row r="44" ht="22.5" customHeight="1">
      <c r="A44" s="10">
        <v>260243.0</v>
      </c>
      <c r="B44" s="4">
        <v>46038.38535791667</v>
      </c>
      <c r="C44" s="5" t="s">
        <v>1866</v>
      </c>
      <c r="D44" s="5" t="s">
        <v>1867</v>
      </c>
      <c r="E44" s="5" t="s">
        <v>1866</v>
      </c>
      <c r="F44" s="5" t="s">
        <v>17</v>
      </c>
      <c r="G44" s="11" t="s">
        <v>1868</v>
      </c>
      <c r="H44" s="11" t="s">
        <v>1869</v>
      </c>
      <c r="I44" s="11" t="s">
        <v>1870</v>
      </c>
      <c r="J44" s="11" t="s">
        <v>1871</v>
      </c>
      <c r="K44" s="11" t="s">
        <v>1432</v>
      </c>
      <c r="L44" s="5" t="s">
        <v>162</v>
      </c>
      <c r="M44" s="5" t="s">
        <v>878</v>
      </c>
      <c r="N44" s="5" t="s">
        <v>1872</v>
      </c>
      <c r="O44" s="5" t="s">
        <v>548</v>
      </c>
      <c r="P44" s="5" t="s">
        <v>566</v>
      </c>
      <c r="Q44" s="3" t="s">
        <v>2420</v>
      </c>
      <c r="R44" s="3" t="s">
        <v>2427</v>
      </c>
      <c r="S44" s="3" t="s">
        <v>30</v>
      </c>
      <c r="T44" s="109"/>
      <c r="U44" s="12"/>
      <c r="V44" s="109"/>
    </row>
    <row r="45" ht="22.5" customHeight="1">
      <c r="A45" s="10">
        <v>260244.0</v>
      </c>
      <c r="B45" s="4">
        <v>46038.43465578704</v>
      </c>
      <c r="C45" s="5" t="s">
        <v>1873</v>
      </c>
      <c r="D45" s="5" t="s">
        <v>1874</v>
      </c>
      <c r="E45" s="5" t="s">
        <v>1873</v>
      </c>
      <c r="F45" s="5" t="s">
        <v>17</v>
      </c>
      <c r="G45" s="11" t="s">
        <v>1875</v>
      </c>
      <c r="H45" s="11" t="s">
        <v>1876</v>
      </c>
      <c r="I45" s="11" t="s">
        <v>1877</v>
      </c>
      <c r="J45" s="11" t="s">
        <v>1878</v>
      </c>
      <c r="K45" s="11" t="s">
        <v>1879</v>
      </c>
      <c r="L45" s="5" t="s">
        <v>162</v>
      </c>
      <c r="M45" s="5" t="s">
        <v>1880</v>
      </c>
      <c r="N45" s="5" t="s">
        <v>71</v>
      </c>
      <c r="O45" s="5" t="s">
        <v>26</v>
      </c>
      <c r="P45" s="5" t="s">
        <v>26</v>
      </c>
      <c r="Q45" s="3" t="s">
        <v>2612</v>
      </c>
      <c r="R45" s="3" t="s">
        <v>2618</v>
      </c>
      <c r="S45" s="3" t="s">
        <v>30</v>
      </c>
      <c r="T45" s="109"/>
      <c r="U45" s="12"/>
      <c r="V45" s="109"/>
    </row>
    <row r="46" ht="22.5" customHeight="1">
      <c r="A46" s="10">
        <v>260245.0</v>
      </c>
      <c r="B46" s="4">
        <v>46038.44758074074</v>
      </c>
      <c r="C46" s="5" t="s">
        <v>1881</v>
      </c>
      <c r="D46" s="5" t="s">
        <v>1882</v>
      </c>
      <c r="E46" s="5" t="s">
        <v>1881</v>
      </c>
      <c r="F46" s="5" t="s">
        <v>17</v>
      </c>
      <c r="G46" s="11" t="s">
        <v>1883</v>
      </c>
      <c r="H46" s="11" t="s">
        <v>1884</v>
      </c>
      <c r="I46" s="11" t="s">
        <v>1885</v>
      </c>
      <c r="J46" s="11" t="s">
        <v>1886</v>
      </c>
      <c r="K46" s="11" t="s">
        <v>1887</v>
      </c>
      <c r="L46" s="5" t="s">
        <v>30</v>
      </c>
      <c r="M46" s="5" t="s">
        <v>1888</v>
      </c>
      <c r="N46" s="5" t="s">
        <v>119</v>
      </c>
      <c r="O46" s="5" t="s">
        <v>51</v>
      </c>
      <c r="P46" s="5" t="s">
        <v>52</v>
      </c>
      <c r="Q46" s="5" t="s">
        <v>2440</v>
      </c>
      <c r="R46" s="5" t="s">
        <v>2495</v>
      </c>
      <c r="S46" s="5" t="s">
        <v>30</v>
      </c>
      <c r="T46" s="11" t="s">
        <v>2868</v>
      </c>
      <c r="U46" s="5" t="s">
        <v>2869</v>
      </c>
      <c r="V46" s="121"/>
    </row>
    <row r="47" ht="22.5" customHeight="1">
      <c r="A47" s="10">
        <v>260246.0</v>
      </c>
      <c r="B47" s="4">
        <v>46038.46944533565</v>
      </c>
      <c r="C47" s="5" t="s">
        <v>1889</v>
      </c>
      <c r="D47" s="5" t="s">
        <v>1890</v>
      </c>
      <c r="E47" s="5" t="s">
        <v>1889</v>
      </c>
      <c r="F47" s="5" t="s">
        <v>17</v>
      </c>
      <c r="G47" s="11" t="s">
        <v>1891</v>
      </c>
      <c r="H47" s="11" t="s">
        <v>1892</v>
      </c>
      <c r="I47" s="11" t="s">
        <v>1893</v>
      </c>
      <c r="J47" s="11" t="s">
        <v>1894</v>
      </c>
      <c r="K47" s="11" t="s">
        <v>1895</v>
      </c>
      <c r="L47" s="5" t="s">
        <v>23</v>
      </c>
      <c r="M47" s="5" t="s">
        <v>1896</v>
      </c>
      <c r="N47" s="5" t="s">
        <v>119</v>
      </c>
      <c r="O47" s="5" t="s">
        <v>833</v>
      </c>
      <c r="P47" s="5" t="s">
        <v>794</v>
      </c>
      <c r="Q47" s="3" t="s">
        <v>2529</v>
      </c>
      <c r="R47" s="3" t="s">
        <v>2449</v>
      </c>
      <c r="S47" s="3" t="s">
        <v>30</v>
      </c>
      <c r="T47" s="109"/>
      <c r="U47" s="12"/>
      <c r="V47" s="109"/>
    </row>
    <row r="48" ht="22.5" customHeight="1">
      <c r="A48" s="10">
        <v>260247.0</v>
      </c>
      <c r="B48" s="4">
        <v>46038.47926857639</v>
      </c>
      <c r="C48" s="5" t="s">
        <v>1897</v>
      </c>
      <c r="D48" s="5" t="s">
        <v>1898</v>
      </c>
      <c r="E48" s="5" t="s">
        <v>1897</v>
      </c>
      <c r="F48" s="5" t="s">
        <v>17</v>
      </c>
      <c r="G48" s="11" t="s">
        <v>1899</v>
      </c>
      <c r="H48" s="11" t="s">
        <v>1900</v>
      </c>
      <c r="I48" s="11" t="s">
        <v>1901</v>
      </c>
      <c r="J48" s="11" t="s">
        <v>1902</v>
      </c>
      <c r="K48" s="11" t="s">
        <v>1903</v>
      </c>
      <c r="L48" s="5" t="s">
        <v>162</v>
      </c>
      <c r="M48" s="5" t="s">
        <v>1904</v>
      </c>
      <c r="N48" s="5" t="s">
        <v>119</v>
      </c>
      <c r="O48" s="5" t="s">
        <v>437</v>
      </c>
      <c r="P48" s="5" t="s">
        <v>1905</v>
      </c>
      <c r="Q48" s="3" t="s">
        <v>2466</v>
      </c>
      <c r="R48" s="3" t="s">
        <v>2612</v>
      </c>
      <c r="S48" s="3" t="s">
        <v>30</v>
      </c>
      <c r="T48" s="109"/>
      <c r="U48" s="12"/>
      <c r="V48" s="109"/>
    </row>
    <row r="49" ht="22.5" customHeight="1">
      <c r="A49" s="10">
        <v>260248.0</v>
      </c>
      <c r="B49" s="4">
        <v>46038.53207207176</v>
      </c>
      <c r="C49" s="5" t="s">
        <v>1906</v>
      </c>
      <c r="D49" s="5" t="s">
        <v>1907</v>
      </c>
      <c r="E49" s="5" t="s">
        <v>1908</v>
      </c>
      <c r="F49" s="5" t="s">
        <v>64</v>
      </c>
      <c r="G49" s="11" t="s">
        <v>1909</v>
      </c>
      <c r="H49" s="11" t="s">
        <v>1910</v>
      </c>
      <c r="I49" s="11" t="s">
        <v>1911</v>
      </c>
      <c r="J49" s="11" t="s">
        <v>1432</v>
      </c>
      <c r="K49" s="11" t="s">
        <v>1912</v>
      </c>
      <c r="L49" s="5" t="s">
        <v>162</v>
      </c>
      <c r="M49" s="5" t="s">
        <v>1505</v>
      </c>
      <c r="N49" s="5" t="s">
        <v>71</v>
      </c>
      <c r="O49" s="5" t="s">
        <v>26</v>
      </c>
      <c r="P49" s="5" t="s">
        <v>26</v>
      </c>
      <c r="Q49" s="3" t="s">
        <v>2607</v>
      </c>
      <c r="R49" s="3" t="s">
        <v>2592</v>
      </c>
      <c r="S49" s="3" t="s">
        <v>30</v>
      </c>
      <c r="T49" s="109"/>
      <c r="U49" s="12"/>
      <c r="V49" s="109"/>
    </row>
    <row r="50" ht="22.5" customHeight="1">
      <c r="A50" s="10">
        <v>260249.0</v>
      </c>
      <c r="B50" s="4">
        <v>46038.911834976854</v>
      </c>
      <c r="C50" s="5" t="s">
        <v>1913</v>
      </c>
      <c r="D50" s="5" t="s">
        <v>1914</v>
      </c>
      <c r="E50" s="5" t="s">
        <v>1913</v>
      </c>
      <c r="F50" s="5" t="s">
        <v>17</v>
      </c>
      <c r="G50" s="11" t="s">
        <v>1915</v>
      </c>
      <c r="H50" s="11" t="s">
        <v>1916</v>
      </c>
      <c r="I50" s="11" t="s">
        <v>1917</v>
      </c>
      <c r="J50" s="11" t="s">
        <v>1918</v>
      </c>
      <c r="K50" s="11" t="s">
        <v>1432</v>
      </c>
      <c r="L50" s="5" t="s">
        <v>30</v>
      </c>
      <c r="M50" s="5" t="s">
        <v>1919</v>
      </c>
      <c r="N50" s="5" t="s">
        <v>39</v>
      </c>
      <c r="O50" s="5" t="s">
        <v>833</v>
      </c>
      <c r="P50" s="5" t="s">
        <v>404</v>
      </c>
      <c r="Q50" s="3" t="s">
        <v>2612</v>
      </c>
      <c r="R50" s="3" t="s">
        <v>2602</v>
      </c>
      <c r="S50" s="3" t="s">
        <v>30</v>
      </c>
      <c r="T50" s="109"/>
      <c r="U50" s="12"/>
      <c r="V50" s="109"/>
    </row>
    <row r="51" ht="22.5" customHeight="1">
      <c r="A51" s="10">
        <v>260250.0</v>
      </c>
      <c r="B51" s="4">
        <v>46038.64733877315</v>
      </c>
      <c r="C51" s="5" t="s">
        <v>1920</v>
      </c>
      <c r="D51" s="5" t="s">
        <v>1921</v>
      </c>
      <c r="E51" s="5" t="s">
        <v>1920</v>
      </c>
      <c r="F51" s="5" t="s">
        <v>17</v>
      </c>
      <c r="G51" s="11" t="s">
        <v>1922</v>
      </c>
      <c r="H51" s="11" t="s">
        <v>1923</v>
      </c>
      <c r="I51" s="11" t="s">
        <v>1924</v>
      </c>
      <c r="J51" s="11" t="s">
        <v>1925</v>
      </c>
      <c r="K51" s="11" t="s">
        <v>1926</v>
      </c>
      <c r="L51" s="5" t="s">
        <v>162</v>
      </c>
      <c r="M51" s="5" t="s">
        <v>1927</v>
      </c>
      <c r="N51" s="5" t="s">
        <v>71</v>
      </c>
      <c r="O51" s="5" t="s">
        <v>26</v>
      </c>
      <c r="P51" s="5" t="s">
        <v>825</v>
      </c>
      <c r="Q51" s="3" t="s">
        <v>2479</v>
      </c>
      <c r="R51" s="3" t="s">
        <v>2870</v>
      </c>
      <c r="S51" s="3" t="s">
        <v>30</v>
      </c>
      <c r="T51" s="109"/>
      <c r="U51" s="12"/>
      <c r="V51" s="109"/>
    </row>
    <row r="52">
      <c r="A52" s="18"/>
      <c r="G52" s="19"/>
      <c r="H52" s="19"/>
      <c r="I52" s="19"/>
      <c r="J52" s="19"/>
      <c r="K52" s="19"/>
      <c r="T52" s="19"/>
      <c r="V52" s="19"/>
    </row>
    <row r="53">
      <c r="A53" s="18"/>
      <c r="G53" s="19"/>
      <c r="H53" s="19"/>
      <c r="I53" s="19"/>
      <c r="J53" s="19"/>
      <c r="K53" s="19"/>
      <c r="T53" s="19"/>
      <c r="V53" s="19"/>
    </row>
    <row r="54">
      <c r="A54" s="18"/>
      <c r="G54" s="19"/>
      <c r="H54" s="19"/>
      <c r="I54" s="19"/>
      <c r="J54" s="19"/>
      <c r="K54" s="19"/>
      <c r="T54" s="19"/>
      <c r="V54" s="19"/>
    </row>
    <row r="55">
      <c r="A55" s="18"/>
      <c r="G55" s="19"/>
      <c r="H55" s="19"/>
      <c r="I55" s="19"/>
      <c r="J55" s="19"/>
      <c r="K55" s="19"/>
      <c r="T55" s="19"/>
      <c r="V55" s="19"/>
    </row>
    <row r="56">
      <c r="A56" s="18"/>
      <c r="G56" s="19"/>
      <c r="H56" s="19"/>
      <c r="I56" s="19"/>
      <c r="J56" s="19"/>
      <c r="K56" s="19"/>
      <c r="T56" s="19"/>
      <c r="V56" s="19"/>
    </row>
    <row r="57">
      <c r="A57" s="18"/>
      <c r="G57" s="19"/>
      <c r="H57" s="19"/>
      <c r="I57" s="19"/>
      <c r="J57" s="19"/>
      <c r="K57" s="19"/>
      <c r="T57" s="19"/>
      <c r="V57" s="19"/>
    </row>
    <row r="58">
      <c r="A58" s="18"/>
      <c r="G58" s="19"/>
      <c r="H58" s="19"/>
      <c r="I58" s="19"/>
      <c r="J58" s="19"/>
      <c r="K58" s="19"/>
      <c r="T58" s="19"/>
      <c r="V58" s="19"/>
    </row>
    <row r="59">
      <c r="A59" s="18"/>
      <c r="G59" s="19"/>
      <c r="H59" s="19"/>
      <c r="I59" s="19"/>
      <c r="J59" s="19"/>
      <c r="K59" s="19"/>
      <c r="T59" s="19"/>
      <c r="V59" s="19"/>
    </row>
    <row r="60">
      <c r="A60" s="18"/>
      <c r="G60" s="19"/>
      <c r="H60" s="19"/>
      <c r="I60" s="19"/>
      <c r="J60" s="19"/>
      <c r="K60" s="19"/>
      <c r="T60" s="19"/>
      <c r="V60" s="19"/>
    </row>
    <row r="61">
      <c r="A61" s="18"/>
      <c r="G61" s="19"/>
      <c r="H61" s="19"/>
      <c r="I61" s="19"/>
      <c r="J61" s="19"/>
      <c r="K61" s="19"/>
      <c r="T61" s="19"/>
      <c r="V61" s="19"/>
    </row>
    <row r="62">
      <c r="A62" s="18"/>
      <c r="G62" s="19"/>
      <c r="H62" s="19"/>
      <c r="I62" s="19"/>
      <c r="J62" s="19"/>
      <c r="K62" s="19"/>
      <c r="T62" s="19"/>
      <c r="V62" s="19"/>
    </row>
    <row r="63">
      <c r="A63" s="18"/>
      <c r="G63" s="19"/>
      <c r="H63" s="19"/>
      <c r="I63" s="19"/>
      <c r="J63" s="19"/>
      <c r="K63" s="19"/>
      <c r="T63" s="19"/>
      <c r="V63" s="19"/>
    </row>
    <row r="64">
      <c r="A64" s="18"/>
      <c r="G64" s="19"/>
      <c r="H64" s="19"/>
      <c r="I64" s="19"/>
      <c r="J64" s="19"/>
      <c r="K64" s="19"/>
      <c r="T64" s="19"/>
      <c r="V64" s="19"/>
    </row>
    <row r="65">
      <c r="A65" s="18"/>
      <c r="G65" s="19"/>
      <c r="H65" s="19"/>
      <c r="I65" s="19"/>
      <c r="J65" s="19"/>
      <c r="K65" s="19"/>
      <c r="T65" s="19"/>
      <c r="V65" s="19"/>
    </row>
    <row r="66">
      <c r="A66" s="18"/>
      <c r="G66" s="19"/>
      <c r="H66" s="19"/>
      <c r="I66" s="19"/>
      <c r="J66" s="19"/>
      <c r="K66" s="19"/>
      <c r="T66" s="19"/>
      <c r="V66" s="19"/>
    </row>
    <row r="67">
      <c r="A67" s="18"/>
      <c r="G67" s="19"/>
      <c r="H67" s="19"/>
      <c r="I67" s="19"/>
      <c r="J67" s="19"/>
      <c r="K67" s="19"/>
      <c r="T67" s="19"/>
      <c r="V67" s="19"/>
    </row>
    <row r="68">
      <c r="A68" s="18"/>
      <c r="G68" s="19"/>
      <c r="H68" s="19"/>
      <c r="I68" s="19"/>
      <c r="J68" s="19"/>
      <c r="K68" s="19"/>
      <c r="T68" s="19"/>
      <c r="V68" s="19"/>
    </row>
    <row r="69">
      <c r="A69" s="18"/>
      <c r="G69" s="19"/>
      <c r="H69" s="19"/>
      <c r="I69" s="19"/>
      <c r="J69" s="19"/>
      <c r="K69" s="19"/>
      <c r="T69" s="19"/>
      <c r="V69" s="19"/>
    </row>
    <row r="70">
      <c r="A70" s="18"/>
      <c r="G70" s="19"/>
      <c r="H70" s="19"/>
      <c r="I70" s="19"/>
      <c r="J70" s="19"/>
      <c r="K70" s="19"/>
      <c r="T70" s="19"/>
      <c r="V70" s="19"/>
    </row>
    <row r="71">
      <c r="A71" s="18"/>
      <c r="G71" s="19"/>
      <c r="H71" s="19"/>
      <c r="I71" s="19"/>
      <c r="J71" s="19"/>
      <c r="K71" s="19"/>
      <c r="T71" s="19"/>
      <c r="V71" s="19"/>
    </row>
    <row r="72">
      <c r="A72" s="18"/>
      <c r="G72" s="19"/>
      <c r="H72" s="19"/>
      <c r="I72" s="19"/>
      <c r="J72" s="19"/>
      <c r="K72" s="19"/>
      <c r="T72" s="19"/>
      <c r="V72" s="19"/>
    </row>
    <row r="73">
      <c r="A73" s="18"/>
      <c r="G73" s="19"/>
      <c r="H73" s="19"/>
      <c r="I73" s="19"/>
      <c r="J73" s="19"/>
      <c r="K73" s="19"/>
      <c r="T73" s="19"/>
      <c r="V73" s="19"/>
    </row>
    <row r="74">
      <c r="A74" s="18"/>
      <c r="G74" s="19"/>
      <c r="H74" s="19"/>
      <c r="I74" s="19"/>
      <c r="J74" s="19"/>
      <c r="K74" s="19"/>
      <c r="T74" s="19"/>
      <c r="V74" s="19"/>
    </row>
    <row r="75">
      <c r="A75" s="18"/>
      <c r="G75" s="19"/>
      <c r="H75" s="19"/>
      <c r="I75" s="19"/>
      <c r="J75" s="19"/>
      <c r="K75" s="19"/>
      <c r="T75" s="19"/>
      <c r="V75" s="19"/>
    </row>
    <row r="76">
      <c r="A76" s="18"/>
      <c r="G76" s="19"/>
      <c r="H76" s="19"/>
      <c r="I76" s="19"/>
      <c r="J76" s="19"/>
      <c r="K76" s="19"/>
      <c r="T76" s="19"/>
      <c r="V76" s="19"/>
    </row>
    <row r="77">
      <c r="A77" s="18"/>
      <c r="G77" s="19"/>
      <c r="H77" s="19"/>
      <c r="I77" s="19"/>
      <c r="J77" s="19"/>
      <c r="K77" s="19"/>
      <c r="T77" s="19"/>
      <c r="V77" s="19"/>
    </row>
    <row r="78">
      <c r="A78" s="18"/>
      <c r="G78" s="19"/>
      <c r="H78" s="19"/>
      <c r="I78" s="19"/>
      <c r="J78" s="19"/>
      <c r="K78" s="19"/>
      <c r="T78" s="19"/>
      <c r="V78" s="19"/>
    </row>
    <row r="79">
      <c r="A79" s="18"/>
      <c r="G79" s="19"/>
      <c r="H79" s="19"/>
      <c r="I79" s="19"/>
      <c r="J79" s="19"/>
      <c r="K79" s="19"/>
      <c r="T79" s="19"/>
      <c r="V79" s="19"/>
    </row>
    <row r="80">
      <c r="A80" s="18"/>
      <c r="G80" s="19"/>
      <c r="H80" s="19"/>
      <c r="I80" s="19"/>
      <c r="J80" s="19"/>
      <c r="K80" s="19"/>
      <c r="T80" s="19"/>
      <c r="V80" s="19"/>
    </row>
    <row r="81">
      <c r="A81" s="18"/>
      <c r="G81" s="19"/>
      <c r="H81" s="19"/>
      <c r="I81" s="19"/>
      <c r="J81" s="19"/>
      <c r="K81" s="19"/>
      <c r="T81" s="19"/>
      <c r="V81" s="19"/>
    </row>
    <row r="82">
      <c r="A82" s="18"/>
      <c r="G82" s="19"/>
      <c r="H82" s="19"/>
      <c r="I82" s="19"/>
      <c r="J82" s="19"/>
      <c r="K82" s="19"/>
      <c r="T82" s="19"/>
      <c r="V82" s="19"/>
    </row>
    <row r="83">
      <c r="A83" s="18"/>
      <c r="G83" s="19"/>
      <c r="H83" s="19"/>
      <c r="I83" s="19"/>
      <c r="J83" s="19"/>
      <c r="K83" s="19"/>
      <c r="T83" s="19"/>
      <c r="V83" s="19"/>
    </row>
    <row r="84">
      <c r="A84" s="18"/>
      <c r="G84" s="19"/>
      <c r="H84" s="19"/>
      <c r="I84" s="19"/>
      <c r="J84" s="19"/>
      <c r="K84" s="19"/>
      <c r="T84" s="19"/>
      <c r="V84" s="19"/>
    </row>
    <row r="85">
      <c r="A85" s="18"/>
      <c r="G85" s="19"/>
      <c r="H85" s="19"/>
      <c r="I85" s="19"/>
      <c r="J85" s="19"/>
      <c r="K85" s="19"/>
      <c r="T85" s="19"/>
      <c r="V85" s="19"/>
    </row>
    <row r="86">
      <c r="A86" s="18"/>
      <c r="G86" s="19"/>
      <c r="H86" s="19"/>
      <c r="I86" s="19"/>
      <c r="J86" s="19"/>
      <c r="K86" s="19"/>
      <c r="T86" s="19"/>
      <c r="V86" s="19"/>
    </row>
    <row r="87">
      <c r="A87" s="18"/>
      <c r="G87" s="19"/>
      <c r="H87" s="19"/>
      <c r="I87" s="19"/>
      <c r="J87" s="19"/>
      <c r="K87" s="19"/>
      <c r="T87" s="19"/>
      <c r="V87" s="19"/>
    </row>
    <row r="88">
      <c r="A88" s="18"/>
      <c r="G88" s="19"/>
      <c r="H88" s="19"/>
      <c r="I88" s="19"/>
      <c r="J88" s="19"/>
      <c r="K88" s="19"/>
      <c r="T88" s="19"/>
      <c r="V88" s="19"/>
    </row>
    <row r="89">
      <c r="A89" s="18"/>
      <c r="G89" s="19"/>
      <c r="H89" s="19"/>
      <c r="I89" s="19"/>
      <c r="J89" s="19"/>
      <c r="K89" s="19"/>
      <c r="T89" s="19"/>
      <c r="V89" s="19"/>
    </row>
    <row r="90">
      <c r="A90" s="18"/>
      <c r="G90" s="19"/>
      <c r="H90" s="19"/>
      <c r="I90" s="19"/>
      <c r="J90" s="19"/>
      <c r="K90" s="19"/>
      <c r="T90" s="19"/>
      <c r="V90" s="19"/>
    </row>
    <row r="91">
      <c r="A91" s="18"/>
      <c r="G91" s="19"/>
      <c r="H91" s="19"/>
      <c r="I91" s="19"/>
      <c r="J91" s="19"/>
      <c r="K91" s="19"/>
      <c r="T91" s="19"/>
      <c r="V91" s="19"/>
    </row>
    <row r="92">
      <c r="A92" s="18"/>
      <c r="G92" s="19"/>
      <c r="H92" s="19"/>
      <c r="I92" s="19"/>
      <c r="J92" s="19"/>
      <c r="K92" s="19"/>
      <c r="T92" s="19"/>
      <c r="V92" s="19"/>
    </row>
    <row r="93">
      <c r="A93" s="18"/>
      <c r="G93" s="19"/>
      <c r="H93" s="19"/>
      <c r="I93" s="19"/>
      <c r="J93" s="19"/>
      <c r="K93" s="19"/>
      <c r="T93" s="19"/>
      <c r="V93" s="19"/>
    </row>
    <row r="94">
      <c r="A94" s="18"/>
      <c r="G94" s="19"/>
      <c r="H94" s="19"/>
      <c r="I94" s="19"/>
      <c r="J94" s="19"/>
      <c r="K94" s="19"/>
      <c r="T94" s="19"/>
      <c r="V94" s="19"/>
    </row>
    <row r="95">
      <c r="A95" s="18"/>
      <c r="G95" s="19"/>
      <c r="H95" s="19"/>
      <c r="I95" s="19"/>
      <c r="J95" s="19"/>
      <c r="K95" s="19"/>
      <c r="T95" s="19"/>
      <c r="V95" s="19"/>
    </row>
    <row r="96">
      <c r="A96" s="18"/>
      <c r="G96" s="19"/>
      <c r="H96" s="19"/>
      <c r="I96" s="19"/>
      <c r="J96" s="19"/>
      <c r="K96" s="19"/>
      <c r="T96" s="19"/>
      <c r="V96" s="19"/>
    </row>
    <row r="97">
      <c r="A97" s="18"/>
      <c r="G97" s="19"/>
      <c r="H97" s="19"/>
      <c r="I97" s="19"/>
      <c r="J97" s="19"/>
      <c r="K97" s="19"/>
      <c r="T97" s="19"/>
      <c r="V97" s="19"/>
    </row>
    <row r="98">
      <c r="A98" s="18"/>
      <c r="G98" s="19"/>
      <c r="H98" s="19"/>
      <c r="I98" s="19"/>
      <c r="J98" s="19"/>
      <c r="K98" s="19"/>
      <c r="T98" s="19"/>
      <c r="V98" s="19"/>
    </row>
    <row r="99">
      <c r="A99" s="18"/>
      <c r="G99" s="19"/>
      <c r="H99" s="19"/>
      <c r="I99" s="19"/>
      <c r="J99" s="19"/>
      <c r="K99" s="19"/>
      <c r="T99" s="19"/>
      <c r="V99" s="19"/>
    </row>
    <row r="100">
      <c r="A100" s="18"/>
      <c r="G100" s="19"/>
      <c r="H100" s="19"/>
      <c r="I100" s="19"/>
      <c r="J100" s="19"/>
      <c r="K100" s="19"/>
      <c r="T100" s="19"/>
      <c r="V100" s="19"/>
    </row>
    <row r="101">
      <c r="A101" s="18"/>
      <c r="G101" s="19"/>
      <c r="H101" s="19"/>
      <c r="I101" s="19"/>
      <c r="J101" s="19"/>
      <c r="K101" s="19"/>
      <c r="T101" s="19"/>
      <c r="V101" s="19"/>
    </row>
    <row r="102">
      <c r="A102" s="18"/>
      <c r="G102" s="19"/>
      <c r="H102" s="19"/>
      <c r="I102" s="19"/>
      <c r="J102" s="19"/>
      <c r="K102" s="19"/>
      <c r="T102" s="19"/>
      <c r="V102" s="19"/>
    </row>
    <row r="103">
      <c r="A103" s="18"/>
      <c r="G103" s="19"/>
      <c r="H103" s="19"/>
      <c r="I103" s="19"/>
      <c r="J103" s="19"/>
      <c r="K103" s="19"/>
      <c r="T103" s="19"/>
      <c r="V103" s="19"/>
    </row>
    <row r="104">
      <c r="A104" s="18"/>
      <c r="G104" s="19"/>
      <c r="H104" s="19"/>
      <c r="I104" s="19"/>
      <c r="J104" s="19"/>
      <c r="K104" s="19"/>
      <c r="T104" s="19"/>
      <c r="V104" s="19"/>
    </row>
    <row r="105">
      <c r="A105" s="18"/>
      <c r="G105" s="19"/>
      <c r="H105" s="19"/>
      <c r="I105" s="19"/>
      <c r="J105" s="19"/>
      <c r="K105" s="19"/>
      <c r="T105" s="19"/>
      <c r="V105" s="19"/>
    </row>
    <row r="106">
      <c r="A106" s="18"/>
      <c r="G106" s="19"/>
      <c r="H106" s="19"/>
      <c r="I106" s="19"/>
      <c r="J106" s="19"/>
      <c r="K106" s="19"/>
      <c r="T106" s="19"/>
      <c r="V106" s="19"/>
    </row>
    <row r="107">
      <c r="A107" s="18"/>
      <c r="G107" s="19"/>
      <c r="H107" s="19"/>
      <c r="I107" s="19"/>
      <c r="J107" s="19"/>
      <c r="K107" s="19"/>
      <c r="T107" s="19"/>
      <c r="V107" s="19"/>
    </row>
    <row r="108">
      <c r="A108" s="18"/>
      <c r="G108" s="19"/>
      <c r="H108" s="19"/>
      <c r="I108" s="19"/>
      <c r="J108" s="19"/>
      <c r="K108" s="19"/>
      <c r="T108" s="19"/>
      <c r="V108" s="19"/>
    </row>
    <row r="109">
      <c r="A109" s="18"/>
      <c r="G109" s="19"/>
      <c r="H109" s="19"/>
      <c r="I109" s="19"/>
      <c r="J109" s="19"/>
      <c r="K109" s="19"/>
      <c r="T109" s="19"/>
      <c r="V109" s="19"/>
    </row>
    <row r="110">
      <c r="A110" s="18"/>
      <c r="G110" s="19"/>
      <c r="H110" s="19"/>
      <c r="I110" s="19"/>
      <c r="J110" s="19"/>
      <c r="K110" s="19"/>
      <c r="T110" s="19"/>
      <c r="V110" s="19"/>
    </row>
    <row r="111">
      <c r="A111" s="18"/>
      <c r="G111" s="19"/>
      <c r="H111" s="19"/>
      <c r="I111" s="19"/>
      <c r="J111" s="19"/>
      <c r="K111" s="19"/>
      <c r="T111" s="19"/>
      <c r="V111" s="19"/>
    </row>
    <row r="112">
      <c r="A112" s="18"/>
      <c r="G112" s="19"/>
      <c r="H112" s="19"/>
      <c r="I112" s="19"/>
      <c r="J112" s="19"/>
      <c r="K112" s="19"/>
      <c r="T112" s="19"/>
      <c r="V112" s="19"/>
    </row>
    <row r="113">
      <c r="A113" s="18"/>
      <c r="G113" s="19"/>
      <c r="H113" s="19"/>
      <c r="I113" s="19"/>
      <c r="J113" s="19"/>
      <c r="K113" s="19"/>
      <c r="T113" s="19"/>
      <c r="V113" s="19"/>
    </row>
    <row r="114">
      <c r="A114" s="18"/>
      <c r="G114" s="19"/>
      <c r="H114" s="19"/>
      <c r="I114" s="19"/>
      <c r="J114" s="19"/>
      <c r="K114" s="19"/>
      <c r="T114" s="19"/>
      <c r="V114" s="19"/>
    </row>
    <row r="115">
      <c r="A115" s="18"/>
      <c r="G115" s="19"/>
      <c r="H115" s="19"/>
      <c r="I115" s="19"/>
      <c r="J115" s="19"/>
      <c r="K115" s="19"/>
      <c r="T115" s="19"/>
      <c r="V115" s="19"/>
    </row>
    <row r="116">
      <c r="A116" s="18"/>
      <c r="G116" s="19"/>
      <c r="H116" s="19"/>
      <c r="I116" s="19"/>
      <c r="J116" s="19"/>
      <c r="K116" s="19"/>
      <c r="T116" s="19"/>
      <c r="V116" s="19"/>
    </row>
    <row r="117">
      <c r="A117" s="18"/>
      <c r="G117" s="19"/>
      <c r="H117" s="19"/>
      <c r="I117" s="19"/>
      <c r="J117" s="19"/>
      <c r="K117" s="19"/>
      <c r="T117" s="19"/>
      <c r="V117" s="19"/>
    </row>
    <row r="118">
      <c r="A118" s="18"/>
      <c r="G118" s="19"/>
      <c r="H118" s="19"/>
      <c r="I118" s="19"/>
      <c r="J118" s="19"/>
      <c r="K118" s="19"/>
      <c r="T118" s="19"/>
      <c r="V118" s="19"/>
    </row>
    <row r="119">
      <c r="A119" s="18"/>
      <c r="G119" s="19"/>
      <c r="H119" s="19"/>
      <c r="I119" s="19"/>
      <c r="J119" s="19"/>
      <c r="K119" s="19"/>
      <c r="T119" s="19"/>
      <c r="V119" s="19"/>
    </row>
    <row r="120">
      <c r="A120" s="18"/>
      <c r="G120" s="19"/>
      <c r="H120" s="19"/>
      <c r="I120" s="19"/>
      <c r="J120" s="19"/>
      <c r="K120" s="19"/>
      <c r="T120" s="19"/>
      <c r="V120" s="19"/>
    </row>
    <row r="121">
      <c r="A121" s="18"/>
      <c r="G121" s="19"/>
      <c r="H121" s="19"/>
      <c r="I121" s="19"/>
      <c r="J121" s="19"/>
      <c r="K121" s="19"/>
      <c r="T121" s="19"/>
      <c r="V121" s="19"/>
    </row>
    <row r="122">
      <c r="A122" s="18"/>
      <c r="G122" s="19"/>
      <c r="H122" s="19"/>
      <c r="I122" s="19"/>
      <c r="J122" s="19"/>
      <c r="K122" s="19"/>
      <c r="T122" s="19"/>
      <c r="V122" s="19"/>
    </row>
    <row r="123">
      <c r="A123" s="18"/>
      <c r="G123" s="19"/>
      <c r="H123" s="19"/>
      <c r="I123" s="19"/>
      <c r="J123" s="19"/>
      <c r="K123" s="19"/>
      <c r="T123" s="19"/>
      <c r="V123" s="19"/>
    </row>
    <row r="124">
      <c r="A124" s="18"/>
      <c r="G124" s="19"/>
      <c r="H124" s="19"/>
      <c r="I124" s="19"/>
      <c r="J124" s="19"/>
      <c r="K124" s="19"/>
      <c r="T124" s="19"/>
      <c r="V124" s="19"/>
    </row>
    <row r="125">
      <c r="A125" s="18"/>
      <c r="G125" s="19"/>
      <c r="H125" s="19"/>
      <c r="I125" s="19"/>
      <c r="J125" s="19"/>
      <c r="K125" s="19"/>
      <c r="T125" s="19"/>
      <c r="V125" s="19"/>
    </row>
    <row r="126">
      <c r="A126" s="18"/>
      <c r="G126" s="19"/>
      <c r="H126" s="19"/>
      <c r="I126" s="19"/>
      <c r="J126" s="19"/>
      <c r="K126" s="19"/>
      <c r="T126" s="19"/>
      <c r="V126" s="19"/>
    </row>
    <row r="127">
      <c r="A127" s="18"/>
      <c r="G127" s="19"/>
      <c r="H127" s="19"/>
      <c r="I127" s="19"/>
      <c r="J127" s="19"/>
      <c r="K127" s="19"/>
      <c r="T127" s="19"/>
      <c r="V127" s="19"/>
    </row>
    <row r="128">
      <c r="A128" s="18"/>
      <c r="G128" s="19"/>
      <c r="H128" s="19"/>
      <c r="I128" s="19"/>
      <c r="J128" s="19"/>
      <c r="K128" s="19"/>
      <c r="T128" s="19"/>
      <c r="V128" s="19"/>
    </row>
    <row r="129">
      <c r="A129" s="18"/>
      <c r="G129" s="19"/>
      <c r="H129" s="19"/>
      <c r="I129" s="19"/>
      <c r="J129" s="19"/>
      <c r="K129" s="19"/>
      <c r="T129" s="19"/>
      <c r="V129" s="19"/>
    </row>
    <row r="130">
      <c r="A130" s="18"/>
      <c r="G130" s="19"/>
      <c r="H130" s="19"/>
      <c r="I130" s="19"/>
      <c r="J130" s="19"/>
      <c r="K130" s="19"/>
      <c r="T130" s="19"/>
      <c r="V130" s="19"/>
    </row>
    <row r="131">
      <c r="A131" s="18"/>
      <c r="G131" s="19"/>
      <c r="H131" s="19"/>
      <c r="I131" s="19"/>
      <c r="J131" s="19"/>
      <c r="K131" s="19"/>
      <c r="T131" s="19"/>
      <c r="V131" s="19"/>
    </row>
    <row r="132">
      <c r="A132" s="18"/>
      <c r="G132" s="19"/>
      <c r="H132" s="19"/>
      <c r="I132" s="19"/>
      <c r="J132" s="19"/>
      <c r="K132" s="19"/>
      <c r="T132" s="19"/>
      <c r="V132" s="19"/>
    </row>
    <row r="133">
      <c r="A133" s="18"/>
      <c r="G133" s="19"/>
      <c r="H133" s="19"/>
      <c r="I133" s="19"/>
      <c r="J133" s="19"/>
      <c r="K133" s="19"/>
      <c r="T133" s="19"/>
      <c r="V133" s="19"/>
    </row>
    <row r="134">
      <c r="A134" s="18"/>
      <c r="G134" s="19"/>
      <c r="H134" s="19"/>
      <c r="I134" s="19"/>
      <c r="J134" s="19"/>
      <c r="K134" s="19"/>
      <c r="T134" s="19"/>
      <c r="V134" s="19"/>
    </row>
    <row r="135">
      <c r="A135" s="18"/>
      <c r="G135" s="19"/>
      <c r="H135" s="19"/>
      <c r="I135" s="19"/>
      <c r="J135" s="19"/>
      <c r="K135" s="19"/>
      <c r="T135" s="19"/>
      <c r="V135" s="19"/>
    </row>
    <row r="136">
      <c r="A136" s="18"/>
      <c r="G136" s="19"/>
      <c r="H136" s="19"/>
      <c r="I136" s="19"/>
      <c r="J136" s="19"/>
      <c r="K136" s="19"/>
      <c r="T136" s="19"/>
      <c r="V136" s="19"/>
    </row>
    <row r="137">
      <c r="A137" s="18"/>
      <c r="G137" s="19"/>
      <c r="H137" s="19"/>
      <c r="I137" s="19"/>
      <c r="J137" s="19"/>
      <c r="K137" s="19"/>
      <c r="T137" s="19"/>
      <c r="V137" s="19"/>
    </row>
    <row r="138">
      <c r="A138" s="18"/>
      <c r="G138" s="19"/>
      <c r="H138" s="19"/>
      <c r="I138" s="19"/>
      <c r="J138" s="19"/>
      <c r="K138" s="19"/>
      <c r="T138" s="19"/>
      <c r="V138" s="19"/>
    </row>
    <row r="139">
      <c r="A139" s="18"/>
      <c r="G139" s="19"/>
      <c r="H139" s="19"/>
      <c r="I139" s="19"/>
      <c r="J139" s="19"/>
      <c r="K139" s="19"/>
      <c r="T139" s="19"/>
      <c r="V139" s="19"/>
    </row>
    <row r="140">
      <c r="A140" s="18"/>
      <c r="G140" s="19"/>
      <c r="H140" s="19"/>
      <c r="I140" s="19"/>
      <c r="J140" s="19"/>
      <c r="K140" s="19"/>
      <c r="T140" s="19"/>
      <c r="V140" s="19"/>
    </row>
    <row r="141">
      <c r="A141" s="18"/>
      <c r="G141" s="19"/>
      <c r="H141" s="19"/>
      <c r="I141" s="19"/>
      <c r="J141" s="19"/>
      <c r="K141" s="19"/>
      <c r="T141" s="19"/>
      <c r="V141" s="19"/>
    </row>
    <row r="142">
      <c r="A142" s="18"/>
      <c r="G142" s="19"/>
      <c r="H142" s="19"/>
      <c r="I142" s="19"/>
      <c r="J142" s="19"/>
      <c r="K142" s="19"/>
      <c r="T142" s="19"/>
      <c r="V142" s="19"/>
    </row>
    <row r="143">
      <c r="A143" s="18"/>
      <c r="G143" s="19"/>
      <c r="H143" s="19"/>
      <c r="I143" s="19"/>
      <c r="J143" s="19"/>
      <c r="K143" s="19"/>
      <c r="T143" s="19"/>
      <c r="V143" s="19"/>
    </row>
    <row r="144">
      <c r="A144" s="18"/>
      <c r="G144" s="19"/>
      <c r="H144" s="19"/>
      <c r="I144" s="19"/>
      <c r="J144" s="19"/>
      <c r="K144" s="19"/>
      <c r="T144" s="19"/>
      <c r="V144" s="19"/>
    </row>
    <row r="145">
      <c r="A145" s="18"/>
      <c r="G145" s="19"/>
      <c r="H145" s="19"/>
      <c r="I145" s="19"/>
      <c r="J145" s="19"/>
      <c r="K145" s="19"/>
      <c r="T145" s="19"/>
      <c r="V145" s="19"/>
    </row>
    <row r="146">
      <c r="A146" s="18"/>
      <c r="G146" s="19"/>
      <c r="H146" s="19"/>
      <c r="I146" s="19"/>
      <c r="J146" s="19"/>
      <c r="K146" s="19"/>
      <c r="T146" s="19"/>
      <c r="V146" s="19"/>
    </row>
    <row r="147">
      <c r="A147" s="18"/>
      <c r="G147" s="19"/>
      <c r="H147" s="19"/>
      <c r="I147" s="19"/>
      <c r="J147" s="19"/>
      <c r="K147" s="19"/>
      <c r="T147" s="19"/>
      <c r="V147" s="19"/>
    </row>
    <row r="148">
      <c r="A148" s="18"/>
      <c r="G148" s="19"/>
      <c r="H148" s="19"/>
      <c r="I148" s="19"/>
      <c r="J148" s="19"/>
      <c r="K148" s="19"/>
      <c r="T148" s="19"/>
      <c r="V148" s="19"/>
    </row>
    <row r="149">
      <c r="A149" s="18"/>
      <c r="G149" s="19"/>
      <c r="H149" s="19"/>
      <c r="I149" s="19"/>
      <c r="J149" s="19"/>
      <c r="K149" s="19"/>
      <c r="T149" s="19"/>
      <c r="V149" s="19"/>
    </row>
    <row r="150">
      <c r="A150" s="18"/>
      <c r="G150" s="19"/>
      <c r="H150" s="19"/>
      <c r="I150" s="19"/>
      <c r="J150" s="19"/>
      <c r="K150" s="19"/>
      <c r="T150" s="19"/>
      <c r="V150" s="19"/>
    </row>
  </sheetData>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8.88"/>
    <col customWidth="1" min="3" max="3" width="17.63"/>
    <col customWidth="1" min="4" max="4" width="18.88"/>
    <col customWidth="1" hidden="1" min="5" max="5" width="20.88"/>
    <col customWidth="1" min="6" max="6" width="20.38"/>
    <col customWidth="1" min="7" max="7" width="63.75"/>
    <col customWidth="1" min="8" max="8" width="178.25"/>
    <col customWidth="1" min="9" max="11" width="18.88"/>
    <col customWidth="1" hidden="1" min="12" max="12" width="37.63"/>
    <col customWidth="1" min="13" max="13" width="18.88"/>
    <col customWidth="1" hidden="1" min="14" max="14" width="18.88"/>
    <col customWidth="1" min="15" max="15" width="20.88"/>
    <col customWidth="1" min="16" max="16" width="15.63"/>
    <col customWidth="1" min="17" max="18" width="22.75"/>
    <col customWidth="1" min="19" max="19" width="17.13"/>
    <col customWidth="1" min="20" max="20" width="18.63"/>
    <col customWidth="1" min="21" max="21" width="21.63"/>
    <col customWidth="1" min="22" max="22" width="51.25"/>
    <col customWidth="1" min="23" max="27" width="18.88"/>
  </cols>
  <sheetData>
    <row r="1" ht="22.5" customHeight="1">
      <c r="A1" s="7" t="s">
        <v>2311</v>
      </c>
      <c r="B1" s="1" t="s">
        <v>0</v>
      </c>
      <c r="C1" s="1" t="s">
        <v>1</v>
      </c>
      <c r="D1" s="1" t="s">
        <v>2</v>
      </c>
      <c r="E1" s="1" t="s">
        <v>3</v>
      </c>
      <c r="F1" s="1" t="s">
        <v>4</v>
      </c>
      <c r="G1" s="8" t="s">
        <v>5</v>
      </c>
      <c r="H1" s="8" t="s">
        <v>6</v>
      </c>
      <c r="I1" s="8" t="s">
        <v>7</v>
      </c>
      <c r="J1" s="8" t="s">
        <v>8</v>
      </c>
      <c r="K1" s="8" t="s">
        <v>9</v>
      </c>
      <c r="L1" s="1" t="s">
        <v>10</v>
      </c>
      <c r="M1" s="1" t="s">
        <v>11</v>
      </c>
      <c r="N1" s="1" t="s">
        <v>12</v>
      </c>
      <c r="O1" s="1" t="s">
        <v>13</v>
      </c>
      <c r="P1" s="1" t="s">
        <v>14</v>
      </c>
      <c r="Q1" s="94" t="s">
        <v>2649</v>
      </c>
      <c r="R1" s="94" t="s">
        <v>2650</v>
      </c>
      <c r="S1" s="95" t="s">
        <v>2651</v>
      </c>
      <c r="T1" s="95" t="s">
        <v>2652</v>
      </c>
      <c r="U1" s="95" t="s">
        <v>2653</v>
      </c>
      <c r="V1" s="9" t="s">
        <v>2312</v>
      </c>
    </row>
    <row r="2" ht="22.5" customHeight="1">
      <c r="A2" s="10">
        <v>260251.0</v>
      </c>
      <c r="B2" s="4">
        <v>46038.65381555556</v>
      </c>
      <c r="C2" s="5" t="s">
        <v>1928</v>
      </c>
      <c r="D2" s="5" t="s">
        <v>1929</v>
      </c>
      <c r="E2" s="5" t="s">
        <v>1928</v>
      </c>
      <c r="F2" s="5" t="s">
        <v>17</v>
      </c>
      <c r="G2" s="11" t="s">
        <v>1930</v>
      </c>
      <c r="H2" s="11" t="s">
        <v>1931</v>
      </c>
      <c r="I2" s="11" t="s">
        <v>1932</v>
      </c>
      <c r="J2" s="11" t="s">
        <v>607</v>
      </c>
      <c r="K2" s="11" t="s">
        <v>1933</v>
      </c>
      <c r="L2" s="5" t="s">
        <v>162</v>
      </c>
      <c r="M2" s="5" t="s">
        <v>1934</v>
      </c>
      <c r="N2" s="5" t="s">
        <v>119</v>
      </c>
      <c r="O2" s="5" t="s">
        <v>26</v>
      </c>
      <c r="P2" s="5" t="s">
        <v>1935</v>
      </c>
      <c r="Q2" s="147" t="s">
        <v>2514</v>
      </c>
      <c r="R2" s="147" t="s">
        <v>2560</v>
      </c>
      <c r="S2" s="130" t="s">
        <v>30</v>
      </c>
      <c r="T2" s="11"/>
      <c r="U2" s="11"/>
      <c r="V2" s="3" t="s">
        <v>2871</v>
      </c>
    </row>
    <row r="3" ht="22.5" customHeight="1">
      <c r="A3" s="10">
        <v>260252.0</v>
      </c>
      <c r="B3" s="4">
        <v>46038.670673229164</v>
      </c>
      <c r="C3" s="5" t="s">
        <v>1936</v>
      </c>
      <c r="D3" s="5" t="s">
        <v>1937</v>
      </c>
      <c r="E3" s="5" t="s">
        <v>1936</v>
      </c>
      <c r="F3" s="5" t="s">
        <v>17</v>
      </c>
      <c r="G3" s="11" t="s">
        <v>1938</v>
      </c>
      <c r="H3" s="11" t="s">
        <v>1939</v>
      </c>
      <c r="I3" s="11" t="s">
        <v>1940</v>
      </c>
      <c r="J3" s="11" t="s">
        <v>1941</v>
      </c>
      <c r="K3" s="11" t="s">
        <v>58</v>
      </c>
      <c r="L3" s="5" t="s">
        <v>162</v>
      </c>
      <c r="M3" s="5" t="s">
        <v>1942</v>
      </c>
      <c r="N3" s="5" t="s">
        <v>39</v>
      </c>
      <c r="O3" s="5" t="s">
        <v>40</v>
      </c>
      <c r="P3" s="5" t="s">
        <v>41</v>
      </c>
      <c r="Q3" s="147" t="s">
        <v>2389</v>
      </c>
      <c r="R3" s="3" t="s">
        <v>2520</v>
      </c>
      <c r="S3" s="130" t="s">
        <v>30</v>
      </c>
      <c r="T3" s="11"/>
      <c r="U3" s="11"/>
      <c r="V3" s="147" t="s">
        <v>2872</v>
      </c>
    </row>
    <row r="4" ht="22.5" customHeight="1">
      <c r="A4" s="10">
        <v>260253.0</v>
      </c>
      <c r="B4" s="4">
        <v>46038.72625020833</v>
      </c>
      <c r="C4" s="5" t="s">
        <v>1943</v>
      </c>
      <c r="D4" s="5" t="s">
        <v>1944</v>
      </c>
      <c r="E4" s="5" t="s">
        <v>1943</v>
      </c>
      <c r="F4" s="5" t="s">
        <v>17</v>
      </c>
      <c r="G4" s="11" t="s">
        <v>1945</v>
      </c>
      <c r="H4" s="11" t="s">
        <v>1946</v>
      </c>
      <c r="I4" s="11" t="s">
        <v>1947</v>
      </c>
      <c r="J4" s="11" t="s">
        <v>1155</v>
      </c>
      <c r="K4" s="11" t="s">
        <v>1948</v>
      </c>
      <c r="L4" s="5" t="s">
        <v>23</v>
      </c>
      <c r="M4" s="5" t="s">
        <v>1949</v>
      </c>
      <c r="N4" s="5" t="s">
        <v>119</v>
      </c>
      <c r="O4" s="5" t="s">
        <v>181</v>
      </c>
      <c r="P4" s="5" t="s">
        <v>660</v>
      </c>
      <c r="Q4" s="147" t="s">
        <v>2864</v>
      </c>
      <c r="R4" s="147" t="s">
        <v>2724</v>
      </c>
      <c r="S4" s="130" t="s">
        <v>30</v>
      </c>
      <c r="T4" s="11"/>
      <c r="U4" s="11"/>
      <c r="V4" s="147" t="s">
        <v>2873</v>
      </c>
    </row>
    <row r="5" ht="22.5" customHeight="1">
      <c r="A5" s="10">
        <v>260254.0</v>
      </c>
      <c r="B5" s="4">
        <v>46038.73394730324</v>
      </c>
      <c r="C5" s="5" t="s">
        <v>1739</v>
      </c>
      <c r="D5" s="5" t="s">
        <v>1740</v>
      </c>
      <c r="E5" s="5" t="s">
        <v>1739</v>
      </c>
      <c r="F5" s="5" t="s">
        <v>17</v>
      </c>
      <c r="G5" s="11" t="s">
        <v>1950</v>
      </c>
      <c r="H5" s="11" t="s">
        <v>1951</v>
      </c>
      <c r="I5" s="11" t="s">
        <v>1952</v>
      </c>
      <c r="J5" s="11" t="s">
        <v>1743</v>
      </c>
      <c r="K5" s="11" t="s">
        <v>1953</v>
      </c>
      <c r="L5" s="5" t="s">
        <v>162</v>
      </c>
      <c r="M5" s="5" t="s">
        <v>1746</v>
      </c>
      <c r="N5" s="5" t="s">
        <v>25</v>
      </c>
      <c r="O5" s="5" t="s">
        <v>26</v>
      </c>
      <c r="P5" s="5" t="s">
        <v>825</v>
      </c>
      <c r="Q5" s="147" t="s">
        <v>2520</v>
      </c>
      <c r="R5" s="147" t="s">
        <v>2495</v>
      </c>
      <c r="S5" s="130" t="s">
        <v>30</v>
      </c>
      <c r="T5" s="11"/>
      <c r="U5" s="11"/>
      <c r="V5" s="147" t="s">
        <v>2874</v>
      </c>
    </row>
    <row r="6" ht="22.5" customHeight="1">
      <c r="A6" s="10">
        <v>260255.0</v>
      </c>
      <c r="B6" s="4">
        <v>46038.740739155095</v>
      </c>
      <c r="C6" s="5" t="s">
        <v>1954</v>
      </c>
      <c r="D6" s="5" t="s">
        <v>1955</v>
      </c>
      <c r="E6" s="5" t="s">
        <v>1954</v>
      </c>
      <c r="F6" s="5" t="s">
        <v>17</v>
      </c>
      <c r="G6" s="11" t="s">
        <v>1956</v>
      </c>
      <c r="H6" s="11" t="s">
        <v>1957</v>
      </c>
      <c r="I6" s="11" t="s">
        <v>1958</v>
      </c>
      <c r="J6" s="11" t="s">
        <v>1959</v>
      </c>
      <c r="K6" s="11" t="s">
        <v>1960</v>
      </c>
      <c r="L6" s="5" t="s">
        <v>162</v>
      </c>
      <c r="M6" s="5" t="s">
        <v>1456</v>
      </c>
      <c r="N6" s="5" t="s">
        <v>61</v>
      </c>
      <c r="O6" s="5" t="s">
        <v>1961</v>
      </c>
      <c r="P6" s="5" t="s">
        <v>1962</v>
      </c>
      <c r="Q6" s="147" t="s">
        <v>2389</v>
      </c>
      <c r="R6" s="147" t="s">
        <v>2413</v>
      </c>
      <c r="S6" s="130" t="s">
        <v>30</v>
      </c>
      <c r="T6" s="11"/>
      <c r="U6" s="11"/>
      <c r="V6" s="147" t="s">
        <v>2875</v>
      </c>
    </row>
    <row r="7" ht="22.5" customHeight="1">
      <c r="A7" s="10">
        <v>260256.0</v>
      </c>
      <c r="B7" s="4">
        <v>46038.78838571759</v>
      </c>
      <c r="C7" s="5" t="s">
        <v>1963</v>
      </c>
      <c r="D7" s="5" t="s">
        <v>1964</v>
      </c>
      <c r="E7" s="5" t="s">
        <v>1963</v>
      </c>
      <c r="F7" s="5" t="s">
        <v>17</v>
      </c>
      <c r="G7" s="11" t="s">
        <v>1965</v>
      </c>
      <c r="H7" s="11" t="s">
        <v>1966</v>
      </c>
      <c r="I7" s="11" t="s">
        <v>1967</v>
      </c>
      <c r="J7" s="11" t="s">
        <v>1968</v>
      </c>
      <c r="K7" s="11" t="s">
        <v>1969</v>
      </c>
      <c r="L7" s="5" t="s">
        <v>23</v>
      </c>
      <c r="M7" s="5" t="s">
        <v>1970</v>
      </c>
      <c r="N7" s="5" t="s">
        <v>456</v>
      </c>
      <c r="O7" s="5" t="s">
        <v>1961</v>
      </c>
      <c r="P7" s="5" t="s">
        <v>1971</v>
      </c>
      <c r="Q7" s="147" t="s">
        <v>2876</v>
      </c>
      <c r="R7" s="147" t="s">
        <v>2344</v>
      </c>
      <c r="S7" s="130" t="s">
        <v>30</v>
      </c>
      <c r="T7" s="11"/>
      <c r="U7" s="11"/>
      <c r="V7" s="147" t="s">
        <v>2877</v>
      </c>
    </row>
    <row r="8" ht="22.5" customHeight="1">
      <c r="A8" s="10">
        <v>260257.0</v>
      </c>
      <c r="B8" s="4">
        <v>46038.816313981486</v>
      </c>
      <c r="C8" s="5" t="s">
        <v>1972</v>
      </c>
      <c r="D8" s="5" t="s">
        <v>1973</v>
      </c>
      <c r="E8" s="5" t="s">
        <v>1972</v>
      </c>
      <c r="F8" s="5" t="s">
        <v>17</v>
      </c>
      <c r="G8" s="11" t="s">
        <v>1974</v>
      </c>
      <c r="H8" s="11" t="s">
        <v>1975</v>
      </c>
      <c r="I8" s="11" t="s">
        <v>1976</v>
      </c>
      <c r="J8" s="11" t="s">
        <v>274</v>
      </c>
      <c r="K8" s="11" t="s">
        <v>1977</v>
      </c>
      <c r="L8" s="5" t="s">
        <v>23</v>
      </c>
      <c r="M8" s="5" t="s">
        <v>1978</v>
      </c>
      <c r="N8" s="5" t="s">
        <v>119</v>
      </c>
      <c r="O8" s="5" t="s">
        <v>734</v>
      </c>
      <c r="P8" s="5" t="s">
        <v>182</v>
      </c>
      <c r="Q8" s="148" t="s">
        <v>2520</v>
      </c>
      <c r="R8" s="148" t="s">
        <v>2334</v>
      </c>
      <c r="S8" s="130" t="s">
        <v>30</v>
      </c>
      <c r="T8" s="11"/>
      <c r="U8" s="11"/>
      <c r="V8" s="148" t="s">
        <v>2878</v>
      </c>
    </row>
    <row r="9" ht="22.5" customHeight="1">
      <c r="A9" s="10">
        <v>260258.0</v>
      </c>
      <c r="B9" s="4">
        <v>46038.83153431713</v>
      </c>
      <c r="C9" s="5" t="s">
        <v>1979</v>
      </c>
      <c r="D9" s="5" t="s">
        <v>1980</v>
      </c>
      <c r="E9" s="5" t="s">
        <v>1979</v>
      </c>
      <c r="F9" s="5" t="s">
        <v>17</v>
      </c>
      <c r="G9" s="11" t="s">
        <v>1981</v>
      </c>
      <c r="H9" s="13" t="s">
        <v>1982</v>
      </c>
      <c r="I9" s="11" t="s">
        <v>720</v>
      </c>
      <c r="J9" s="11" t="s">
        <v>1983</v>
      </c>
      <c r="K9" s="11" t="s">
        <v>714</v>
      </c>
      <c r="L9" s="5" t="s">
        <v>23</v>
      </c>
      <c r="M9" s="5" t="s">
        <v>1984</v>
      </c>
      <c r="N9" s="5" t="s">
        <v>1985</v>
      </c>
      <c r="O9" s="5" t="s">
        <v>200</v>
      </c>
      <c r="P9" s="5" t="s">
        <v>200</v>
      </c>
      <c r="Q9" s="148" t="s">
        <v>2396</v>
      </c>
      <c r="R9" s="3" t="s">
        <v>2618</v>
      </c>
      <c r="S9" s="130" t="s">
        <v>30</v>
      </c>
      <c r="T9" s="11"/>
      <c r="U9" s="11"/>
      <c r="V9" s="148" t="s">
        <v>2879</v>
      </c>
    </row>
    <row r="10" ht="22.5" customHeight="1">
      <c r="A10" s="10">
        <v>260259.0</v>
      </c>
      <c r="B10" s="4">
        <v>46038.83332820602</v>
      </c>
      <c r="C10" s="5" t="s">
        <v>1986</v>
      </c>
      <c r="D10" s="5" t="s">
        <v>1987</v>
      </c>
      <c r="E10" s="5" t="s">
        <v>1986</v>
      </c>
      <c r="F10" s="5" t="s">
        <v>17</v>
      </c>
      <c r="G10" s="11" t="s">
        <v>1988</v>
      </c>
      <c r="H10" s="11" t="s">
        <v>1989</v>
      </c>
      <c r="I10" s="11" t="s">
        <v>1990</v>
      </c>
      <c r="J10" s="11" t="s">
        <v>461</v>
      </c>
      <c r="K10" s="11" t="s">
        <v>1991</v>
      </c>
      <c r="L10" s="5" t="s">
        <v>23</v>
      </c>
      <c r="M10" s="5" t="s">
        <v>1992</v>
      </c>
      <c r="N10" s="5" t="s">
        <v>1993</v>
      </c>
      <c r="O10" s="5" t="s">
        <v>200</v>
      </c>
      <c r="P10" s="5" t="s">
        <v>201</v>
      </c>
      <c r="Q10" s="148" t="s">
        <v>2396</v>
      </c>
      <c r="R10" s="3" t="s">
        <v>2344</v>
      </c>
      <c r="S10" s="130" t="s">
        <v>30</v>
      </c>
      <c r="T10" s="11"/>
      <c r="U10" s="11"/>
      <c r="V10" s="148" t="s">
        <v>2880</v>
      </c>
    </row>
    <row r="11" ht="22.5" customHeight="1">
      <c r="A11" s="10">
        <v>260260.0</v>
      </c>
      <c r="B11" s="4">
        <v>46038.84371128472</v>
      </c>
      <c r="C11" s="5" t="s">
        <v>1994</v>
      </c>
      <c r="D11" s="5" t="s">
        <v>1995</v>
      </c>
      <c r="E11" s="5" t="s">
        <v>1994</v>
      </c>
      <c r="F11" s="5" t="s">
        <v>17</v>
      </c>
      <c r="G11" s="11" t="s">
        <v>1996</v>
      </c>
      <c r="H11" s="11" t="s">
        <v>1997</v>
      </c>
      <c r="I11" s="11" t="s">
        <v>1998</v>
      </c>
      <c r="J11" s="11" t="s">
        <v>1999</v>
      </c>
      <c r="K11" s="11" t="s">
        <v>2000</v>
      </c>
      <c r="L11" s="5" t="s">
        <v>30</v>
      </c>
      <c r="M11" s="5" t="s">
        <v>1646</v>
      </c>
      <c r="N11" s="5" t="s">
        <v>119</v>
      </c>
      <c r="O11" s="5" t="s">
        <v>548</v>
      </c>
      <c r="P11" s="5" t="s">
        <v>40</v>
      </c>
      <c r="Q11" s="148" t="s">
        <v>2334</v>
      </c>
      <c r="R11" s="148" t="s">
        <v>2520</v>
      </c>
      <c r="S11" s="130" t="s">
        <v>30</v>
      </c>
      <c r="T11" s="11"/>
      <c r="U11" s="11"/>
      <c r="V11" s="148" t="s">
        <v>2881</v>
      </c>
    </row>
    <row r="12" ht="22.5" customHeight="1">
      <c r="A12" s="10">
        <v>260261.0</v>
      </c>
      <c r="B12" s="4">
        <v>46038.85878592593</v>
      </c>
      <c r="C12" s="5" t="s">
        <v>2001</v>
      </c>
      <c r="D12" s="5" t="s">
        <v>2002</v>
      </c>
      <c r="E12" s="5" t="s">
        <v>2003</v>
      </c>
      <c r="F12" s="5" t="s">
        <v>64</v>
      </c>
      <c r="G12" s="11" t="s">
        <v>2004</v>
      </c>
      <c r="H12" s="11" t="s">
        <v>2005</v>
      </c>
      <c r="I12" s="11" t="s">
        <v>2006</v>
      </c>
      <c r="J12" s="11" t="s">
        <v>2007</v>
      </c>
      <c r="K12" s="11" t="s">
        <v>2008</v>
      </c>
      <c r="L12" s="5" t="s">
        <v>30</v>
      </c>
      <c r="M12" s="5" t="s">
        <v>2009</v>
      </c>
      <c r="N12" s="5" t="s">
        <v>295</v>
      </c>
      <c r="O12" s="5" t="s">
        <v>51</v>
      </c>
      <c r="P12" s="5" t="s">
        <v>52</v>
      </c>
      <c r="Q12" s="148" t="s">
        <v>2389</v>
      </c>
      <c r="R12" s="3" t="s">
        <v>2396</v>
      </c>
      <c r="S12" s="130" t="s">
        <v>30</v>
      </c>
      <c r="T12" s="11"/>
      <c r="U12" s="11"/>
      <c r="V12" s="148" t="s">
        <v>2882</v>
      </c>
    </row>
    <row r="13" ht="22.5" customHeight="1">
      <c r="A13" s="10">
        <v>260262.0</v>
      </c>
      <c r="B13" s="4">
        <v>46038.87132211805</v>
      </c>
      <c r="C13" s="5" t="s">
        <v>2010</v>
      </c>
      <c r="D13" s="5" t="s">
        <v>2011</v>
      </c>
      <c r="E13" s="5" t="s">
        <v>2010</v>
      </c>
      <c r="F13" s="5" t="s">
        <v>17</v>
      </c>
      <c r="G13" s="11" t="s">
        <v>2012</v>
      </c>
      <c r="H13" s="11" t="s">
        <v>2013</v>
      </c>
      <c r="I13" s="11" t="s">
        <v>2014</v>
      </c>
      <c r="J13" s="11" t="s">
        <v>2015</v>
      </c>
      <c r="K13" s="11" t="s">
        <v>1721</v>
      </c>
      <c r="L13" s="5" t="s">
        <v>162</v>
      </c>
      <c r="M13" s="5" t="s">
        <v>2016</v>
      </c>
      <c r="N13" s="5" t="s">
        <v>61</v>
      </c>
      <c r="O13" s="5" t="s">
        <v>181</v>
      </c>
      <c r="P13" s="5" t="s">
        <v>660</v>
      </c>
      <c r="Q13" s="148" t="s">
        <v>2883</v>
      </c>
      <c r="R13" s="3" t="s">
        <v>2359</v>
      </c>
      <c r="S13" s="130" t="s">
        <v>30</v>
      </c>
      <c r="T13" s="11"/>
      <c r="U13" s="11"/>
      <c r="V13" s="148" t="s">
        <v>2884</v>
      </c>
    </row>
    <row r="14" ht="22.5" customHeight="1">
      <c r="A14" s="10">
        <v>260263.0</v>
      </c>
      <c r="B14" s="4">
        <v>46038.88456802083</v>
      </c>
      <c r="C14" s="5" t="s">
        <v>2017</v>
      </c>
      <c r="D14" s="5" t="s">
        <v>2018</v>
      </c>
      <c r="E14" s="5" t="s">
        <v>2017</v>
      </c>
      <c r="F14" s="5" t="s">
        <v>17</v>
      </c>
      <c r="G14" s="11" t="s">
        <v>2019</v>
      </c>
      <c r="H14" s="11" t="s">
        <v>2020</v>
      </c>
      <c r="I14" s="11" t="s">
        <v>488</v>
      </c>
      <c r="J14" s="11" t="s">
        <v>2021</v>
      </c>
      <c r="K14" s="11" t="s">
        <v>2022</v>
      </c>
      <c r="L14" s="5" t="s">
        <v>30</v>
      </c>
      <c r="M14" s="5" t="s">
        <v>2023</v>
      </c>
      <c r="N14" s="5" t="s">
        <v>199</v>
      </c>
      <c r="O14" s="5" t="s">
        <v>181</v>
      </c>
      <c r="P14" s="5" t="s">
        <v>660</v>
      </c>
      <c r="Q14" s="148" t="s">
        <v>2381</v>
      </c>
      <c r="R14" s="149" t="s">
        <v>2647</v>
      </c>
      <c r="S14" s="130" t="s">
        <v>30</v>
      </c>
      <c r="T14" s="11"/>
      <c r="U14" s="11"/>
      <c r="V14" s="148" t="s">
        <v>2885</v>
      </c>
    </row>
    <row r="15" ht="22.5" customHeight="1">
      <c r="A15" s="10">
        <v>260264.0</v>
      </c>
      <c r="B15" s="4">
        <v>46038.919237395836</v>
      </c>
      <c r="C15" s="5" t="s">
        <v>2024</v>
      </c>
      <c r="D15" s="5" t="s">
        <v>2025</v>
      </c>
      <c r="E15" s="5" t="s">
        <v>2024</v>
      </c>
      <c r="F15" s="5" t="s">
        <v>17</v>
      </c>
      <c r="G15" s="11" t="s">
        <v>2026</v>
      </c>
      <c r="H15" s="13" t="s">
        <v>2027</v>
      </c>
      <c r="I15" s="11" t="s">
        <v>2028</v>
      </c>
      <c r="J15" s="11" t="s">
        <v>2029</v>
      </c>
      <c r="K15" s="11" t="s">
        <v>2030</v>
      </c>
      <c r="L15" s="5" t="s">
        <v>30</v>
      </c>
      <c r="M15" s="5" t="s">
        <v>557</v>
      </c>
      <c r="N15" s="5" t="s">
        <v>61</v>
      </c>
      <c r="O15" s="5" t="s">
        <v>437</v>
      </c>
      <c r="P15" s="5" t="s">
        <v>328</v>
      </c>
      <c r="Q15" s="148" t="s">
        <v>2508</v>
      </c>
      <c r="R15" s="3" t="s">
        <v>2420</v>
      </c>
      <c r="S15" s="130" t="s">
        <v>30</v>
      </c>
      <c r="T15" s="11"/>
      <c r="U15" s="11"/>
      <c r="V15" s="148" t="s">
        <v>2886</v>
      </c>
    </row>
    <row r="16" ht="22.5" customHeight="1">
      <c r="A16" s="14">
        <v>260265.0</v>
      </c>
      <c r="B16" s="4">
        <v>46038.93685427083</v>
      </c>
      <c r="C16" s="5" t="s">
        <v>2031</v>
      </c>
      <c r="D16" s="5" t="s">
        <v>1627</v>
      </c>
      <c r="E16" s="5" t="s">
        <v>2032</v>
      </c>
      <c r="F16" s="5" t="s">
        <v>131</v>
      </c>
      <c r="G16" s="13" t="s">
        <v>2033</v>
      </c>
      <c r="H16" s="13" t="s">
        <v>2034</v>
      </c>
      <c r="I16" s="11" t="s">
        <v>2035</v>
      </c>
      <c r="J16" s="11" t="s">
        <v>2036</v>
      </c>
      <c r="K16" s="11" t="s">
        <v>2037</v>
      </c>
      <c r="L16" s="5" t="s">
        <v>30</v>
      </c>
      <c r="M16" s="5" t="s">
        <v>1156</v>
      </c>
      <c r="N16" s="5" t="s">
        <v>164</v>
      </c>
      <c r="O16" s="5" t="s">
        <v>51</v>
      </c>
      <c r="P16" s="5" t="s">
        <v>52</v>
      </c>
      <c r="Q16" s="5" t="s">
        <v>2381</v>
      </c>
      <c r="R16" s="3" t="s">
        <v>2646</v>
      </c>
      <c r="S16" s="130" t="s">
        <v>30</v>
      </c>
      <c r="T16" s="11"/>
      <c r="U16" s="11"/>
      <c r="V16" s="148" t="s">
        <v>2887</v>
      </c>
    </row>
    <row r="17" ht="22.5" customHeight="1">
      <c r="A17" s="10">
        <v>260266.0</v>
      </c>
      <c r="B17" s="4">
        <v>46038.948179942134</v>
      </c>
      <c r="C17" s="5" t="s">
        <v>2038</v>
      </c>
      <c r="D17" s="5" t="s">
        <v>2039</v>
      </c>
      <c r="E17" s="5" t="s">
        <v>2038</v>
      </c>
      <c r="F17" s="5" t="s">
        <v>64</v>
      </c>
      <c r="G17" s="11" t="s">
        <v>2040</v>
      </c>
      <c r="H17" s="13" t="s">
        <v>2041</v>
      </c>
      <c r="I17" s="11" t="s">
        <v>2042</v>
      </c>
      <c r="J17" s="11" t="s">
        <v>2043</v>
      </c>
      <c r="K17" s="11" t="s">
        <v>463</v>
      </c>
      <c r="L17" s="5" t="s">
        <v>162</v>
      </c>
      <c r="M17" s="5" t="s">
        <v>2044</v>
      </c>
      <c r="N17" s="5" t="s">
        <v>119</v>
      </c>
      <c r="O17" s="5" t="s">
        <v>26</v>
      </c>
      <c r="P17" s="5" t="s">
        <v>26</v>
      </c>
      <c r="Q17" s="148" t="s">
        <v>2344</v>
      </c>
      <c r="R17" s="3" t="s">
        <v>2571</v>
      </c>
      <c r="S17" s="130" t="s">
        <v>30</v>
      </c>
      <c r="T17" s="11"/>
      <c r="U17" s="11"/>
      <c r="V17" s="148" t="s">
        <v>2888</v>
      </c>
    </row>
    <row r="18" ht="22.5" customHeight="1">
      <c r="A18" s="10">
        <v>260267.0</v>
      </c>
      <c r="B18" s="4">
        <v>46038.96066913195</v>
      </c>
      <c r="C18" s="5" t="s">
        <v>2045</v>
      </c>
      <c r="D18" s="5" t="s">
        <v>2046</v>
      </c>
      <c r="E18" s="5" t="s">
        <v>2045</v>
      </c>
      <c r="F18" s="5" t="s">
        <v>64</v>
      </c>
      <c r="G18" s="11" t="s">
        <v>2047</v>
      </c>
      <c r="H18" s="11" t="s">
        <v>2048</v>
      </c>
      <c r="I18" s="11" t="s">
        <v>2049</v>
      </c>
      <c r="J18" s="11" t="s">
        <v>2050</v>
      </c>
      <c r="K18" s="11" t="s">
        <v>2051</v>
      </c>
      <c r="L18" s="5" t="s">
        <v>30</v>
      </c>
      <c r="M18" s="5" t="s">
        <v>2052</v>
      </c>
      <c r="N18" s="5" t="s">
        <v>71</v>
      </c>
      <c r="O18" s="5" t="s">
        <v>51</v>
      </c>
      <c r="P18" s="5" t="s">
        <v>73</v>
      </c>
      <c r="Q18" s="5" t="s">
        <v>2586</v>
      </c>
      <c r="R18" s="3" t="s">
        <v>2571</v>
      </c>
      <c r="S18" s="130" t="s">
        <v>30</v>
      </c>
      <c r="T18" s="11"/>
      <c r="U18" s="11"/>
      <c r="V18" s="148" t="s">
        <v>2889</v>
      </c>
    </row>
    <row r="19" ht="22.5" customHeight="1">
      <c r="A19" s="10">
        <v>260268.0</v>
      </c>
      <c r="B19" s="4">
        <v>46038.96105972222</v>
      </c>
      <c r="C19" s="5" t="s">
        <v>2053</v>
      </c>
      <c r="D19" s="5" t="s">
        <v>2054</v>
      </c>
      <c r="E19" s="5" t="s">
        <v>2053</v>
      </c>
      <c r="F19" s="5" t="s">
        <v>17</v>
      </c>
      <c r="G19" s="11" t="s">
        <v>2055</v>
      </c>
      <c r="H19" s="11" t="s">
        <v>2056</v>
      </c>
      <c r="I19" s="11" t="s">
        <v>2057</v>
      </c>
      <c r="J19" s="11" t="s">
        <v>2058</v>
      </c>
      <c r="K19" s="11" t="s">
        <v>2059</v>
      </c>
      <c r="L19" s="5" t="s">
        <v>162</v>
      </c>
      <c r="M19" s="5" t="s">
        <v>1579</v>
      </c>
      <c r="N19" s="5" t="s">
        <v>119</v>
      </c>
      <c r="O19" s="5" t="s">
        <v>257</v>
      </c>
      <c r="P19" s="5" t="s">
        <v>258</v>
      </c>
      <c r="Q19" s="148" t="s">
        <v>2381</v>
      </c>
      <c r="R19" s="5" t="s">
        <v>2560</v>
      </c>
      <c r="S19" s="130" t="s">
        <v>30</v>
      </c>
      <c r="T19" s="11"/>
      <c r="U19" s="11"/>
      <c r="V19" s="148" t="s">
        <v>2890</v>
      </c>
    </row>
    <row r="20" ht="22.5" customHeight="1">
      <c r="A20" s="10">
        <v>260269.0</v>
      </c>
      <c r="B20" s="4">
        <v>46038.97887851852</v>
      </c>
      <c r="C20" s="5" t="s">
        <v>2060</v>
      </c>
      <c r="D20" s="5" t="s">
        <v>2061</v>
      </c>
      <c r="E20" s="5" t="s">
        <v>2060</v>
      </c>
      <c r="F20" s="5" t="s">
        <v>64</v>
      </c>
      <c r="G20" s="11" t="s">
        <v>2062</v>
      </c>
      <c r="H20" s="11" t="s">
        <v>2063</v>
      </c>
      <c r="I20" s="11" t="s">
        <v>2064</v>
      </c>
      <c r="J20" s="11" t="s">
        <v>2065</v>
      </c>
      <c r="K20" s="11" t="s">
        <v>2066</v>
      </c>
      <c r="L20" s="5" t="s">
        <v>162</v>
      </c>
      <c r="M20" s="5" t="s">
        <v>2067</v>
      </c>
      <c r="N20" s="5" t="s">
        <v>119</v>
      </c>
      <c r="O20" s="5" t="s">
        <v>200</v>
      </c>
      <c r="P20" s="5" t="s">
        <v>201</v>
      </c>
      <c r="Q20" s="5" t="s">
        <v>2883</v>
      </c>
      <c r="R20" s="3" t="s">
        <v>2514</v>
      </c>
      <c r="S20" s="130" t="s">
        <v>30</v>
      </c>
      <c r="T20" s="11"/>
      <c r="U20" s="11"/>
      <c r="V20" s="148" t="s">
        <v>2891</v>
      </c>
    </row>
    <row r="21" ht="22.5" customHeight="1">
      <c r="A21" s="10">
        <v>260270.0</v>
      </c>
      <c r="B21" s="4">
        <v>46038.975687638886</v>
      </c>
      <c r="C21" s="5" t="s">
        <v>2068</v>
      </c>
      <c r="D21" s="5" t="s">
        <v>2069</v>
      </c>
      <c r="E21" s="5" t="s">
        <v>2068</v>
      </c>
      <c r="F21" s="5" t="s">
        <v>17</v>
      </c>
      <c r="G21" s="11" t="s">
        <v>2070</v>
      </c>
      <c r="H21" s="11" t="s">
        <v>2071</v>
      </c>
      <c r="I21" s="11" t="s">
        <v>2072</v>
      </c>
      <c r="J21" s="11" t="s">
        <v>2073</v>
      </c>
      <c r="K21" s="11" t="s">
        <v>2074</v>
      </c>
      <c r="L21" s="5" t="s">
        <v>162</v>
      </c>
      <c r="M21" s="5" t="s">
        <v>1116</v>
      </c>
      <c r="N21" s="5" t="s">
        <v>61</v>
      </c>
      <c r="O21" s="5" t="s">
        <v>833</v>
      </c>
      <c r="P21" s="5" t="s">
        <v>2075</v>
      </c>
      <c r="Q21" s="5" t="s">
        <v>2401</v>
      </c>
      <c r="R21" s="3" t="s">
        <v>2473</v>
      </c>
      <c r="S21" s="130" t="s">
        <v>30</v>
      </c>
      <c r="T21" s="11"/>
      <c r="U21" s="11"/>
      <c r="V21" s="148" t="s">
        <v>2892</v>
      </c>
    </row>
    <row r="22" ht="22.5" customHeight="1">
      <c r="A22" s="10">
        <v>260271.0</v>
      </c>
      <c r="B22" s="4">
        <v>46038.98358858796</v>
      </c>
      <c r="C22" s="5" t="s">
        <v>2076</v>
      </c>
      <c r="D22" s="5" t="s">
        <v>2077</v>
      </c>
      <c r="E22" s="5" t="s">
        <v>2076</v>
      </c>
      <c r="F22" s="5" t="s">
        <v>17</v>
      </c>
      <c r="G22" s="11" t="s">
        <v>2078</v>
      </c>
      <c r="H22" s="11" t="s">
        <v>2079</v>
      </c>
      <c r="I22" s="11" t="s">
        <v>2080</v>
      </c>
      <c r="J22" s="11" t="s">
        <v>2081</v>
      </c>
      <c r="K22" s="11" t="s">
        <v>2082</v>
      </c>
      <c r="L22" s="5" t="s">
        <v>23</v>
      </c>
      <c r="M22" s="5" t="s">
        <v>2083</v>
      </c>
      <c r="N22" s="5" t="s">
        <v>119</v>
      </c>
      <c r="O22" s="5" t="s">
        <v>200</v>
      </c>
      <c r="P22" s="5" t="s">
        <v>201</v>
      </c>
      <c r="Q22" s="148" t="s">
        <v>2462</v>
      </c>
      <c r="R22" s="3" t="s">
        <v>2413</v>
      </c>
      <c r="S22" s="130" t="s">
        <v>30</v>
      </c>
      <c r="T22" s="11"/>
      <c r="U22" s="11"/>
      <c r="V22" s="148" t="s">
        <v>2893</v>
      </c>
    </row>
    <row r="23" ht="22.5" customHeight="1">
      <c r="A23" s="10">
        <v>260272.0</v>
      </c>
      <c r="B23" s="4">
        <v>46038.98645303241</v>
      </c>
      <c r="C23" s="5" t="s">
        <v>2084</v>
      </c>
      <c r="D23" s="5" t="s">
        <v>2085</v>
      </c>
      <c r="E23" s="5" t="s">
        <v>2084</v>
      </c>
      <c r="F23" s="5" t="s">
        <v>17</v>
      </c>
      <c r="G23" s="11" t="s">
        <v>2086</v>
      </c>
      <c r="H23" s="13" t="s">
        <v>2087</v>
      </c>
      <c r="I23" s="11" t="s">
        <v>2088</v>
      </c>
      <c r="J23" s="11" t="s">
        <v>2089</v>
      </c>
      <c r="K23" s="11" t="s">
        <v>1138</v>
      </c>
      <c r="L23" s="5" t="s">
        <v>162</v>
      </c>
      <c r="M23" s="5" t="s">
        <v>878</v>
      </c>
      <c r="N23" s="5" t="s">
        <v>119</v>
      </c>
      <c r="O23" s="5" t="s">
        <v>548</v>
      </c>
      <c r="P23" s="5" t="s">
        <v>2090</v>
      </c>
      <c r="Q23" s="148" t="s">
        <v>2479</v>
      </c>
      <c r="R23" s="3" t="s">
        <v>2487</v>
      </c>
      <c r="S23" s="130" t="s">
        <v>30</v>
      </c>
      <c r="T23" s="11"/>
      <c r="U23" s="11"/>
      <c r="V23" s="148" t="s">
        <v>2894</v>
      </c>
    </row>
    <row r="24" ht="22.5" customHeight="1">
      <c r="A24" s="10">
        <v>260273.0</v>
      </c>
      <c r="B24" s="4">
        <v>46038.995707106485</v>
      </c>
      <c r="C24" s="5" t="s">
        <v>2091</v>
      </c>
      <c r="D24" s="5" t="s">
        <v>2092</v>
      </c>
      <c r="E24" s="5" t="s">
        <v>2091</v>
      </c>
      <c r="F24" s="5" t="s">
        <v>131</v>
      </c>
      <c r="G24" s="11" t="s">
        <v>2093</v>
      </c>
      <c r="H24" s="11" t="s">
        <v>2094</v>
      </c>
      <c r="I24" s="11" t="s">
        <v>2095</v>
      </c>
      <c r="J24" s="11" t="s">
        <v>2096</v>
      </c>
      <c r="K24" s="11" t="s">
        <v>2097</v>
      </c>
      <c r="L24" s="5" t="s">
        <v>162</v>
      </c>
      <c r="M24" s="5" t="s">
        <v>2098</v>
      </c>
      <c r="N24" s="5" t="s">
        <v>2099</v>
      </c>
      <c r="O24" s="5" t="s">
        <v>2100</v>
      </c>
      <c r="P24" s="5" t="s">
        <v>2101</v>
      </c>
      <c r="Q24" s="148" t="s">
        <v>2895</v>
      </c>
      <c r="R24" s="148" t="s">
        <v>2536</v>
      </c>
      <c r="S24" s="130" t="s">
        <v>30</v>
      </c>
      <c r="T24" s="11"/>
      <c r="U24" s="11"/>
      <c r="V24" s="148" t="s">
        <v>2896</v>
      </c>
    </row>
    <row r="25" ht="22.5" customHeight="1">
      <c r="A25" s="10">
        <v>260274.0</v>
      </c>
      <c r="B25" s="4">
        <v>46039.00166409722</v>
      </c>
      <c r="C25" s="5" t="s">
        <v>2102</v>
      </c>
      <c r="D25" s="5" t="s">
        <v>2103</v>
      </c>
      <c r="E25" s="5" t="s">
        <v>2102</v>
      </c>
      <c r="F25" s="5" t="s">
        <v>17</v>
      </c>
      <c r="G25" s="11" t="s">
        <v>2104</v>
      </c>
      <c r="H25" s="13" t="s">
        <v>2105</v>
      </c>
      <c r="I25" s="11" t="s">
        <v>955</v>
      </c>
      <c r="J25" s="11" t="s">
        <v>2106</v>
      </c>
      <c r="K25" s="11" t="s">
        <v>2107</v>
      </c>
      <c r="L25" s="5" t="s">
        <v>30</v>
      </c>
      <c r="M25" s="5" t="s">
        <v>2108</v>
      </c>
      <c r="N25" s="5" t="s">
        <v>39</v>
      </c>
      <c r="O25" s="5" t="s">
        <v>403</v>
      </c>
      <c r="P25" s="5" t="s">
        <v>404</v>
      </c>
      <c r="Q25" s="5" t="s">
        <v>2479</v>
      </c>
      <c r="R25" s="3" t="s">
        <v>2495</v>
      </c>
      <c r="S25" s="130" t="s">
        <v>30</v>
      </c>
      <c r="T25" s="11"/>
      <c r="U25" s="11"/>
      <c r="V25" s="148" t="s">
        <v>2897</v>
      </c>
    </row>
    <row r="26" ht="22.5" customHeight="1">
      <c r="A26" s="10">
        <v>260275.0</v>
      </c>
      <c r="B26" s="4">
        <v>46039.04539621528</v>
      </c>
      <c r="C26" s="5" t="s">
        <v>2109</v>
      </c>
      <c r="D26" s="5" t="s">
        <v>2110</v>
      </c>
      <c r="E26" s="5" t="s">
        <v>2109</v>
      </c>
      <c r="F26" s="5" t="s">
        <v>17</v>
      </c>
      <c r="G26" s="11" t="s">
        <v>2111</v>
      </c>
      <c r="H26" s="11" t="s">
        <v>2112</v>
      </c>
      <c r="I26" s="11" t="s">
        <v>2113</v>
      </c>
      <c r="J26" s="11" t="s">
        <v>2114</v>
      </c>
      <c r="K26" s="11" t="s">
        <v>2115</v>
      </c>
      <c r="L26" s="5" t="s">
        <v>162</v>
      </c>
      <c r="M26" s="5" t="s">
        <v>2116</v>
      </c>
      <c r="N26" s="5" t="s">
        <v>413</v>
      </c>
      <c r="O26" s="5" t="s">
        <v>549</v>
      </c>
      <c r="P26" s="5" t="s">
        <v>267</v>
      </c>
      <c r="Q26" s="148" t="s">
        <v>2381</v>
      </c>
      <c r="R26" s="148" t="s">
        <v>2898</v>
      </c>
      <c r="S26" s="130" t="s">
        <v>30</v>
      </c>
      <c r="T26" s="11"/>
      <c r="U26" s="11"/>
      <c r="V26" s="148" t="s">
        <v>2899</v>
      </c>
    </row>
    <row r="27" ht="22.5" customHeight="1">
      <c r="A27" s="10">
        <v>260276.0</v>
      </c>
      <c r="B27" s="4">
        <v>46039.01867425926</v>
      </c>
      <c r="C27" s="5" t="s">
        <v>2117</v>
      </c>
      <c r="D27" s="5" t="s">
        <v>2118</v>
      </c>
      <c r="E27" s="5" t="s">
        <v>2117</v>
      </c>
      <c r="F27" s="5" t="s">
        <v>17</v>
      </c>
      <c r="G27" s="11" t="s">
        <v>2119</v>
      </c>
      <c r="H27" s="13" t="s">
        <v>2120</v>
      </c>
      <c r="I27" s="11" t="s">
        <v>840</v>
      </c>
      <c r="J27" s="11" t="s">
        <v>2121</v>
      </c>
      <c r="K27" s="11" t="s">
        <v>2122</v>
      </c>
      <c r="L27" s="5" t="s">
        <v>30</v>
      </c>
      <c r="M27" s="5" t="s">
        <v>2123</v>
      </c>
      <c r="N27" s="5" t="s">
        <v>61</v>
      </c>
      <c r="O27" s="5" t="s">
        <v>1865</v>
      </c>
      <c r="P27" s="5" t="s">
        <v>660</v>
      </c>
      <c r="Q27" s="148" t="s">
        <v>2520</v>
      </c>
      <c r="R27" s="3" t="s">
        <v>2334</v>
      </c>
      <c r="S27" s="130" t="s">
        <v>30</v>
      </c>
      <c r="T27" s="11"/>
      <c r="U27" s="11"/>
      <c r="V27" s="148" t="s">
        <v>2900</v>
      </c>
    </row>
    <row r="28" ht="22.5" customHeight="1">
      <c r="A28" s="10">
        <v>260277.0</v>
      </c>
      <c r="B28" s="4">
        <v>46039.02968569445</v>
      </c>
      <c r="C28" s="5" t="s">
        <v>2124</v>
      </c>
      <c r="D28" s="5" t="s">
        <v>2125</v>
      </c>
      <c r="E28" s="5" t="s">
        <v>2124</v>
      </c>
      <c r="F28" s="5" t="s">
        <v>17</v>
      </c>
      <c r="G28" s="11" t="s">
        <v>2126</v>
      </c>
      <c r="H28" s="11" t="s">
        <v>2127</v>
      </c>
      <c r="I28" s="11" t="s">
        <v>2128</v>
      </c>
      <c r="J28" s="11" t="s">
        <v>2129</v>
      </c>
      <c r="K28" s="11" t="s">
        <v>2130</v>
      </c>
      <c r="L28" s="5" t="s">
        <v>23</v>
      </c>
      <c r="M28" s="5" t="s">
        <v>2131</v>
      </c>
      <c r="N28" s="5" t="s">
        <v>39</v>
      </c>
      <c r="O28" s="5" t="s">
        <v>267</v>
      </c>
      <c r="P28" s="5" t="s">
        <v>268</v>
      </c>
      <c r="Q28" s="148" t="s">
        <v>2427</v>
      </c>
      <c r="R28" s="3" t="s">
        <v>2901</v>
      </c>
      <c r="S28" s="130" t="s">
        <v>30</v>
      </c>
      <c r="T28" s="11"/>
      <c r="U28" s="11"/>
      <c r="V28" s="148" t="s">
        <v>2902</v>
      </c>
    </row>
    <row r="29" ht="22.5" customHeight="1">
      <c r="A29" s="10">
        <v>260278.0</v>
      </c>
      <c r="B29" s="4">
        <v>46039.04788755787</v>
      </c>
      <c r="C29" s="5" t="s">
        <v>2132</v>
      </c>
      <c r="D29" s="5" t="s">
        <v>2133</v>
      </c>
      <c r="E29" s="5" t="s">
        <v>2132</v>
      </c>
      <c r="F29" s="5" t="s">
        <v>17</v>
      </c>
      <c r="G29" s="11" t="s">
        <v>2134</v>
      </c>
      <c r="H29" s="11" t="s">
        <v>2135</v>
      </c>
      <c r="I29" s="11" t="s">
        <v>1496</v>
      </c>
      <c r="J29" s="11" t="s">
        <v>2136</v>
      </c>
      <c r="K29" s="11" t="s">
        <v>2137</v>
      </c>
      <c r="L29" s="5" t="s">
        <v>23</v>
      </c>
      <c r="M29" s="5" t="s">
        <v>2138</v>
      </c>
      <c r="N29" s="5" t="s">
        <v>111</v>
      </c>
      <c r="O29" s="5" t="s">
        <v>267</v>
      </c>
      <c r="P29" s="5" t="s">
        <v>268</v>
      </c>
      <c r="Q29" s="148" t="s">
        <v>2334</v>
      </c>
      <c r="R29" s="5" t="s">
        <v>2903</v>
      </c>
      <c r="S29" s="130" t="s">
        <v>30</v>
      </c>
      <c r="T29" s="11"/>
      <c r="U29" s="11"/>
      <c r="V29" s="148" t="s">
        <v>2904</v>
      </c>
    </row>
    <row r="30" ht="22.5" customHeight="1">
      <c r="A30" s="10">
        <v>260279.0</v>
      </c>
      <c r="B30" s="4">
        <v>46039.05267131944</v>
      </c>
      <c r="C30" s="5" t="s">
        <v>2139</v>
      </c>
      <c r="D30" s="5" t="s">
        <v>2140</v>
      </c>
      <c r="E30" s="5" t="s">
        <v>2139</v>
      </c>
      <c r="F30" s="5" t="s">
        <v>17</v>
      </c>
      <c r="G30" s="15" t="s">
        <v>2141</v>
      </c>
      <c r="H30" s="11" t="s">
        <v>2142</v>
      </c>
      <c r="I30" s="11" t="s">
        <v>2143</v>
      </c>
      <c r="J30" s="11" t="s">
        <v>2144</v>
      </c>
      <c r="K30" s="11" t="s">
        <v>2145</v>
      </c>
      <c r="L30" s="5" t="s">
        <v>162</v>
      </c>
      <c r="M30" s="5" t="s">
        <v>1116</v>
      </c>
      <c r="N30" s="5" t="s">
        <v>119</v>
      </c>
      <c r="O30" s="5" t="s">
        <v>403</v>
      </c>
      <c r="P30" s="5" t="s">
        <v>404</v>
      </c>
      <c r="Q30" s="5" t="s">
        <v>2427</v>
      </c>
      <c r="R30" s="3" t="s">
        <v>2420</v>
      </c>
      <c r="S30" s="130" t="s">
        <v>30</v>
      </c>
      <c r="T30" s="11"/>
      <c r="U30" s="11"/>
      <c r="V30" s="148" t="s">
        <v>2905</v>
      </c>
    </row>
    <row r="31" ht="22.5" customHeight="1">
      <c r="A31" s="10">
        <v>260280.0</v>
      </c>
      <c r="B31" s="4">
        <v>46039.05791665509</v>
      </c>
      <c r="C31" s="5" t="s">
        <v>2146</v>
      </c>
      <c r="D31" s="5" t="s">
        <v>2147</v>
      </c>
      <c r="E31" s="5" t="s">
        <v>2146</v>
      </c>
      <c r="F31" s="5" t="s">
        <v>17</v>
      </c>
      <c r="G31" s="11" t="s">
        <v>2148</v>
      </c>
      <c r="H31" s="11" t="s">
        <v>2149</v>
      </c>
      <c r="I31" s="11" t="s">
        <v>409</v>
      </c>
      <c r="J31" s="11" t="s">
        <v>2150</v>
      </c>
      <c r="K31" s="11" t="s">
        <v>2151</v>
      </c>
      <c r="L31" s="5" t="s">
        <v>30</v>
      </c>
      <c r="M31" s="5" t="s">
        <v>801</v>
      </c>
      <c r="N31" s="5" t="s">
        <v>119</v>
      </c>
      <c r="O31" s="5" t="s">
        <v>833</v>
      </c>
      <c r="P31" s="5" t="s">
        <v>404</v>
      </c>
      <c r="Q31" s="148" t="s">
        <v>2536</v>
      </c>
      <c r="R31" s="3" t="s">
        <v>2571</v>
      </c>
      <c r="S31" s="130" t="s">
        <v>30</v>
      </c>
      <c r="T31" s="11"/>
      <c r="U31" s="11"/>
      <c r="V31" s="148" t="s">
        <v>2906</v>
      </c>
    </row>
    <row r="32" ht="22.5" customHeight="1">
      <c r="A32" s="10">
        <v>260281.0</v>
      </c>
      <c r="B32" s="4">
        <v>46039.0583616088</v>
      </c>
      <c r="C32" s="5" t="s">
        <v>2152</v>
      </c>
      <c r="D32" s="5" t="s">
        <v>2153</v>
      </c>
      <c r="E32" s="5" t="s">
        <v>2152</v>
      </c>
      <c r="F32" s="5" t="s">
        <v>64</v>
      </c>
      <c r="G32" s="11" t="s">
        <v>2154</v>
      </c>
      <c r="H32" s="11" t="s">
        <v>2155</v>
      </c>
      <c r="I32" s="11" t="s">
        <v>2156</v>
      </c>
      <c r="J32" s="11" t="s">
        <v>2157</v>
      </c>
      <c r="K32" s="11" t="s">
        <v>343</v>
      </c>
      <c r="L32" s="5" t="s">
        <v>30</v>
      </c>
      <c r="M32" s="5" t="s">
        <v>2158</v>
      </c>
      <c r="N32" s="5" t="s">
        <v>2159</v>
      </c>
      <c r="O32" s="5" t="s">
        <v>26</v>
      </c>
      <c r="P32" s="5" t="s">
        <v>73</v>
      </c>
      <c r="Q32" s="148" t="s">
        <v>2544</v>
      </c>
      <c r="R32" s="3" t="s">
        <v>2635</v>
      </c>
      <c r="S32" s="130" t="s">
        <v>30</v>
      </c>
      <c r="T32" s="11"/>
      <c r="U32" s="11"/>
      <c r="V32" s="148" t="s">
        <v>2907</v>
      </c>
    </row>
    <row r="33" ht="22.5" customHeight="1">
      <c r="A33" s="10">
        <v>260282.0</v>
      </c>
      <c r="B33" s="4">
        <v>46039.06136317129</v>
      </c>
      <c r="C33" s="5" t="s">
        <v>2160</v>
      </c>
      <c r="D33" s="5" t="s">
        <v>2161</v>
      </c>
      <c r="E33" s="5" t="s">
        <v>2160</v>
      </c>
      <c r="F33" s="5" t="s">
        <v>17</v>
      </c>
      <c r="G33" s="11" t="s">
        <v>2162</v>
      </c>
      <c r="H33" s="11" t="s">
        <v>2163</v>
      </c>
      <c r="I33" s="11" t="s">
        <v>1827</v>
      </c>
      <c r="J33" s="11" t="s">
        <v>2164</v>
      </c>
      <c r="K33" s="11" t="s">
        <v>46</v>
      </c>
      <c r="L33" s="5" t="s">
        <v>23</v>
      </c>
      <c r="M33" s="5" t="s">
        <v>2165</v>
      </c>
      <c r="N33" s="5" t="s">
        <v>119</v>
      </c>
      <c r="O33" s="5" t="s">
        <v>734</v>
      </c>
      <c r="P33" s="5" t="s">
        <v>734</v>
      </c>
      <c r="Q33" s="130" t="s">
        <v>2630</v>
      </c>
      <c r="R33" s="3" t="s">
        <v>2571</v>
      </c>
      <c r="S33" s="130" t="s">
        <v>30</v>
      </c>
      <c r="T33" s="11"/>
      <c r="U33" s="11"/>
      <c r="V33" s="148" t="s">
        <v>2908</v>
      </c>
    </row>
    <row r="34" ht="22.5" customHeight="1">
      <c r="A34" s="10">
        <v>260283.0</v>
      </c>
      <c r="B34" s="4">
        <v>46039.07634892361</v>
      </c>
      <c r="C34" s="5" t="s">
        <v>2166</v>
      </c>
      <c r="D34" s="5" t="s">
        <v>2167</v>
      </c>
      <c r="E34" s="5" t="s">
        <v>2166</v>
      </c>
      <c r="F34" s="5" t="s">
        <v>17</v>
      </c>
      <c r="G34" s="11" t="s">
        <v>2168</v>
      </c>
      <c r="H34" s="11" t="s">
        <v>2169</v>
      </c>
      <c r="I34" s="11" t="s">
        <v>2170</v>
      </c>
      <c r="J34" s="11" t="s">
        <v>488</v>
      </c>
      <c r="K34" s="11" t="s">
        <v>2171</v>
      </c>
      <c r="L34" s="5" t="s">
        <v>30</v>
      </c>
      <c r="M34" s="5" t="s">
        <v>2172</v>
      </c>
      <c r="N34" s="5" t="s">
        <v>119</v>
      </c>
      <c r="O34" s="5" t="s">
        <v>2173</v>
      </c>
      <c r="P34" s="5" t="s">
        <v>566</v>
      </c>
      <c r="Q34" s="148" t="s">
        <v>2898</v>
      </c>
      <c r="R34" s="3" t="s">
        <v>2432</v>
      </c>
      <c r="S34" s="130" t="s">
        <v>30</v>
      </c>
      <c r="T34" s="11"/>
      <c r="U34" s="11"/>
      <c r="V34" s="148" t="s">
        <v>2909</v>
      </c>
    </row>
    <row r="35" ht="22.5" customHeight="1">
      <c r="A35" s="10">
        <v>260284.0</v>
      </c>
      <c r="B35" s="4">
        <v>46039.09289863426</v>
      </c>
      <c r="C35" s="5" t="s">
        <v>2174</v>
      </c>
      <c r="D35" s="5" t="s">
        <v>2175</v>
      </c>
      <c r="E35" s="5" t="s">
        <v>2174</v>
      </c>
      <c r="F35" s="5" t="s">
        <v>64</v>
      </c>
      <c r="G35" s="11" t="s">
        <v>2176</v>
      </c>
      <c r="H35" s="13" t="s">
        <v>2177</v>
      </c>
      <c r="I35" s="11" t="s">
        <v>2178</v>
      </c>
      <c r="J35" s="11" t="s">
        <v>2179</v>
      </c>
      <c r="K35" s="11" t="s">
        <v>2180</v>
      </c>
      <c r="L35" s="5" t="s">
        <v>162</v>
      </c>
      <c r="M35" s="5" t="s">
        <v>2181</v>
      </c>
      <c r="N35" s="5" t="s">
        <v>39</v>
      </c>
      <c r="O35" s="5" t="s">
        <v>2173</v>
      </c>
      <c r="P35" s="5" t="s">
        <v>2182</v>
      </c>
      <c r="Q35" s="5" t="s">
        <v>2344</v>
      </c>
      <c r="R35" s="3" t="s">
        <v>2864</v>
      </c>
      <c r="S35" s="130" t="s">
        <v>30</v>
      </c>
      <c r="T35" s="11"/>
      <c r="U35" s="11"/>
      <c r="V35" s="148" t="s">
        <v>2910</v>
      </c>
    </row>
    <row r="36" ht="22.5" customHeight="1">
      <c r="A36" s="10">
        <v>260285.0</v>
      </c>
      <c r="B36" s="4">
        <v>46039.102725034725</v>
      </c>
      <c r="C36" s="5" t="s">
        <v>2183</v>
      </c>
      <c r="D36" s="5" t="s">
        <v>2184</v>
      </c>
      <c r="E36" s="5" t="s">
        <v>2183</v>
      </c>
      <c r="F36" s="5" t="s">
        <v>17</v>
      </c>
      <c r="G36" s="11" t="s">
        <v>2185</v>
      </c>
      <c r="H36" s="13" t="s">
        <v>2186</v>
      </c>
      <c r="I36" s="11" t="s">
        <v>2187</v>
      </c>
      <c r="J36" s="11" t="s">
        <v>2188</v>
      </c>
      <c r="K36" s="11" t="s">
        <v>2189</v>
      </c>
      <c r="L36" s="5" t="s">
        <v>30</v>
      </c>
      <c r="M36" s="5" t="s">
        <v>39</v>
      </c>
      <c r="N36" s="5" t="s">
        <v>759</v>
      </c>
      <c r="O36" s="5" t="s">
        <v>51</v>
      </c>
      <c r="P36" s="5" t="s">
        <v>73</v>
      </c>
      <c r="Q36" s="130" t="s">
        <v>2623</v>
      </c>
      <c r="R36" s="3" t="s">
        <v>2640</v>
      </c>
      <c r="S36" s="130" t="s">
        <v>30</v>
      </c>
      <c r="T36" s="11"/>
      <c r="U36" s="11"/>
      <c r="V36" s="5" t="s">
        <v>2911</v>
      </c>
    </row>
    <row r="37" ht="22.5" customHeight="1">
      <c r="A37" s="10">
        <v>260286.0</v>
      </c>
      <c r="B37" s="4">
        <v>46039.113839074074</v>
      </c>
      <c r="C37" s="5" t="s">
        <v>2190</v>
      </c>
      <c r="D37" s="5" t="s">
        <v>2191</v>
      </c>
      <c r="E37" s="5" t="s">
        <v>2190</v>
      </c>
      <c r="F37" s="5" t="s">
        <v>17</v>
      </c>
      <c r="G37" s="11" t="s">
        <v>2192</v>
      </c>
      <c r="H37" s="13" t="s">
        <v>2315</v>
      </c>
      <c r="I37" s="11" t="s">
        <v>2194</v>
      </c>
      <c r="J37" s="11" t="s">
        <v>2195</v>
      </c>
      <c r="K37" s="11" t="s">
        <v>2196</v>
      </c>
      <c r="L37" s="5" t="s">
        <v>30</v>
      </c>
      <c r="M37" s="5" t="s">
        <v>2197</v>
      </c>
      <c r="N37" s="5" t="s">
        <v>119</v>
      </c>
      <c r="O37" s="5" t="s">
        <v>51</v>
      </c>
      <c r="P37" s="5" t="s">
        <v>52</v>
      </c>
      <c r="Q37" s="130" t="s">
        <v>2623</v>
      </c>
      <c r="R37" s="3" t="s">
        <v>2640</v>
      </c>
      <c r="S37" s="130" t="s">
        <v>30</v>
      </c>
      <c r="T37" s="11"/>
      <c r="U37" s="11"/>
      <c r="V37" s="148" t="s">
        <v>2912</v>
      </c>
    </row>
    <row r="38" ht="22.5" customHeight="1">
      <c r="A38" s="10">
        <v>260287.0</v>
      </c>
      <c r="B38" s="4">
        <v>46039.13512976852</v>
      </c>
      <c r="C38" s="5" t="s">
        <v>2198</v>
      </c>
      <c r="D38" s="5" t="s">
        <v>2199</v>
      </c>
      <c r="E38" s="5" t="s">
        <v>2198</v>
      </c>
      <c r="F38" s="5" t="s">
        <v>17</v>
      </c>
      <c r="G38" s="11" t="s">
        <v>2200</v>
      </c>
      <c r="H38" s="11" t="s">
        <v>2201</v>
      </c>
      <c r="I38" s="11" t="s">
        <v>2202</v>
      </c>
      <c r="J38" s="11" t="s">
        <v>2203</v>
      </c>
      <c r="K38" s="11" t="s">
        <v>2204</v>
      </c>
      <c r="L38" s="5" t="s">
        <v>162</v>
      </c>
      <c r="M38" s="5" t="s">
        <v>2205</v>
      </c>
      <c r="N38" s="5" t="s">
        <v>61</v>
      </c>
      <c r="O38" s="5" t="s">
        <v>1961</v>
      </c>
      <c r="P38" s="5" t="s">
        <v>660</v>
      </c>
      <c r="Q38" s="148" t="s">
        <v>2334</v>
      </c>
      <c r="R38" s="3" t="s">
        <v>2462</v>
      </c>
      <c r="S38" s="130" t="s">
        <v>30</v>
      </c>
      <c r="T38" s="11"/>
      <c r="U38" s="11"/>
      <c r="V38" s="5" t="s">
        <v>2913</v>
      </c>
    </row>
    <row r="39" ht="22.5" customHeight="1">
      <c r="A39" s="10">
        <v>260288.0</v>
      </c>
      <c r="B39" s="4">
        <v>46039.14142915509</v>
      </c>
      <c r="C39" s="5" t="s">
        <v>2206</v>
      </c>
      <c r="D39" s="5" t="s">
        <v>2207</v>
      </c>
      <c r="E39" s="5" t="s">
        <v>2206</v>
      </c>
      <c r="F39" s="5" t="s">
        <v>17</v>
      </c>
      <c r="G39" s="11" t="s">
        <v>2208</v>
      </c>
      <c r="H39" s="13" t="s">
        <v>2209</v>
      </c>
      <c r="I39" s="11" t="s">
        <v>1430</v>
      </c>
      <c r="J39" s="11" t="s">
        <v>2210</v>
      </c>
      <c r="K39" s="11" t="s">
        <v>2211</v>
      </c>
      <c r="L39" s="5" t="s">
        <v>30</v>
      </c>
      <c r="M39" s="130" t="s">
        <v>2212</v>
      </c>
      <c r="N39" s="5" t="s">
        <v>164</v>
      </c>
      <c r="O39" s="5" t="s">
        <v>72</v>
      </c>
      <c r="P39" s="5" t="s">
        <v>73</v>
      </c>
      <c r="Q39" s="3" t="s">
        <v>2571</v>
      </c>
      <c r="R39" s="130" t="s">
        <v>2612</v>
      </c>
      <c r="S39" s="130" t="s">
        <v>30</v>
      </c>
      <c r="T39" s="13"/>
      <c r="U39" s="11"/>
      <c r="V39" s="5" t="s">
        <v>2914</v>
      </c>
    </row>
    <row r="40" ht="22.5" customHeight="1">
      <c r="A40" s="10">
        <v>260289.0</v>
      </c>
      <c r="B40" s="4">
        <v>46039.156841909724</v>
      </c>
      <c r="C40" s="5" t="s">
        <v>2213</v>
      </c>
      <c r="D40" s="5" t="s">
        <v>2214</v>
      </c>
      <c r="E40" s="5" t="s">
        <v>2213</v>
      </c>
      <c r="F40" s="5" t="s">
        <v>17</v>
      </c>
      <c r="G40" s="11" t="s">
        <v>2215</v>
      </c>
      <c r="H40" s="13" t="s">
        <v>2216</v>
      </c>
      <c r="I40" s="11" t="s">
        <v>2217</v>
      </c>
      <c r="J40" s="11" t="s">
        <v>2218</v>
      </c>
      <c r="K40" s="11" t="s">
        <v>2219</v>
      </c>
      <c r="L40" s="5" t="s">
        <v>30</v>
      </c>
      <c r="M40" s="5" t="s">
        <v>2220</v>
      </c>
      <c r="N40" s="5" t="s">
        <v>119</v>
      </c>
      <c r="O40" s="5" t="s">
        <v>2221</v>
      </c>
      <c r="P40" s="5" t="s">
        <v>2222</v>
      </c>
      <c r="Q40" s="148" t="s">
        <v>2334</v>
      </c>
      <c r="R40" s="3" t="s">
        <v>2724</v>
      </c>
      <c r="S40" s="130" t="s">
        <v>30</v>
      </c>
      <c r="T40" s="11"/>
      <c r="U40" s="11"/>
      <c r="V40" s="5" t="s">
        <v>2915</v>
      </c>
    </row>
    <row r="41" ht="22.5" customHeight="1">
      <c r="A41" s="10">
        <v>260290.0</v>
      </c>
      <c r="B41" s="4">
        <v>46039.1709315162</v>
      </c>
      <c r="C41" s="5" t="s">
        <v>2223</v>
      </c>
      <c r="D41" s="5" t="s">
        <v>2224</v>
      </c>
      <c r="E41" s="5" t="s">
        <v>2223</v>
      </c>
      <c r="F41" s="5" t="s">
        <v>17</v>
      </c>
      <c r="G41" s="11" t="s">
        <v>2225</v>
      </c>
      <c r="H41" s="13" t="s">
        <v>2226</v>
      </c>
      <c r="I41" s="11" t="s">
        <v>2227</v>
      </c>
      <c r="J41" s="11" t="s">
        <v>2228</v>
      </c>
      <c r="K41" s="11" t="s">
        <v>2229</v>
      </c>
      <c r="L41" s="5" t="s">
        <v>30</v>
      </c>
      <c r="M41" s="5" t="s">
        <v>2230</v>
      </c>
      <c r="N41" s="5" t="s">
        <v>111</v>
      </c>
      <c r="O41" s="5" t="s">
        <v>51</v>
      </c>
      <c r="P41" s="5" t="s">
        <v>52</v>
      </c>
      <c r="Q41" s="5" t="s">
        <v>2635</v>
      </c>
      <c r="R41" s="3" t="s">
        <v>2640</v>
      </c>
      <c r="S41" s="130" t="s">
        <v>30</v>
      </c>
      <c r="T41" s="11"/>
      <c r="U41" s="11"/>
      <c r="V41" s="5" t="s">
        <v>2916</v>
      </c>
    </row>
    <row r="42" ht="22.5" customHeight="1">
      <c r="A42" s="10">
        <v>260291.0</v>
      </c>
      <c r="B42" s="4">
        <v>46039.176386875</v>
      </c>
      <c r="C42" s="5" t="s">
        <v>2231</v>
      </c>
      <c r="D42" s="5" t="s">
        <v>2232</v>
      </c>
      <c r="E42" s="5" t="s">
        <v>2231</v>
      </c>
      <c r="F42" s="5" t="s">
        <v>17</v>
      </c>
      <c r="G42" s="11" t="s">
        <v>2233</v>
      </c>
      <c r="H42" s="11" t="s">
        <v>2234</v>
      </c>
      <c r="I42" s="11" t="s">
        <v>2235</v>
      </c>
      <c r="J42" s="11" t="s">
        <v>1309</v>
      </c>
      <c r="K42" s="11" t="s">
        <v>2236</v>
      </c>
      <c r="L42" s="5" t="s">
        <v>23</v>
      </c>
      <c r="M42" s="5" t="s">
        <v>2237</v>
      </c>
      <c r="N42" s="5" t="s">
        <v>1822</v>
      </c>
      <c r="O42" s="5" t="s">
        <v>51</v>
      </c>
      <c r="P42" s="5" t="s">
        <v>52</v>
      </c>
      <c r="Q42" s="148" t="s">
        <v>2473</v>
      </c>
      <c r="R42" s="3" t="s">
        <v>2401</v>
      </c>
      <c r="S42" s="130" t="s">
        <v>30</v>
      </c>
      <c r="T42" s="11"/>
      <c r="U42" s="11"/>
      <c r="V42" s="5" t="s">
        <v>2917</v>
      </c>
    </row>
    <row r="43" ht="22.5" customHeight="1">
      <c r="A43" s="10">
        <v>260292.0</v>
      </c>
      <c r="B43" s="4">
        <v>46039.19614915509</v>
      </c>
      <c r="C43" s="5" t="s">
        <v>2238</v>
      </c>
      <c r="D43" s="5" t="s">
        <v>2239</v>
      </c>
      <c r="E43" s="5" t="s">
        <v>2238</v>
      </c>
      <c r="F43" s="5" t="s">
        <v>17</v>
      </c>
      <c r="G43" s="11" t="s">
        <v>2240</v>
      </c>
      <c r="H43" s="11" t="s">
        <v>2241</v>
      </c>
      <c r="I43" s="11" t="s">
        <v>2242</v>
      </c>
      <c r="J43" s="11" t="s">
        <v>2243</v>
      </c>
      <c r="K43" s="11" t="s">
        <v>2244</v>
      </c>
      <c r="L43" s="5" t="s">
        <v>30</v>
      </c>
      <c r="M43" s="5" t="s">
        <v>2245</v>
      </c>
      <c r="N43" s="5" t="s">
        <v>164</v>
      </c>
      <c r="O43" s="5" t="s">
        <v>51</v>
      </c>
      <c r="P43" s="5" t="s">
        <v>52</v>
      </c>
      <c r="Q43" s="3" t="s">
        <v>2420</v>
      </c>
      <c r="R43" s="3" t="s">
        <v>2401</v>
      </c>
      <c r="S43" s="130" t="s">
        <v>30</v>
      </c>
      <c r="T43" s="11"/>
      <c r="U43" s="11"/>
      <c r="V43" s="5" t="s">
        <v>2918</v>
      </c>
    </row>
    <row r="44" ht="22.5" customHeight="1">
      <c r="A44" s="10">
        <v>260293.0</v>
      </c>
      <c r="B44" s="4">
        <v>46039.19792119213</v>
      </c>
      <c r="C44" s="5" t="s">
        <v>2246</v>
      </c>
      <c r="D44" s="5" t="s">
        <v>2247</v>
      </c>
      <c r="E44" s="5" t="s">
        <v>2246</v>
      </c>
      <c r="F44" s="5" t="s">
        <v>17</v>
      </c>
      <c r="G44" s="11" t="s">
        <v>2248</v>
      </c>
      <c r="H44" s="11" t="s">
        <v>2249</v>
      </c>
      <c r="I44" s="11" t="s">
        <v>2250</v>
      </c>
      <c r="J44" s="11" t="s">
        <v>1645</v>
      </c>
      <c r="K44" s="11" t="s">
        <v>2251</v>
      </c>
      <c r="L44" s="5" t="s">
        <v>30</v>
      </c>
      <c r="M44" s="5" t="s">
        <v>2252</v>
      </c>
      <c r="N44" s="5" t="s">
        <v>164</v>
      </c>
      <c r="O44" s="5" t="s">
        <v>446</v>
      </c>
      <c r="P44" s="5" t="s">
        <v>446</v>
      </c>
      <c r="Q44" s="3" t="s">
        <v>2592</v>
      </c>
      <c r="R44" s="3" t="s">
        <v>2508</v>
      </c>
      <c r="S44" s="130" t="s">
        <v>30</v>
      </c>
      <c r="T44" s="11"/>
      <c r="U44" s="11"/>
      <c r="V44" s="5" t="s">
        <v>2919</v>
      </c>
    </row>
    <row r="45" ht="22.5" customHeight="1">
      <c r="A45" s="10">
        <v>260294.0</v>
      </c>
      <c r="B45" s="4">
        <v>46039.224956516206</v>
      </c>
      <c r="C45" s="5" t="s">
        <v>2253</v>
      </c>
      <c r="D45" s="5" t="s">
        <v>2254</v>
      </c>
      <c r="E45" s="5" t="s">
        <v>2253</v>
      </c>
      <c r="F45" s="5" t="s">
        <v>17</v>
      </c>
      <c r="G45" s="11" t="s">
        <v>2255</v>
      </c>
      <c r="H45" s="11" t="s">
        <v>2256</v>
      </c>
      <c r="I45" s="11" t="s">
        <v>21</v>
      </c>
      <c r="J45" s="11" t="s">
        <v>2257</v>
      </c>
      <c r="K45" s="11" t="s">
        <v>2258</v>
      </c>
      <c r="L45" s="5" t="s">
        <v>162</v>
      </c>
      <c r="M45" s="5" t="s">
        <v>1228</v>
      </c>
      <c r="N45" s="5" t="s">
        <v>71</v>
      </c>
      <c r="O45" s="5" t="s">
        <v>200</v>
      </c>
      <c r="P45" s="5" t="s">
        <v>201</v>
      </c>
      <c r="Q45" s="150" t="s">
        <v>2597</v>
      </c>
      <c r="R45" s="3" t="s">
        <v>2592</v>
      </c>
      <c r="S45" s="130" t="s">
        <v>30</v>
      </c>
      <c r="T45" s="11"/>
      <c r="U45" s="11"/>
      <c r="V45" s="5" t="s">
        <v>2920</v>
      </c>
    </row>
    <row r="46" ht="22.5" customHeight="1">
      <c r="A46" s="10">
        <v>260295.0</v>
      </c>
      <c r="B46" s="4">
        <v>46039.22976650463</v>
      </c>
      <c r="C46" s="5" t="s">
        <v>2259</v>
      </c>
      <c r="D46" s="5" t="s">
        <v>2260</v>
      </c>
      <c r="E46" s="5" t="s">
        <v>2259</v>
      </c>
      <c r="F46" s="5" t="s">
        <v>17</v>
      </c>
      <c r="G46" s="11" t="s">
        <v>2261</v>
      </c>
      <c r="H46" s="11" t="s">
        <v>2262</v>
      </c>
      <c r="I46" s="11" t="s">
        <v>2263</v>
      </c>
      <c r="J46" s="11" t="s">
        <v>21</v>
      </c>
      <c r="K46" s="11" t="s">
        <v>2264</v>
      </c>
      <c r="L46" s="5" t="s">
        <v>23</v>
      </c>
      <c r="M46" s="5" t="s">
        <v>2265</v>
      </c>
      <c r="N46" s="5" t="s">
        <v>119</v>
      </c>
      <c r="O46" s="5" t="s">
        <v>257</v>
      </c>
      <c r="P46" s="5" t="s">
        <v>258</v>
      </c>
      <c r="Q46" s="3" t="s">
        <v>2864</v>
      </c>
      <c r="R46" s="3" t="s">
        <v>2921</v>
      </c>
      <c r="S46" s="130" t="s">
        <v>30</v>
      </c>
      <c r="T46" s="11"/>
      <c r="U46" s="11"/>
      <c r="V46" s="148" t="s">
        <v>2922</v>
      </c>
    </row>
    <row r="47" ht="22.5" customHeight="1">
      <c r="A47" s="10">
        <v>260296.0</v>
      </c>
      <c r="B47" s="4">
        <v>46039.26513753472</v>
      </c>
      <c r="C47" s="5" t="s">
        <v>2266</v>
      </c>
      <c r="D47" s="5" t="s">
        <v>2267</v>
      </c>
      <c r="E47" s="5" t="s">
        <v>2266</v>
      </c>
      <c r="F47" s="5" t="s">
        <v>17</v>
      </c>
      <c r="G47" s="11" t="s">
        <v>2268</v>
      </c>
      <c r="H47" s="13" t="s">
        <v>2269</v>
      </c>
      <c r="I47" s="11" t="s">
        <v>2270</v>
      </c>
      <c r="J47" s="11" t="s">
        <v>2271</v>
      </c>
      <c r="K47" s="11" t="s">
        <v>2272</v>
      </c>
      <c r="L47" s="5" t="s">
        <v>30</v>
      </c>
      <c r="M47" s="5" t="s">
        <v>2273</v>
      </c>
      <c r="N47" s="5" t="s">
        <v>39</v>
      </c>
      <c r="O47" s="5" t="s">
        <v>51</v>
      </c>
      <c r="P47" s="5" t="s">
        <v>52</v>
      </c>
      <c r="Q47" s="130" t="s">
        <v>2612</v>
      </c>
      <c r="R47" s="130" t="s">
        <v>2618</v>
      </c>
      <c r="S47" s="130" t="s">
        <v>30</v>
      </c>
      <c r="T47" s="11"/>
      <c r="U47" s="11"/>
      <c r="V47" s="5" t="s">
        <v>2923</v>
      </c>
    </row>
    <row r="48" ht="22.5" customHeight="1">
      <c r="A48" s="96">
        <v>260297.0</v>
      </c>
      <c r="B48" s="97">
        <v>46039.311226342594</v>
      </c>
      <c r="C48" s="98" t="s">
        <v>2274</v>
      </c>
      <c r="D48" s="98" t="s">
        <v>2275</v>
      </c>
      <c r="E48" s="98" t="s">
        <v>2274</v>
      </c>
      <c r="F48" s="98" t="s">
        <v>17</v>
      </c>
      <c r="G48" s="99" t="s">
        <v>2276</v>
      </c>
      <c r="H48" s="119" t="s">
        <v>2277</v>
      </c>
      <c r="I48" s="99" t="s">
        <v>2278</v>
      </c>
      <c r="J48" s="99" t="s">
        <v>2279</v>
      </c>
      <c r="K48" s="99" t="s">
        <v>2280</v>
      </c>
      <c r="L48" s="98" t="s">
        <v>162</v>
      </c>
      <c r="M48" s="98" t="s">
        <v>2281</v>
      </c>
      <c r="N48" s="98" t="s">
        <v>456</v>
      </c>
      <c r="O48" s="98" t="s">
        <v>1703</v>
      </c>
      <c r="P48" s="98" t="s">
        <v>1703</v>
      </c>
      <c r="Q48" s="98"/>
      <c r="R48" s="100"/>
      <c r="S48" s="120" t="s">
        <v>162</v>
      </c>
      <c r="T48" s="119" t="s">
        <v>2924</v>
      </c>
      <c r="U48" s="119" t="s">
        <v>2802</v>
      </c>
      <c r="V48" s="151" t="s">
        <v>2925</v>
      </c>
      <c r="W48" s="101"/>
      <c r="X48" s="101"/>
      <c r="Y48" s="101"/>
      <c r="Z48" s="101"/>
      <c r="AA48" s="101"/>
    </row>
    <row r="49" ht="22.5" customHeight="1">
      <c r="A49" s="14">
        <v>260298.0</v>
      </c>
      <c r="B49" s="4">
        <v>46039.498341597224</v>
      </c>
      <c r="C49" s="5" t="s">
        <v>2282</v>
      </c>
      <c r="D49" s="5" t="s">
        <v>2283</v>
      </c>
      <c r="E49" s="5" t="s">
        <v>2282</v>
      </c>
      <c r="F49" s="5" t="s">
        <v>17</v>
      </c>
      <c r="G49" s="13" t="s">
        <v>2284</v>
      </c>
      <c r="H49" s="13" t="s">
        <v>2285</v>
      </c>
      <c r="I49" s="11" t="s">
        <v>2286</v>
      </c>
      <c r="J49" s="11" t="s">
        <v>1243</v>
      </c>
      <c r="K49" s="11" t="s">
        <v>2287</v>
      </c>
      <c r="L49" s="5" t="s">
        <v>23</v>
      </c>
      <c r="M49" s="5" t="s">
        <v>1116</v>
      </c>
      <c r="N49" s="5" t="s">
        <v>119</v>
      </c>
      <c r="O49" s="5" t="s">
        <v>548</v>
      </c>
      <c r="P49" s="5" t="s">
        <v>566</v>
      </c>
      <c r="Q49" s="5" t="s">
        <v>2898</v>
      </c>
      <c r="R49" s="3" t="s">
        <v>2926</v>
      </c>
      <c r="S49" s="130" t="s">
        <v>30</v>
      </c>
      <c r="T49" s="11"/>
      <c r="U49" s="11"/>
      <c r="V49" s="5" t="s">
        <v>2927</v>
      </c>
    </row>
    <row r="50" ht="22.5" customHeight="1">
      <c r="A50" s="14">
        <v>260299.0</v>
      </c>
      <c r="B50" s="4">
        <v>46039.54242871528</v>
      </c>
      <c r="C50" s="4">
        <v>46039.54242871528</v>
      </c>
      <c r="D50" s="5" t="s">
        <v>2288</v>
      </c>
      <c r="E50" s="5" t="s">
        <v>2289</v>
      </c>
      <c r="F50" s="5" t="s">
        <v>64</v>
      </c>
      <c r="G50" s="13" t="s">
        <v>2290</v>
      </c>
      <c r="H50" s="13" t="s">
        <v>2291</v>
      </c>
      <c r="I50" s="11" t="s">
        <v>2170</v>
      </c>
      <c r="J50" s="11" t="s">
        <v>2292</v>
      </c>
      <c r="K50" s="11" t="s">
        <v>2293</v>
      </c>
      <c r="L50" s="5" t="s">
        <v>162</v>
      </c>
      <c r="M50" s="5" t="s">
        <v>2294</v>
      </c>
      <c r="N50" s="5" t="s">
        <v>119</v>
      </c>
      <c r="O50" s="5" t="s">
        <v>403</v>
      </c>
      <c r="P50" s="5" t="s">
        <v>1401</v>
      </c>
      <c r="Q50" s="3" t="s">
        <v>2716</v>
      </c>
      <c r="R50" s="3" t="s">
        <v>2401</v>
      </c>
      <c r="S50" s="130" t="s">
        <v>30</v>
      </c>
      <c r="T50" s="11"/>
      <c r="U50" s="11"/>
      <c r="V50" s="148" t="s">
        <v>2928</v>
      </c>
    </row>
    <row r="51" ht="22.5" customHeight="1">
      <c r="A51" s="10">
        <v>260300.0</v>
      </c>
      <c r="B51" s="4">
        <v>46039.56412962963</v>
      </c>
      <c r="C51" s="5" t="s">
        <v>2295</v>
      </c>
      <c r="D51" s="5" t="s">
        <v>2296</v>
      </c>
      <c r="E51" s="5" t="s">
        <v>2297</v>
      </c>
      <c r="F51" s="5" t="s">
        <v>17</v>
      </c>
      <c r="G51" s="11" t="s">
        <v>2298</v>
      </c>
      <c r="H51" s="13" t="s">
        <v>2299</v>
      </c>
      <c r="I51" s="11" t="s">
        <v>400</v>
      </c>
      <c r="J51" s="11" t="s">
        <v>2300</v>
      </c>
      <c r="K51" s="11" t="s">
        <v>2301</v>
      </c>
      <c r="L51" s="5" t="s">
        <v>30</v>
      </c>
      <c r="M51" s="5" t="s">
        <v>2302</v>
      </c>
      <c r="N51" s="5" t="s">
        <v>71</v>
      </c>
      <c r="O51" s="5" t="s">
        <v>592</v>
      </c>
      <c r="P51" s="5" t="s">
        <v>2303</v>
      </c>
      <c r="Q51" s="3" t="s">
        <v>2644</v>
      </c>
      <c r="R51" s="3" t="s">
        <v>2344</v>
      </c>
      <c r="S51" s="130" t="s">
        <v>30</v>
      </c>
      <c r="T51" s="11"/>
      <c r="U51" s="11"/>
      <c r="V51" s="148" t="s">
        <v>2929</v>
      </c>
    </row>
    <row r="52" ht="22.5" customHeight="1">
      <c r="A52" s="10">
        <v>260301.0</v>
      </c>
      <c r="B52" s="4">
        <v>46039.76005753472</v>
      </c>
      <c r="C52" s="5" t="s">
        <v>2304</v>
      </c>
      <c r="D52" s="5" t="s">
        <v>2305</v>
      </c>
      <c r="E52" s="5" t="s">
        <v>2304</v>
      </c>
      <c r="F52" s="5" t="s">
        <v>131</v>
      </c>
      <c r="G52" s="11" t="s">
        <v>2306</v>
      </c>
      <c r="H52" s="11" t="s">
        <v>2307</v>
      </c>
      <c r="I52" s="11" t="s">
        <v>22</v>
      </c>
      <c r="J52" s="11" t="s">
        <v>2308</v>
      </c>
      <c r="K52" s="11" t="s">
        <v>2309</v>
      </c>
      <c r="L52" s="5" t="s">
        <v>162</v>
      </c>
      <c r="M52" s="5" t="s">
        <v>2310</v>
      </c>
      <c r="N52" s="5" t="s">
        <v>456</v>
      </c>
      <c r="O52" s="5" t="s">
        <v>26</v>
      </c>
      <c r="P52" s="5" t="s">
        <v>26</v>
      </c>
      <c r="Q52" s="150" t="s">
        <v>2592</v>
      </c>
      <c r="R52" s="3" t="s">
        <v>2580</v>
      </c>
      <c r="S52" s="130" t="s">
        <v>30</v>
      </c>
      <c r="T52" s="11"/>
      <c r="U52" s="11"/>
      <c r="V52" s="5" t="s">
        <v>2930</v>
      </c>
    </row>
    <row r="53" ht="22.5" customHeight="1">
      <c r="A53" s="16"/>
      <c r="B53" s="2"/>
      <c r="C53" s="3"/>
      <c r="D53" s="3"/>
      <c r="E53" s="3"/>
      <c r="F53" s="3"/>
      <c r="G53" s="17"/>
      <c r="H53" s="17"/>
      <c r="I53" s="17"/>
      <c r="J53" s="17"/>
      <c r="K53" s="17"/>
      <c r="L53" s="3"/>
      <c r="M53" s="3"/>
      <c r="N53" s="3"/>
      <c r="O53" s="3"/>
      <c r="P53" s="3"/>
      <c r="Q53" s="12"/>
      <c r="R53" s="12"/>
      <c r="T53" s="11"/>
      <c r="U53" s="11"/>
      <c r="V53" s="12"/>
    </row>
    <row r="54" ht="22.5" customHeight="1">
      <c r="A54" s="152"/>
      <c r="B54" s="2"/>
      <c r="C54" s="3"/>
      <c r="D54" s="3"/>
      <c r="E54" s="3"/>
      <c r="F54" s="3"/>
      <c r="G54" s="17"/>
      <c r="H54" s="17"/>
      <c r="I54" s="17"/>
      <c r="J54" s="17"/>
      <c r="K54" s="17"/>
      <c r="L54" s="3"/>
      <c r="M54" s="3"/>
      <c r="N54" s="3"/>
      <c r="O54" s="3"/>
      <c r="P54" s="3"/>
      <c r="Q54" s="12"/>
      <c r="R54" s="12"/>
      <c r="T54" s="11"/>
      <c r="U54" s="11"/>
      <c r="V54" s="12"/>
    </row>
    <row r="55" ht="22.5" customHeight="1">
      <c r="A55" s="152"/>
      <c r="B55" s="2"/>
      <c r="C55" s="3"/>
      <c r="D55" s="3"/>
      <c r="E55" s="3"/>
      <c r="F55" s="3"/>
      <c r="G55" s="17"/>
      <c r="H55" s="17"/>
      <c r="I55" s="17"/>
      <c r="J55" s="17"/>
      <c r="K55" s="17"/>
      <c r="L55" s="3"/>
      <c r="M55" s="3"/>
      <c r="N55" s="3"/>
      <c r="O55" s="3"/>
      <c r="P55" s="3"/>
      <c r="Q55" s="12"/>
      <c r="R55" s="12"/>
      <c r="T55" s="11"/>
      <c r="U55" s="11"/>
      <c r="V55" s="12"/>
    </row>
    <row r="56" ht="22.5" customHeight="1">
      <c r="A56" s="152"/>
      <c r="B56" s="2"/>
      <c r="C56" s="3"/>
      <c r="D56" s="3"/>
      <c r="E56" s="3"/>
      <c r="F56" s="3"/>
      <c r="G56" s="17"/>
      <c r="H56" s="17"/>
      <c r="I56" s="17"/>
      <c r="J56" s="17"/>
      <c r="K56" s="17"/>
      <c r="L56" s="3"/>
      <c r="M56" s="3"/>
      <c r="N56" s="3"/>
      <c r="O56" s="3"/>
      <c r="P56" s="3"/>
      <c r="Q56" s="12"/>
      <c r="R56" s="12"/>
      <c r="T56" s="11"/>
      <c r="U56" s="11"/>
      <c r="V56" s="12"/>
    </row>
    <row r="57" ht="22.5" customHeight="1">
      <c r="A57" s="152"/>
      <c r="B57" s="2"/>
      <c r="C57" s="3"/>
      <c r="D57" s="3"/>
      <c r="E57" s="3"/>
      <c r="F57" s="3"/>
      <c r="G57" s="17"/>
      <c r="H57" s="17"/>
      <c r="I57" s="17"/>
      <c r="J57" s="17"/>
      <c r="K57" s="17"/>
      <c r="L57" s="3"/>
      <c r="M57" s="3"/>
      <c r="N57" s="3"/>
      <c r="O57" s="3"/>
      <c r="P57" s="3"/>
      <c r="Q57" s="12"/>
      <c r="R57" s="12"/>
      <c r="T57" s="11"/>
      <c r="U57" s="11"/>
      <c r="V57" s="12"/>
    </row>
    <row r="58" ht="22.5" customHeight="1">
      <c r="A58" s="152"/>
      <c r="B58" s="2"/>
      <c r="C58" s="3"/>
      <c r="D58" s="3"/>
      <c r="E58" s="3"/>
      <c r="F58" s="3"/>
      <c r="G58" s="17"/>
      <c r="H58" s="17"/>
      <c r="I58" s="17"/>
      <c r="J58" s="17"/>
      <c r="K58" s="17"/>
      <c r="L58" s="3"/>
      <c r="M58" s="3"/>
      <c r="N58" s="3"/>
      <c r="O58" s="3"/>
      <c r="P58" s="3"/>
      <c r="Q58" s="12"/>
      <c r="R58" s="12"/>
      <c r="T58" s="11"/>
      <c r="U58" s="11"/>
      <c r="V58" s="12"/>
    </row>
    <row r="59" ht="22.5" customHeight="1">
      <c r="A59" s="152"/>
      <c r="B59" s="2"/>
      <c r="C59" s="3"/>
      <c r="D59" s="3"/>
      <c r="E59" s="3"/>
      <c r="F59" s="3"/>
      <c r="G59" s="17"/>
      <c r="H59" s="17"/>
      <c r="I59" s="17"/>
      <c r="J59" s="17"/>
      <c r="K59" s="17"/>
      <c r="L59" s="3"/>
      <c r="M59" s="3"/>
      <c r="N59" s="3"/>
      <c r="O59" s="3"/>
      <c r="P59" s="3"/>
      <c r="Q59" s="12"/>
      <c r="R59" s="12"/>
      <c r="T59" s="11"/>
      <c r="U59" s="11"/>
      <c r="V59" s="12"/>
    </row>
    <row r="60" ht="22.5" customHeight="1">
      <c r="A60" s="152"/>
      <c r="B60" s="2"/>
      <c r="C60" s="3"/>
      <c r="D60" s="3"/>
      <c r="E60" s="3"/>
      <c r="F60" s="3"/>
      <c r="G60" s="17"/>
      <c r="H60" s="17"/>
      <c r="I60" s="17"/>
      <c r="J60" s="17"/>
      <c r="K60" s="17"/>
      <c r="L60" s="3"/>
      <c r="M60" s="3"/>
      <c r="N60" s="3"/>
      <c r="O60" s="3"/>
      <c r="P60" s="3"/>
      <c r="Q60" s="12"/>
      <c r="R60" s="12"/>
      <c r="T60" s="11"/>
      <c r="U60" s="11"/>
      <c r="V60" s="12"/>
    </row>
    <row r="61" ht="22.5" customHeight="1">
      <c r="A61" s="152"/>
      <c r="B61" s="2"/>
      <c r="C61" s="3"/>
      <c r="D61" s="3"/>
      <c r="E61" s="3"/>
      <c r="F61" s="3"/>
      <c r="G61" s="17"/>
      <c r="H61" s="17"/>
      <c r="I61" s="17"/>
      <c r="J61" s="17"/>
      <c r="K61" s="17"/>
      <c r="L61" s="3"/>
      <c r="M61" s="3"/>
      <c r="N61" s="3"/>
      <c r="O61" s="3"/>
      <c r="P61" s="3"/>
      <c r="Q61" s="12"/>
      <c r="R61" s="12"/>
      <c r="T61" s="11"/>
      <c r="U61" s="11"/>
      <c r="V61" s="12"/>
    </row>
    <row r="62" ht="22.5" customHeight="1">
      <c r="A62" s="152"/>
      <c r="B62" s="2"/>
      <c r="C62" s="3"/>
      <c r="D62" s="3"/>
      <c r="E62" s="3"/>
      <c r="F62" s="3"/>
      <c r="G62" s="17"/>
      <c r="H62" s="17"/>
      <c r="I62" s="17"/>
      <c r="J62" s="17"/>
      <c r="K62" s="17"/>
      <c r="L62" s="3"/>
      <c r="M62" s="3"/>
      <c r="N62" s="3"/>
      <c r="O62" s="3"/>
      <c r="P62" s="3"/>
      <c r="Q62" s="12"/>
      <c r="R62" s="12"/>
      <c r="T62" s="11"/>
      <c r="U62" s="11"/>
      <c r="V62" s="12"/>
    </row>
    <row r="63" ht="22.5" customHeight="1">
      <c r="A63" s="152"/>
      <c r="B63" s="2"/>
      <c r="C63" s="3"/>
      <c r="D63" s="3"/>
      <c r="E63" s="3"/>
      <c r="F63" s="3"/>
      <c r="G63" s="17"/>
      <c r="H63" s="17"/>
      <c r="I63" s="17"/>
      <c r="J63" s="17"/>
      <c r="K63" s="17"/>
      <c r="L63" s="3"/>
      <c r="M63" s="3"/>
      <c r="N63" s="3"/>
      <c r="O63" s="3"/>
      <c r="P63" s="3"/>
      <c r="Q63" s="12"/>
      <c r="R63" s="12"/>
      <c r="T63" s="11"/>
      <c r="U63" s="11"/>
      <c r="V63" s="12"/>
    </row>
    <row r="64" ht="22.5" customHeight="1">
      <c r="A64" s="152"/>
      <c r="B64" s="2"/>
      <c r="C64" s="3"/>
      <c r="D64" s="3"/>
      <c r="E64" s="3"/>
      <c r="F64" s="3"/>
      <c r="G64" s="17"/>
      <c r="H64" s="17"/>
      <c r="I64" s="17"/>
      <c r="J64" s="17"/>
      <c r="K64" s="17"/>
      <c r="L64" s="3"/>
      <c r="M64" s="3"/>
      <c r="N64" s="3"/>
      <c r="O64" s="3"/>
      <c r="P64" s="3"/>
      <c r="Q64" s="12"/>
      <c r="R64" s="12"/>
      <c r="T64" s="11"/>
      <c r="U64" s="11"/>
      <c r="V64" s="12"/>
    </row>
    <row r="65" ht="22.5" customHeight="1">
      <c r="A65" s="152"/>
      <c r="B65" s="2"/>
      <c r="C65" s="3"/>
      <c r="D65" s="3"/>
      <c r="E65" s="3"/>
      <c r="F65" s="3"/>
      <c r="G65" s="17"/>
      <c r="H65" s="17"/>
      <c r="I65" s="17"/>
      <c r="J65" s="17"/>
      <c r="K65" s="17"/>
      <c r="L65" s="3"/>
      <c r="M65" s="3"/>
      <c r="N65" s="3"/>
      <c r="O65" s="3"/>
      <c r="P65" s="3"/>
      <c r="Q65" s="12"/>
      <c r="R65" s="12"/>
      <c r="T65" s="11"/>
      <c r="U65" s="11"/>
      <c r="V65" s="12"/>
    </row>
    <row r="66" ht="22.5" customHeight="1">
      <c r="A66" s="152"/>
      <c r="B66" s="2"/>
      <c r="C66" s="3"/>
      <c r="D66" s="3"/>
      <c r="E66" s="3"/>
      <c r="F66" s="3"/>
      <c r="G66" s="17"/>
      <c r="H66" s="17"/>
      <c r="I66" s="17"/>
      <c r="J66" s="17"/>
      <c r="K66" s="17"/>
      <c r="L66" s="3"/>
      <c r="M66" s="3"/>
      <c r="N66" s="3"/>
      <c r="O66" s="3"/>
      <c r="P66" s="3"/>
      <c r="Q66" s="12"/>
      <c r="R66" s="12"/>
      <c r="T66" s="11"/>
      <c r="U66" s="11"/>
      <c r="V66" s="12"/>
    </row>
    <row r="67" ht="22.5" customHeight="1">
      <c r="A67" s="152"/>
      <c r="B67" s="2"/>
      <c r="C67" s="3"/>
      <c r="D67" s="3"/>
      <c r="E67" s="3"/>
      <c r="F67" s="3"/>
      <c r="G67" s="17"/>
      <c r="H67" s="17"/>
      <c r="I67" s="17"/>
      <c r="J67" s="17"/>
      <c r="K67" s="17"/>
      <c r="L67" s="3"/>
      <c r="M67" s="3"/>
      <c r="N67" s="3"/>
      <c r="O67" s="3"/>
      <c r="P67" s="3"/>
      <c r="Q67" s="12"/>
      <c r="R67" s="12"/>
      <c r="T67" s="11"/>
      <c r="U67" s="11"/>
      <c r="V67" s="12"/>
    </row>
    <row r="68" ht="22.5" customHeight="1">
      <c r="A68" s="152"/>
      <c r="B68" s="2"/>
      <c r="C68" s="3"/>
      <c r="D68" s="3"/>
      <c r="E68" s="3"/>
      <c r="F68" s="3"/>
      <c r="G68" s="17"/>
      <c r="H68" s="17"/>
      <c r="I68" s="17"/>
      <c r="J68" s="17"/>
      <c r="K68" s="17"/>
      <c r="L68" s="3"/>
      <c r="M68" s="3"/>
      <c r="N68" s="3"/>
      <c r="O68" s="3"/>
      <c r="P68" s="3"/>
      <c r="Q68" s="12"/>
      <c r="R68" s="12"/>
      <c r="T68" s="11"/>
      <c r="U68" s="11"/>
      <c r="V68" s="12"/>
    </row>
    <row r="69" ht="22.5" customHeight="1">
      <c r="A69" s="152"/>
      <c r="B69" s="2"/>
      <c r="C69" s="3"/>
      <c r="D69" s="3"/>
      <c r="E69" s="3"/>
      <c r="F69" s="3"/>
      <c r="G69" s="17"/>
      <c r="H69" s="17"/>
      <c r="I69" s="17"/>
      <c r="J69" s="17"/>
      <c r="K69" s="17"/>
      <c r="L69" s="3"/>
      <c r="M69" s="3"/>
      <c r="N69" s="3"/>
      <c r="O69" s="3"/>
      <c r="P69" s="3"/>
      <c r="Q69" s="12"/>
      <c r="R69" s="12"/>
      <c r="T69" s="11"/>
      <c r="U69" s="11"/>
      <c r="V69" s="12"/>
    </row>
    <row r="70" ht="22.5" customHeight="1">
      <c r="A70" s="152"/>
      <c r="B70" s="2"/>
      <c r="C70" s="3"/>
      <c r="D70" s="3"/>
      <c r="E70" s="3"/>
      <c r="F70" s="3"/>
      <c r="G70" s="17"/>
      <c r="H70" s="17"/>
      <c r="I70" s="17"/>
      <c r="J70" s="17"/>
      <c r="K70" s="17"/>
      <c r="L70" s="3"/>
      <c r="M70" s="3"/>
      <c r="N70" s="3"/>
      <c r="O70" s="3"/>
      <c r="P70" s="3"/>
      <c r="Q70" s="12"/>
      <c r="R70" s="12"/>
      <c r="T70" s="11"/>
      <c r="U70" s="11"/>
      <c r="V70" s="12"/>
    </row>
    <row r="71" ht="22.5" customHeight="1">
      <c r="A71" s="152"/>
      <c r="B71" s="2"/>
      <c r="C71" s="3"/>
      <c r="D71" s="3"/>
      <c r="E71" s="3"/>
      <c r="F71" s="3"/>
      <c r="G71" s="17"/>
      <c r="H71" s="17"/>
      <c r="I71" s="17"/>
      <c r="J71" s="17"/>
      <c r="K71" s="17"/>
      <c r="L71" s="3"/>
      <c r="M71" s="3"/>
      <c r="N71" s="3"/>
      <c r="O71" s="3"/>
      <c r="P71" s="3"/>
      <c r="Q71" s="12"/>
      <c r="R71" s="12"/>
      <c r="T71" s="11"/>
      <c r="U71" s="11"/>
      <c r="V71" s="12"/>
    </row>
    <row r="72" ht="22.5" customHeight="1">
      <c r="A72" s="152"/>
      <c r="B72" s="2"/>
      <c r="C72" s="3"/>
      <c r="D72" s="3"/>
      <c r="E72" s="3"/>
      <c r="F72" s="3"/>
      <c r="G72" s="17"/>
      <c r="H72" s="17"/>
      <c r="I72" s="17"/>
      <c r="J72" s="17"/>
      <c r="K72" s="17"/>
      <c r="L72" s="3"/>
      <c r="M72" s="3"/>
      <c r="N72" s="3"/>
      <c r="O72" s="3"/>
      <c r="P72" s="3"/>
      <c r="Q72" s="12"/>
      <c r="R72" s="12"/>
      <c r="T72" s="110"/>
      <c r="U72" s="110"/>
      <c r="V72" s="12"/>
    </row>
    <row r="73" ht="22.5" customHeight="1">
      <c r="A73" s="152"/>
      <c r="B73" s="2"/>
      <c r="C73" s="3"/>
      <c r="D73" s="3"/>
      <c r="E73" s="3"/>
      <c r="F73" s="3"/>
      <c r="G73" s="17"/>
      <c r="H73" s="17"/>
      <c r="I73" s="17"/>
      <c r="J73" s="17"/>
      <c r="K73" s="17"/>
      <c r="L73" s="3"/>
      <c r="M73" s="3"/>
      <c r="N73" s="3"/>
      <c r="O73" s="3"/>
      <c r="P73" s="3"/>
      <c r="Q73" s="12"/>
      <c r="R73" s="12"/>
      <c r="T73" s="110"/>
      <c r="U73" s="110"/>
      <c r="V73" s="12"/>
    </row>
    <row r="74" ht="22.5" customHeight="1">
      <c r="A74" s="152"/>
      <c r="B74" s="2"/>
      <c r="C74" s="3"/>
      <c r="D74" s="3"/>
      <c r="E74" s="3"/>
      <c r="F74" s="3"/>
      <c r="G74" s="17"/>
      <c r="H74" s="17"/>
      <c r="I74" s="17"/>
      <c r="J74" s="17"/>
      <c r="K74" s="17"/>
      <c r="L74" s="3"/>
      <c r="M74" s="3"/>
      <c r="N74" s="3"/>
      <c r="O74" s="3"/>
      <c r="P74" s="3"/>
      <c r="Q74" s="12"/>
      <c r="R74" s="12"/>
      <c r="T74" s="110"/>
      <c r="U74" s="110"/>
      <c r="V74" s="12"/>
    </row>
    <row r="75" ht="22.5" customHeight="1">
      <c r="A75" s="152"/>
      <c r="B75" s="2"/>
      <c r="C75" s="3"/>
      <c r="D75" s="3"/>
      <c r="E75" s="3"/>
      <c r="F75" s="3"/>
      <c r="G75" s="17"/>
      <c r="H75" s="17"/>
      <c r="I75" s="17"/>
      <c r="J75" s="17"/>
      <c r="K75" s="17"/>
      <c r="L75" s="3"/>
      <c r="M75" s="3"/>
      <c r="N75" s="3"/>
      <c r="O75" s="3"/>
      <c r="P75" s="3"/>
      <c r="Q75" s="12"/>
      <c r="R75" s="12"/>
      <c r="T75" s="110"/>
      <c r="U75" s="110"/>
      <c r="V75" s="12"/>
    </row>
    <row r="76" ht="22.5" customHeight="1">
      <c r="A76" s="152"/>
      <c r="B76" s="2"/>
      <c r="C76" s="3"/>
      <c r="D76" s="3"/>
      <c r="E76" s="3"/>
      <c r="F76" s="3"/>
      <c r="G76" s="17"/>
      <c r="H76" s="17"/>
      <c r="I76" s="17"/>
      <c r="J76" s="17"/>
      <c r="K76" s="17"/>
      <c r="L76" s="3"/>
      <c r="M76" s="3"/>
      <c r="N76" s="3"/>
      <c r="O76" s="3"/>
      <c r="P76" s="3"/>
      <c r="Q76" s="12"/>
      <c r="R76" s="12"/>
      <c r="T76" s="110"/>
      <c r="U76" s="110"/>
      <c r="V76" s="12"/>
    </row>
    <row r="77" ht="22.5" customHeight="1">
      <c r="A77" s="152"/>
      <c r="B77" s="2"/>
      <c r="C77" s="3"/>
      <c r="D77" s="3"/>
      <c r="E77" s="3"/>
      <c r="F77" s="3"/>
      <c r="G77" s="17"/>
      <c r="H77" s="17"/>
      <c r="I77" s="17"/>
      <c r="J77" s="17"/>
      <c r="K77" s="17"/>
      <c r="L77" s="3"/>
      <c r="M77" s="3"/>
      <c r="N77" s="3"/>
      <c r="O77" s="3"/>
      <c r="P77" s="3"/>
      <c r="Q77" s="12"/>
      <c r="R77" s="12"/>
      <c r="T77" s="110"/>
      <c r="U77" s="110"/>
      <c r="V77" s="12"/>
    </row>
    <row r="78" ht="22.5" customHeight="1">
      <c r="A78" s="152"/>
      <c r="B78" s="2"/>
      <c r="C78" s="3"/>
      <c r="D78" s="3"/>
      <c r="E78" s="3"/>
      <c r="F78" s="3"/>
      <c r="G78" s="17"/>
      <c r="H78" s="17"/>
      <c r="I78" s="17"/>
      <c r="J78" s="17"/>
      <c r="K78" s="17"/>
      <c r="L78" s="3"/>
      <c r="M78" s="3"/>
      <c r="N78" s="3"/>
      <c r="O78" s="3"/>
      <c r="P78" s="3"/>
      <c r="Q78" s="12"/>
      <c r="R78" s="12"/>
      <c r="T78" s="110"/>
      <c r="U78" s="110"/>
      <c r="V78" s="12"/>
    </row>
    <row r="79" ht="22.5" customHeight="1">
      <c r="A79" s="152"/>
      <c r="B79" s="2"/>
      <c r="C79" s="3"/>
      <c r="D79" s="3"/>
      <c r="E79" s="3"/>
      <c r="F79" s="3"/>
      <c r="G79" s="17"/>
      <c r="H79" s="17"/>
      <c r="I79" s="17"/>
      <c r="J79" s="17"/>
      <c r="K79" s="17"/>
      <c r="L79" s="3"/>
      <c r="M79" s="3"/>
      <c r="N79" s="3"/>
      <c r="O79" s="3"/>
      <c r="P79" s="3"/>
      <c r="Q79" s="12"/>
      <c r="R79" s="12"/>
      <c r="T79" s="110"/>
      <c r="U79" s="110"/>
      <c r="V79" s="12"/>
    </row>
    <row r="80" ht="22.5" customHeight="1">
      <c r="A80" s="152"/>
      <c r="B80" s="2"/>
      <c r="C80" s="3"/>
      <c r="D80" s="3"/>
      <c r="E80" s="3"/>
      <c r="F80" s="3"/>
      <c r="G80" s="17"/>
      <c r="H80" s="17"/>
      <c r="I80" s="17"/>
      <c r="J80" s="17"/>
      <c r="K80" s="17"/>
      <c r="L80" s="3"/>
      <c r="M80" s="3"/>
      <c r="N80" s="3"/>
      <c r="O80" s="3"/>
      <c r="P80" s="3"/>
      <c r="Q80" s="12"/>
      <c r="R80" s="12"/>
      <c r="T80" s="110"/>
      <c r="U80" s="110"/>
      <c r="V80" s="12"/>
    </row>
    <row r="81" ht="22.5" customHeight="1">
      <c r="A81" s="152"/>
      <c r="B81" s="2"/>
      <c r="C81" s="3"/>
      <c r="D81" s="3"/>
      <c r="E81" s="3"/>
      <c r="F81" s="3"/>
      <c r="G81" s="17"/>
      <c r="H81" s="17"/>
      <c r="I81" s="17"/>
      <c r="J81" s="17"/>
      <c r="K81" s="17"/>
      <c r="L81" s="3"/>
      <c r="M81" s="3"/>
      <c r="N81" s="3"/>
      <c r="O81" s="3"/>
      <c r="P81" s="3"/>
      <c r="Q81" s="12"/>
      <c r="R81" s="12"/>
      <c r="T81" s="110"/>
      <c r="U81" s="110"/>
      <c r="V81" s="12"/>
    </row>
    <row r="82" ht="22.5" customHeight="1">
      <c r="A82" s="152"/>
      <c r="B82" s="2"/>
      <c r="C82" s="3"/>
      <c r="D82" s="3"/>
      <c r="E82" s="3"/>
      <c r="F82" s="3"/>
      <c r="G82" s="17"/>
      <c r="H82" s="17"/>
      <c r="I82" s="17"/>
      <c r="J82" s="17"/>
      <c r="K82" s="17"/>
      <c r="L82" s="3"/>
      <c r="M82" s="3"/>
      <c r="N82" s="3"/>
      <c r="O82" s="3"/>
      <c r="P82" s="3"/>
      <c r="Q82" s="12"/>
      <c r="R82" s="12"/>
      <c r="T82" s="110"/>
      <c r="U82" s="110"/>
      <c r="V82" s="12"/>
    </row>
    <row r="83" ht="22.5" customHeight="1">
      <c r="A83" s="152"/>
      <c r="B83" s="2"/>
      <c r="C83" s="3"/>
      <c r="D83" s="3"/>
      <c r="E83" s="3"/>
      <c r="F83" s="3"/>
      <c r="G83" s="17"/>
      <c r="H83" s="17"/>
      <c r="I83" s="17"/>
      <c r="J83" s="17"/>
      <c r="K83" s="17"/>
      <c r="L83" s="3"/>
      <c r="M83" s="3"/>
      <c r="N83" s="3"/>
      <c r="O83" s="3"/>
      <c r="P83" s="3"/>
      <c r="Q83" s="12"/>
      <c r="R83" s="12"/>
      <c r="T83" s="110"/>
      <c r="U83" s="110"/>
      <c r="V83" s="12"/>
    </row>
    <row r="84" ht="22.5" customHeight="1">
      <c r="A84" s="152"/>
      <c r="B84" s="2"/>
      <c r="C84" s="3"/>
      <c r="D84" s="3"/>
      <c r="E84" s="3"/>
      <c r="F84" s="3"/>
      <c r="G84" s="17"/>
      <c r="H84" s="17"/>
      <c r="I84" s="17"/>
      <c r="J84" s="17"/>
      <c r="K84" s="17"/>
      <c r="L84" s="3"/>
      <c r="M84" s="3"/>
      <c r="N84" s="3"/>
      <c r="O84" s="3"/>
      <c r="P84" s="3"/>
      <c r="Q84" s="12"/>
      <c r="R84" s="12"/>
      <c r="T84" s="110"/>
      <c r="U84" s="110"/>
      <c r="V84" s="12"/>
    </row>
    <row r="85" ht="22.5" customHeight="1">
      <c r="A85" s="152"/>
      <c r="B85" s="2"/>
      <c r="C85" s="3"/>
      <c r="D85" s="3"/>
      <c r="E85" s="3"/>
      <c r="F85" s="3"/>
      <c r="G85" s="17"/>
      <c r="H85" s="17"/>
      <c r="I85" s="17"/>
      <c r="J85" s="17"/>
      <c r="K85" s="17"/>
      <c r="L85" s="3"/>
      <c r="M85" s="3"/>
      <c r="N85" s="3"/>
      <c r="O85" s="3"/>
      <c r="P85" s="3"/>
      <c r="Q85" s="12"/>
      <c r="R85" s="12"/>
      <c r="T85" s="110"/>
      <c r="U85" s="110"/>
      <c r="V85" s="12"/>
    </row>
    <row r="86" ht="22.5" customHeight="1">
      <c r="A86" s="152"/>
      <c r="B86" s="2"/>
      <c r="C86" s="3"/>
      <c r="D86" s="3"/>
      <c r="E86" s="3"/>
      <c r="F86" s="3"/>
      <c r="G86" s="17"/>
      <c r="H86" s="17"/>
      <c r="I86" s="17"/>
      <c r="J86" s="17"/>
      <c r="K86" s="17"/>
      <c r="L86" s="3"/>
      <c r="M86" s="3"/>
      <c r="N86" s="3"/>
      <c r="O86" s="3"/>
      <c r="P86" s="3"/>
      <c r="Q86" s="12"/>
      <c r="R86" s="12"/>
      <c r="T86" s="110"/>
      <c r="U86" s="110"/>
      <c r="V86" s="12"/>
    </row>
    <row r="87" ht="22.5" customHeight="1">
      <c r="A87" s="152"/>
      <c r="B87" s="2"/>
      <c r="C87" s="3"/>
      <c r="D87" s="3"/>
      <c r="E87" s="3"/>
      <c r="F87" s="3"/>
      <c r="G87" s="17"/>
      <c r="H87" s="17"/>
      <c r="I87" s="17"/>
      <c r="J87" s="17"/>
      <c r="K87" s="17"/>
      <c r="L87" s="3"/>
      <c r="M87" s="3"/>
      <c r="N87" s="3"/>
      <c r="O87" s="3"/>
      <c r="P87" s="3"/>
      <c r="Q87" s="12"/>
      <c r="R87" s="12"/>
      <c r="T87" s="110"/>
      <c r="U87" s="110"/>
      <c r="V87" s="12"/>
    </row>
    <row r="88" ht="22.5" customHeight="1">
      <c r="A88" s="152"/>
      <c r="B88" s="2"/>
      <c r="C88" s="3"/>
      <c r="D88" s="3"/>
      <c r="E88" s="3"/>
      <c r="F88" s="3"/>
      <c r="G88" s="17"/>
      <c r="H88" s="17"/>
      <c r="I88" s="17"/>
      <c r="J88" s="17"/>
      <c r="K88" s="17"/>
      <c r="L88" s="3"/>
      <c r="M88" s="3"/>
      <c r="N88" s="3"/>
      <c r="O88" s="3"/>
      <c r="P88" s="3"/>
      <c r="Q88" s="12"/>
      <c r="R88" s="12"/>
      <c r="T88" s="110"/>
      <c r="U88" s="110"/>
      <c r="V88" s="12"/>
    </row>
    <row r="89" ht="22.5" customHeight="1">
      <c r="A89" s="152"/>
      <c r="B89" s="2"/>
      <c r="C89" s="3"/>
      <c r="D89" s="3"/>
      <c r="E89" s="3"/>
      <c r="F89" s="3"/>
      <c r="G89" s="17"/>
      <c r="H89" s="17"/>
      <c r="I89" s="17"/>
      <c r="J89" s="17"/>
      <c r="K89" s="17"/>
      <c r="L89" s="3"/>
      <c r="M89" s="3"/>
      <c r="N89" s="3"/>
      <c r="O89" s="3"/>
      <c r="P89" s="3"/>
      <c r="Q89" s="12"/>
      <c r="R89" s="12"/>
      <c r="T89" s="110"/>
      <c r="U89" s="110"/>
      <c r="V89" s="12"/>
    </row>
    <row r="90" ht="22.5" customHeight="1">
      <c r="A90" s="152"/>
      <c r="B90" s="2"/>
      <c r="C90" s="3"/>
      <c r="D90" s="3"/>
      <c r="E90" s="3"/>
      <c r="F90" s="3"/>
      <c r="G90" s="17"/>
      <c r="H90" s="17"/>
      <c r="I90" s="17"/>
      <c r="J90" s="17"/>
      <c r="K90" s="17"/>
      <c r="L90" s="3"/>
      <c r="M90" s="3"/>
      <c r="N90" s="3"/>
      <c r="O90" s="3"/>
      <c r="P90" s="3"/>
      <c r="Q90" s="12"/>
      <c r="R90" s="12"/>
      <c r="T90" s="110"/>
      <c r="U90" s="110"/>
      <c r="V90" s="12"/>
    </row>
    <row r="91" ht="22.5" customHeight="1">
      <c r="A91" s="152"/>
      <c r="B91" s="2"/>
      <c r="C91" s="3"/>
      <c r="D91" s="3"/>
      <c r="E91" s="3"/>
      <c r="F91" s="3"/>
      <c r="G91" s="17"/>
      <c r="H91" s="17"/>
      <c r="I91" s="17"/>
      <c r="J91" s="17"/>
      <c r="K91" s="17"/>
      <c r="L91" s="3"/>
      <c r="M91" s="3"/>
      <c r="N91" s="3"/>
      <c r="O91" s="3"/>
      <c r="P91" s="3"/>
      <c r="Q91" s="12"/>
      <c r="R91" s="12"/>
      <c r="T91" s="110"/>
      <c r="U91" s="110"/>
      <c r="V91" s="12"/>
    </row>
    <row r="92" ht="22.5" customHeight="1">
      <c r="A92" s="152"/>
      <c r="B92" s="2"/>
      <c r="C92" s="3"/>
      <c r="D92" s="3"/>
      <c r="E92" s="3"/>
      <c r="F92" s="3"/>
      <c r="G92" s="17"/>
      <c r="H92" s="17"/>
      <c r="I92" s="17"/>
      <c r="J92" s="17"/>
      <c r="K92" s="17"/>
      <c r="L92" s="3"/>
      <c r="M92" s="3"/>
      <c r="N92" s="3"/>
      <c r="O92" s="3"/>
      <c r="P92" s="3"/>
      <c r="Q92" s="12"/>
      <c r="R92" s="12"/>
      <c r="T92" s="110"/>
      <c r="U92" s="110"/>
      <c r="V92" s="12"/>
    </row>
    <row r="93" ht="22.5" customHeight="1">
      <c r="A93" s="152"/>
      <c r="B93" s="2"/>
      <c r="C93" s="3"/>
      <c r="D93" s="3"/>
      <c r="E93" s="3"/>
      <c r="F93" s="3"/>
      <c r="G93" s="17"/>
      <c r="H93" s="17"/>
      <c r="I93" s="17"/>
      <c r="J93" s="17"/>
      <c r="K93" s="17"/>
      <c r="L93" s="3"/>
      <c r="M93" s="3"/>
      <c r="N93" s="3"/>
      <c r="O93" s="3"/>
      <c r="P93" s="3"/>
      <c r="Q93" s="12"/>
      <c r="R93" s="12"/>
      <c r="T93" s="110"/>
      <c r="U93" s="110"/>
      <c r="V93" s="12"/>
    </row>
    <row r="94" ht="22.5" customHeight="1">
      <c r="A94" s="152"/>
      <c r="B94" s="2"/>
      <c r="C94" s="3"/>
      <c r="D94" s="3"/>
      <c r="E94" s="3"/>
      <c r="F94" s="3"/>
      <c r="G94" s="17"/>
      <c r="H94" s="17"/>
      <c r="I94" s="17"/>
      <c r="J94" s="17"/>
      <c r="K94" s="17"/>
      <c r="L94" s="3"/>
      <c r="M94" s="3"/>
      <c r="N94" s="3"/>
      <c r="O94" s="3"/>
      <c r="P94" s="3"/>
      <c r="Q94" s="12"/>
      <c r="R94" s="12"/>
      <c r="T94" s="110"/>
      <c r="U94" s="110"/>
      <c r="V94" s="12"/>
    </row>
    <row r="95" ht="22.5" customHeight="1">
      <c r="A95" s="152"/>
      <c r="B95" s="2"/>
      <c r="C95" s="3"/>
      <c r="D95" s="3"/>
      <c r="E95" s="3"/>
      <c r="F95" s="3"/>
      <c r="G95" s="17"/>
      <c r="H95" s="17"/>
      <c r="I95" s="17"/>
      <c r="J95" s="17"/>
      <c r="K95" s="17"/>
      <c r="L95" s="3"/>
      <c r="M95" s="3"/>
      <c r="N95" s="3"/>
      <c r="O95" s="3"/>
      <c r="P95" s="3"/>
      <c r="Q95" s="12"/>
      <c r="R95" s="12"/>
      <c r="T95" s="110"/>
      <c r="U95" s="110"/>
      <c r="V95" s="12"/>
    </row>
    <row r="96" ht="22.5" customHeight="1">
      <c r="A96" s="152"/>
      <c r="B96" s="2"/>
      <c r="C96" s="3"/>
      <c r="D96" s="3"/>
      <c r="E96" s="3"/>
      <c r="F96" s="3"/>
      <c r="G96" s="17"/>
      <c r="H96" s="17"/>
      <c r="I96" s="17"/>
      <c r="J96" s="17"/>
      <c r="K96" s="17"/>
      <c r="L96" s="3"/>
      <c r="M96" s="3"/>
      <c r="N96" s="3"/>
      <c r="O96" s="3"/>
      <c r="P96" s="3"/>
      <c r="Q96" s="12"/>
      <c r="R96" s="12"/>
      <c r="T96" s="110"/>
      <c r="U96" s="110"/>
      <c r="V96" s="12"/>
    </row>
    <row r="97" ht="22.5" customHeight="1">
      <c r="A97" s="152"/>
      <c r="B97" s="2"/>
      <c r="C97" s="3"/>
      <c r="D97" s="3"/>
      <c r="E97" s="3"/>
      <c r="F97" s="3"/>
      <c r="G97" s="17"/>
      <c r="H97" s="17"/>
      <c r="I97" s="17"/>
      <c r="J97" s="17"/>
      <c r="K97" s="17"/>
      <c r="L97" s="3"/>
      <c r="M97" s="3"/>
      <c r="N97" s="3"/>
      <c r="O97" s="3"/>
      <c r="P97" s="3"/>
      <c r="Q97" s="12"/>
      <c r="R97" s="12"/>
      <c r="T97" s="110"/>
      <c r="U97" s="110"/>
      <c r="V97" s="12"/>
    </row>
    <row r="98" ht="22.5" customHeight="1">
      <c r="A98" s="152"/>
      <c r="B98" s="2"/>
      <c r="C98" s="3"/>
      <c r="D98" s="3"/>
      <c r="E98" s="3"/>
      <c r="F98" s="3"/>
      <c r="G98" s="17"/>
      <c r="H98" s="17"/>
      <c r="I98" s="17"/>
      <c r="J98" s="17"/>
      <c r="K98" s="17"/>
      <c r="L98" s="3"/>
      <c r="M98" s="3"/>
      <c r="N98" s="3"/>
      <c r="O98" s="3"/>
      <c r="P98" s="3"/>
      <c r="Q98" s="12"/>
      <c r="R98" s="12"/>
      <c r="T98" s="110"/>
      <c r="U98" s="110"/>
      <c r="V98" s="12"/>
    </row>
    <row r="99" ht="22.5" customHeight="1">
      <c r="A99" s="152"/>
      <c r="B99" s="2"/>
      <c r="C99" s="3"/>
      <c r="D99" s="3"/>
      <c r="E99" s="3"/>
      <c r="F99" s="3"/>
      <c r="G99" s="17"/>
      <c r="H99" s="17"/>
      <c r="I99" s="17"/>
      <c r="J99" s="17"/>
      <c r="K99" s="17"/>
      <c r="L99" s="3"/>
      <c r="M99" s="3"/>
      <c r="N99" s="3"/>
      <c r="O99" s="3"/>
      <c r="P99" s="3"/>
      <c r="Q99" s="12"/>
      <c r="R99" s="12"/>
      <c r="T99" s="110"/>
      <c r="U99" s="110"/>
      <c r="V99" s="12"/>
    </row>
    <row r="100" ht="22.5" customHeight="1">
      <c r="A100" s="152"/>
      <c r="B100" s="2"/>
      <c r="C100" s="3"/>
      <c r="D100" s="3"/>
      <c r="E100" s="3"/>
      <c r="F100" s="3"/>
      <c r="G100" s="17"/>
      <c r="H100" s="17"/>
      <c r="I100" s="17"/>
      <c r="J100" s="17"/>
      <c r="K100" s="17"/>
      <c r="L100" s="3"/>
      <c r="M100" s="3"/>
      <c r="N100" s="3"/>
      <c r="O100" s="3"/>
      <c r="P100" s="3"/>
      <c r="Q100" s="12"/>
      <c r="R100" s="12"/>
      <c r="T100" s="110"/>
      <c r="U100" s="110"/>
      <c r="V100" s="12"/>
    </row>
    <row r="101" ht="22.5" customHeight="1">
      <c r="A101" s="152"/>
      <c r="B101" s="2"/>
      <c r="C101" s="3"/>
      <c r="D101" s="3"/>
      <c r="E101" s="3"/>
      <c r="F101" s="3"/>
      <c r="G101" s="17"/>
      <c r="H101" s="17"/>
      <c r="I101" s="17"/>
      <c r="J101" s="17"/>
      <c r="K101" s="17"/>
      <c r="L101" s="3"/>
      <c r="M101" s="3"/>
      <c r="N101" s="3"/>
      <c r="O101" s="3"/>
      <c r="P101" s="3"/>
      <c r="Q101" s="12"/>
      <c r="R101" s="12"/>
      <c r="T101" s="110"/>
      <c r="U101" s="110"/>
      <c r="V101" s="12"/>
    </row>
    <row r="102" ht="22.5" customHeight="1">
      <c r="A102" s="152"/>
      <c r="B102" s="2"/>
      <c r="C102" s="3"/>
      <c r="D102" s="3"/>
      <c r="E102" s="3"/>
      <c r="F102" s="3"/>
      <c r="G102" s="17"/>
      <c r="H102" s="17"/>
      <c r="I102" s="17"/>
      <c r="J102" s="17"/>
      <c r="K102" s="17"/>
      <c r="L102" s="3"/>
      <c r="M102" s="3"/>
      <c r="N102" s="3"/>
      <c r="O102" s="3"/>
      <c r="P102" s="3"/>
      <c r="Q102" s="12"/>
      <c r="R102" s="12"/>
      <c r="T102" s="110"/>
      <c r="U102" s="110"/>
      <c r="V102" s="12"/>
    </row>
    <row r="103" ht="22.5" customHeight="1">
      <c r="A103" s="152"/>
      <c r="B103" s="2"/>
      <c r="C103" s="3"/>
      <c r="D103" s="3"/>
      <c r="E103" s="3"/>
      <c r="F103" s="3"/>
      <c r="G103" s="17"/>
      <c r="H103" s="17"/>
      <c r="I103" s="17"/>
      <c r="J103" s="17"/>
      <c r="K103" s="17"/>
      <c r="L103" s="3"/>
      <c r="M103" s="3"/>
      <c r="N103" s="3"/>
      <c r="O103" s="3"/>
      <c r="P103" s="3"/>
      <c r="Q103" s="12"/>
      <c r="R103" s="12"/>
      <c r="T103" s="110"/>
      <c r="U103" s="110"/>
      <c r="V103" s="12"/>
    </row>
    <row r="104" ht="22.5" customHeight="1">
      <c r="A104" s="152"/>
      <c r="B104" s="2"/>
      <c r="C104" s="3"/>
      <c r="D104" s="3"/>
      <c r="E104" s="3"/>
      <c r="F104" s="3"/>
      <c r="G104" s="17"/>
      <c r="H104" s="17"/>
      <c r="I104" s="17"/>
      <c r="J104" s="17"/>
      <c r="K104" s="17"/>
      <c r="L104" s="3"/>
      <c r="M104" s="3"/>
      <c r="N104" s="3"/>
      <c r="O104" s="3"/>
      <c r="P104" s="3"/>
      <c r="Q104" s="12"/>
      <c r="R104" s="12"/>
      <c r="T104" s="110"/>
      <c r="U104" s="110"/>
      <c r="V104" s="12"/>
    </row>
    <row r="105" ht="22.5" customHeight="1">
      <c r="A105" s="152"/>
      <c r="B105" s="2"/>
      <c r="C105" s="3"/>
      <c r="D105" s="3"/>
      <c r="E105" s="3"/>
      <c r="F105" s="3"/>
      <c r="G105" s="17"/>
      <c r="H105" s="17"/>
      <c r="I105" s="17"/>
      <c r="J105" s="17"/>
      <c r="K105" s="17"/>
      <c r="L105" s="3"/>
      <c r="M105" s="3"/>
      <c r="N105" s="3"/>
      <c r="O105" s="3"/>
      <c r="P105" s="3"/>
      <c r="Q105" s="12"/>
      <c r="R105" s="12"/>
      <c r="T105" s="110"/>
      <c r="U105" s="110"/>
      <c r="V105" s="12"/>
    </row>
    <row r="106" ht="22.5" customHeight="1">
      <c r="A106" s="152"/>
      <c r="B106" s="2"/>
      <c r="C106" s="3"/>
      <c r="D106" s="3"/>
      <c r="E106" s="3"/>
      <c r="F106" s="3"/>
      <c r="G106" s="17"/>
      <c r="H106" s="17"/>
      <c r="I106" s="17"/>
      <c r="J106" s="17"/>
      <c r="K106" s="17"/>
      <c r="L106" s="3"/>
      <c r="M106" s="3"/>
      <c r="N106" s="3"/>
      <c r="O106" s="3"/>
      <c r="P106" s="3"/>
      <c r="Q106" s="12"/>
      <c r="R106" s="12"/>
      <c r="T106" s="110"/>
      <c r="U106" s="110"/>
      <c r="V106" s="12"/>
    </row>
    <row r="107" ht="22.5" customHeight="1">
      <c r="A107" s="152"/>
      <c r="B107" s="2"/>
      <c r="C107" s="3"/>
      <c r="D107" s="3"/>
      <c r="E107" s="3"/>
      <c r="F107" s="3"/>
      <c r="G107" s="17"/>
      <c r="H107" s="17"/>
      <c r="I107" s="17"/>
      <c r="J107" s="17"/>
      <c r="K107" s="17"/>
      <c r="L107" s="3"/>
      <c r="M107" s="3"/>
      <c r="N107" s="3"/>
      <c r="O107" s="3"/>
      <c r="P107" s="3"/>
      <c r="Q107" s="12"/>
      <c r="R107" s="12"/>
      <c r="T107" s="110"/>
      <c r="U107" s="110"/>
      <c r="V107" s="12"/>
    </row>
    <row r="108" ht="22.5" customHeight="1">
      <c r="A108" s="152"/>
      <c r="B108" s="2"/>
      <c r="C108" s="3"/>
      <c r="D108" s="3"/>
      <c r="E108" s="3"/>
      <c r="F108" s="3"/>
      <c r="G108" s="17"/>
      <c r="H108" s="17"/>
      <c r="I108" s="17"/>
      <c r="J108" s="17"/>
      <c r="K108" s="17"/>
      <c r="L108" s="3"/>
      <c r="M108" s="3"/>
      <c r="N108" s="3"/>
      <c r="O108" s="3"/>
      <c r="P108" s="3"/>
      <c r="Q108" s="12"/>
      <c r="R108" s="12"/>
      <c r="T108" s="110"/>
      <c r="U108" s="110"/>
      <c r="V108" s="12"/>
    </row>
    <row r="109" ht="22.5" customHeight="1">
      <c r="A109" s="152"/>
      <c r="B109" s="2"/>
      <c r="C109" s="3"/>
      <c r="D109" s="3"/>
      <c r="E109" s="3"/>
      <c r="F109" s="3"/>
      <c r="G109" s="17"/>
      <c r="H109" s="17"/>
      <c r="I109" s="17"/>
      <c r="J109" s="17"/>
      <c r="K109" s="17"/>
      <c r="L109" s="3"/>
      <c r="M109" s="3"/>
      <c r="N109" s="3"/>
      <c r="O109" s="3"/>
      <c r="P109" s="3"/>
      <c r="Q109" s="12"/>
      <c r="R109" s="12"/>
      <c r="T109" s="110"/>
      <c r="U109" s="110"/>
      <c r="V109" s="12"/>
    </row>
    <row r="110" ht="22.5" customHeight="1">
      <c r="A110" s="152"/>
      <c r="B110" s="2"/>
      <c r="C110" s="3"/>
      <c r="D110" s="3"/>
      <c r="E110" s="3"/>
      <c r="F110" s="3"/>
      <c r="G110" s="17"/>
      <c r="H110" s="17"/>
      <c r="I110" s="17"/>
      <c r="J110" s="17"/>
      <c r="K110" s="17"/>
      <c r="L110" s="3"/>
      <c r="M110" s="3"/>
      <c r="N110" s="3"/>
      <c r="O110" s="3"/>
      <c r="P110" s="3"/>
      <c r="Q110" s="12"/>
      <c r="R110" s="12"/>
      <c r="T110" s="110"/>
      <c r="U110" s="110"/>
      <c r="V110" s="12"/>
    </row>
    <row r="111" ht="22.5" customHeight="1">
      <c r="A111" s="152"/>
      <c r="B111" s="2"/>
      <c r="C111" s="3"/>
      <c r="D111" s="3"/>
      <c r="E111" s="3"/>
      <c r="F111" s="3"/>
      <c r="G111" s="17"/>
      <c r="H111" s="17"/>
      <c r="I111" s="17"/>
      <c r="J111" s="17"/>
      <c r="K111" s="17"/>
      <c r="L111" s="3"/>
      <c r="M111" s="3"/>
      <c r="N111" s="3"/>
      <c r="O111" s="3"/>
      <c r="P111" s="3"/>
      <c r="Q111" s="12"/>
      <c r="R111" s="12"/>
      <c r="T111" s="110"/>
      <c r="U111" s="110"/>
      <c r="V111" s="12"/>
    </row>
    <row r="112" ht="22.5" customHeight="1">
      <c r="A112" s="152"/>
      <c r="B112" s="2"/>
      <c r="C112" s="3"/>
      <c r="D112" s="3"/>
      <c r="E112" s="3"/>
      <c r="F112" s="3"/>
      <c r="G112" s="17"/>
      <c r="H112" s="17"/>
      <c r="I112" s="17"/>
      <c r="J112" s="17"/>
      <c r="K112" s="17"/>
      <c r="L112" s="3"/>
      <c r="M112" s="3"/>
      <c r="N112" s="3"/>
      <c r="O112" s="3"/>
      <c r="P112" s="3"/>
      <c r="Q112" s="12"/>
      <c r="R112" s="12"/>
      <c r="T112" s="110"/>
      <c r="U112" s="110"/>
      <c r="V112" s="12"/>
    </row>
    <row r="113" ht="22.5" customHeight="1">
      <c r="A113" s="152"/>
      <c r="B113" s="2"/>
      <c r="C113" s="3"/>
      <c r="D113" s="3"/>
      <c r="E113" s="3"/>
      <c r="F113" s="3"/>
      <c r="G113" s="17"/>
      <c r="H113" s="17"/>
      <c r="I113" s="17"/>
      <c r="J113" s="17"/>
      <c r="K113" s="17"/>
      <c r="L113" s="3"/>
      <c r="M113" s="3"/>
      <c r="N113" s="3"/>
      <c r="O113" s="3"/>
      <c r="P113" s="3"/>
      <c r="Q113" s="12"/>
      <c r="R113" s="12"/>
      <c r="T113" s="110"/>
      <c r="U113" s="110"/>
      <c r="V113" s="12"/>
    </row>
    <row r="114" ht="22.5" customHeight="1">
      <c r="A114" s="152"/>
      <c r="B114" s="2"/>
      <c r="C114" s="3"/>
      <c r="D114" s="3"/>
      <c r="E114" s="3"/>
      <c r="F114" s="3"/>
      <c r="G114" s="17"/>
      <c r="H114" s="17"/>
      <c r="I114" s="17"/>
      <c r="J114" s="17"/>
      <c r="K114" s="17"/>
      <c r="L114" s="3"/>
      <c r="M114" s="3"/>
      <c r="N114" s="3"/>
      <c r="O114" s="3"/>
      <c r="P114" s="3"/>
      <c r="Q114" s="12"/>
      <c r="R114" s="12"/>
      <c r="T114" s="110"/>
      <c r="U114" s="110"/>
      <c r="V114" s="12"/>
    </row>
    <row r="115" ht="22.5" customHeight="1">
      <c r="A115" s="152"/>
      <c r="B115" s="2"/>
      <c r="C115" s="3"/>
      <c r="D115" s="3"/>
      <c r="E115" s="3"/>
      <c r="F115" s="3"/>
      <c r="G115" s="17"/>
      <c r="H115" s="17"/>
      <c r="I115" s="17"/>
      <c r="J115" s="17"/>
      <c r="K115" s="17"/>
      <c r="L115" s="3"/>
      <c r="M115" s="3"/>
      <c r="N115" s="3"/>
      <c r="O115" s="3"/>
      <c r="P115" s="3"/>
      <c r="Q115" s="12"/>
      <c r="R115" s="12"/>
      <c r="T115" s="110"/>
      <c r="U115" s="110"/>
      <c r="V115" s="12"/>
    </row>
    <row r="116" ht="22.5" customHeight="1">
      <c r="A116" s="152"/>
      <c r="B116" s="2"/>
      <c r="C116" s="3"/>
      <c r="D116" s="3"/>
      <c r="E116" s="3"/>
      <c r="F116" s="3"/>
      <c r="G116" s="17"/>
      <c r="H116" s="17"/>
      <c r="I116" s="17"/>
      <c r="J116" s="17"/>
      <c r="K116" s="17"/>
      <c r="L116" s="3"/>
      <c r="M116" s="3"/>
      <c r="N116" s="3"/>
      <c r="O116" s="3"/>
      <c r="P116" s="3"/>
      <c r="Q116" s="12"/>
      <c r="R116" s="12"/>
      <c r="T116" s="110"/>
      <c r="U116" s="110"/>
      <c r="V116" s="12"/>
    </row>
    <row r="117" ht="22.5" customHeight="1">
      <c r="A117" s="152"/>
      <c r="B117" s="2"/>
      <c r="C117" s="3"/>
      <c r="D117" s="3"/>
      <c r="E117" s="3"/>
      <c r="F117" s="3"/>
      <c r="G117" s="17"/>
      <c r="H117" s="17"/>
      <c r="I117" s="17"/>
      <c r="J117" s="17"/>
      <c r="K117" s="17"/>
      <c r="L117" s="3"/>
      <c r="M117" s="3"/>
      <c r="N117" s="3"/>
      <c r="O117" s="3"/>
      <c r="P117" s="3"/>
      <c r="Q117" s="12"/>
      <c r="R117" s="12"/>
      <c r="T117" s="110"/>
      <c r="U117" s="110"/>
      <c r="V117" s="12"/>
    </row>
    <row r="118" ht="22.5" customHeight="1">
      <c r="A118" s="152"/>
      <c r="B118" s="2"/>
      <c r="C118" s="3"/>
      <c r="D118" s="3"/>
      <c r="E118" s="3"/>
      <c r="F118" s="3"/>
      <c r="G118" s="17"/>
      <c r="H118" s="17"/>
      <c r="I118" s="17"/>
      <c r="J118" s="17"/>
      <c r="K118" s="17"/>
      <c r="L118" s="3"/>
      <c r="M118" s="3"/>
      <c r="N118" s="3"/>
      <c r="O118" s="3"/>
      <c r="P118" s="3"/>
      <c r="Q118" s="12"/>
      <c r="R118" s="12"/>
      <c r="T118" s="110"/>
      <c r="U118" s="110"/>
      <c r="V118" s="12"/>
    </row>
    <row r="119" ht="22.5" customHeight="1">
      <c r="A119" s="152"/>
      <c r="B119" s="2"/>
      <c r="C119" s="3"/>
      <c r="D119" s="3"/>
      <c r="E119" s="3"/>
      <c r="F119" s="3"/>
      <c r="G119" s="17"/>
      <c r="H119" s="17"/>
      <c r="I119" s="17"/>
      <c r="J119" s="17"/>
      <c r="K119" s="17"/>
      <c r="L119" s="3"/>
      <c r="M119" s="3"/>
      <c r="N119" s="3"/>
      <c r="O119" s="3"/>
      <c r="P119" s="3"/>
      <c r="Q119" s="12"/>
      <c r="R119" s="12"/>
      <c r="T119" s="110"/>
      <c r="U119" s="110"/>
      <c r="V119" s="12"/>
    </row>
    <row r="120" ht="22.5" customHeight="1">
      <c r="A120" s="152"/>
      <c r="B120" s="2"/>
      <c r="C120" s="3"/>
      <c r="D120" s="3"/>
      <c r="E120" s="3"/>
      <c r="F120" s="3"/>
      <c r="G120" s="17"/>
      <c r="H120" s="17"/>
      <c r="I120" s="17"/>
      <c r="J120" s="17"/>
      <c r="K120" s="17"/>
      <c r="L120" s="3"/>
      <c r="M120" s="3"/>
      <c r="N120" s="3"/>
      <c r="O120" s="3"/>
      <c r="P120" s="3"/>
      <c r="Q120" s="12"/>
      <c r="R120" s="12"/>
      <c r="T120" s="110"/>
      <c r="U120" s="110"/>
      <c r="V120" s="12"/>
    </row>
    <row r="121" ht="22.5" customHeight="1">
      <c r="A121" s="152"/>
      <c r="B121" s="2"/>
      <c r="C121" s="3"/>
      <c r="D121" s="3"/>
      <c r="E121" s="3"/>
      <c r="F121" s="3"/>
      <c r="G121" s="17"/>
      <c r="H121" s="17"/>
      <c r="I121" s="17"/>
      <c r="J121" s="17"/>
      <c r="K121" s="17"/>
      <c r="L121" s="3"/>
      <c r="M121" s="3"/>
      <c r="N121" s="3"/>
      <c r="O121" s="3"/>
      <c r="P121" s="3"/>
      <c r="Q121" s="12"/>
      <c r="R121" s="12"/>
      <c r="T121" s="110"/>
      <c r="U121" s="110"/>
      <c r="V121" s="12"/>
    </row>
    <row r="122" ht="22.5" customHeight="1">
      <c r="A122" s="152"/>
      <c r="B122" s="2"/>
      <c r="C122" s="3"/>
      <c r="D122" s="3"/>
      <c r="E122" s="3"/>
      <c r="F122" s="3"/>
      <c r="G122" s="17"/>
      <c r="H122" s="17"/>
      <c r="I122" s="17"/>
      <c r="J122" s="17"/>
      <c r="K122" s="17"/>
      <c r="L122" s="3"/>
      <c r="M122" s="3"/>
      <c r="N122" s="3"/>
      <c r="O122" s="3"/>
      <c r="P122" s="3"/>
      <c r="Q122" s="12"/>
      <c r="R122" s="12"/>
      <c r="T122" s="110"/>
      <c r="U122" s="110"/>
      <c r="V122" s="12"/>
    </row>
    <row r="123" ht="22.5" customHeight="1">
      <c r="A123" s="152"/>
      <c r="B123" s="2"/>
      <c r="C123" s="3"/>
      <c r="D123" s="3"/>
      <c r="E123" s="3"/>
      <c r="F123" s="3"/>
      <c r="G123" s="17"/>
      <c r="H123" s="17"/>
      <c r="I123" s="17"/>
      <c r="J123" s="17"/>
      <c r="K123" s="17"/>
      <c r="L123" s="3"/>
      <c r="M123" s="3"/>
      <c r="N123" s="3"/>
      <c r="O123" s="3"/>
      <c r="P123" s="3"/>
      <c r="Q123" s="12"/>
      <c r="R123" s="12"/>
      <c r="T123" s="110"/>
      <c r="U123" s="110"/>
      <c r="V123" s="12"/>
    </row>
    <row r="124" ht="22.5" customHeight="1">
      <c r="A124" s="152"/>
      <c r="B124" s="2"/>
      <c r="C124" s="3"/>
      <c r="D124" s="3"/>
      <c r="E124" s="3"/>
      <c r="F124" s="3"/>
      <c r="G124" s="17"/>
      <c r="H124" s="17"/>
      <c r="I124" s="17"/>
      <c r="J124" s="17"/>
      <c r="K124" s="17"/>
      <c r="L124" s="3"/>
      <c r="M124" s="3"/>
      <c r="N124" s="3"/>
      <c r="O124" s="3"/>
      <c r="P124" s="3"/>
      <c r="Q124" s="12"/>
      <c r="R124" s="12"/>
      <c r="T124" s="110"/>
      <c r="U124" s="110"/>
      <c r="V124" s="12"/>
    </row>
    <row r="125" ht="22.5" customHeight="1">
      <c r="A125" s="152"/>
      <c r="B125" s="2"/>
      <c r="C125" s="3"/>
      <c r="D125" s="3"/>
      <c r="E125" s="3"/>
      <c r="F125" s="3"/>
      <c r="G125" s="17"/>
      <c r="H125" s="17"/>
      <c r="I125" s="17"/>
      <c r="J125" s="17"/>
      <c r="K125" s="17"/>
      <c r="L125" s="3"/>
      <c r="M125" s="3"/>
      <c r="N125" s="3"/>
      <c r="O125" s="3"/>
      <c r="P125" s="3"/>
      <c r="Q125" s="12"/>
      <c r="R125" s="12"/>
      <c r="T125" s="110"/>
      <c r="U125" s="110"/>
      <c r="V125" s="12"/>
    </row>
    <row r="126" ht="22.5" customHeight="1">
      <c r="A126" s="152"/>
      <c r="B126" s="2"/>
      <c r="C126" s="3"/>
      <c r="D126" s="3"/>
      <c r="E126" s="3"/>
      <c r="F126" s="3"/>
      <c r="G126" s="17"/>
      <c r="H126" s="17"/>
      <c r="I126" s="17"/>
      <c r="J126" s="17"/>
      <c r="K126" s="17"/>
      <c r="L126" s="3"/>
      <c r="M126" s="3"/>
      <c r="N126" s="3"/>
      <c r="O126" s="3"/>
      <c r="P126" s="3"/>
      <c r="Q126" s="12"/>
      <c r="R126" s="12"/>
      <c r="T126" s="110"/>
      <c r="U126" s="110"/>
      <c r="V126" s="12"/>
    </row>
    <row r="127" ht="22.5" customHeight="1">
      <c r="A127" s="152"/>
      <c r="B127" s="2"/>
      <c r="C127" s="3"/>
      <c r="D127" s="3"/>
      <c r="E127" s="3"/>
      <c r="F127" s="3"/>
      <c r="G127" s="17"/>
      <c r="H127" s="17"/>
      <c r="I127" s="17"/>
      <c r="J127" s="17"/>
      <c r="K127" s="17"/>
      <c r="L127" s="3"/>
      <c r="M127" s="3"/>
      <c r="N127" s="3"/>
      <c r="O127" s="3"/>
      <c r="P127" s="3"/>
      <c r="Q127" s="12"/>
      <c r="R127" s="12"/>
      <c r="T127" s="110"/>
      <c r="U127" s="110"/>
      <c r="V127" s="12"/>
    </row>
    <row r="128" ht="22.5" customHeight="1">
      <c r="A128" s="152"/>
      <c r="B128" s="2"/>
      <c r="C128" s="3"/>
      <c r="D128" s="3"/>
      <c r="E128" s="3"/>
      <c r="F128" s="3"/>
      <c r="G128" s="17"/>
      <c r="H128" s="17"/>
      <c r="I128" s="17"/>
      <c r="J128" s="17"/>
      <c r="K128" s="17"/>
      <c r="L128" s="3"/>
      <c r="M128" s="3"/>
      <c r="N128" s="3"/>
      <c r="O128" s="3"/>
      <c r="P128" s="3"/>
      <c r="Q128" s="12"/>
      <c r="R128" s="12"/>
      <c r="T128" s="110"/>
      <c r="U128" s="110"/>
      <c r="V128" s="12"/>
    </row>
    <row r="129" ht="22.5" customHeight="1">
      <c r="A129" s="152"/>
      <c r="B129" s="2"/>
      <c r="C129" s="3"/>
      <c r="D129" s="3"/>
      <c r="E129" s="3"/>
      <c r="F129" s="3"/>
      <c r="G129" s="17"/>
      <c r="H129" s="17"/>
      <c r="I129" s="17"/>
      <c r="J129" s="17"/>
      <c r="K129" s="17"/>
      <c r="L129" s="3"/>
      <c r="M129" s="3"/>
      <c r="N129" s="3"/>
      <c r="O129" s="3"/>
      <c r="P129" s="3"/>
      <c r="Q129" s="12"/>
      <c r="R129" s="12"/>
      <c r="T129" s="110"/>
      <c r="U129" s="110"/>
      <c r="V129" s="12"/>
    </row>
    <row r="130" ht="22.5" customHeight="1">
      <c r="A130" s="152"/>
      <c r="B130" s="2"/>
      <c r="C130" s="3"/>
      <c r="D130" s="3"/>
      <c r="E130" s="3"/>
      <c r="F130" s="3"/>
      <c r="G130" s="17"/>
      <c r="H130" s="17"/>
      <c r="I130" s="17"/>
      <c r="J130" s="17"/>
      <c r="K130" s="17"/>
      <c r="L130" s="3"/>
      <c r="M130" s="3"/>
      <c r="N130" s="3"/>
      <c r="O130" s="3"/>
      <c r="P130" s="3"/>
      <c r="Q130" s="12"/>
      <c r="R130" s="12"/>
      <c r="T130" s="110"/>
      <c r="U130" s="110"/>
      <c r="V130" s="12"/>
    </row>
    <row r="131" ht="22.5" customHeight="1">
      <c r="A131" s="152"/>
      <c r="B131" s="2"/>
      <c r="C131" s="3"/>
      <c r="D131" s="3"/>
      <c r="E131" s="3"/>
      <c r="F131" s="3"/>
      <c r="G131" s="17"/>
      <c r="H131" s="17"/>
      <c r="I131" s="17"/>
      <c r="J131" s="17"/>
      <c r="K131" s="17"/>
      <c r="L131" s="3"/>
      <c r="M131" s="3"/>
      <c r="N131" s="3"/>
      <c r="O131" s="3"/>
      <c r="P131" s="3"/>
      <c r="Q131" s="12"/>
      <c r="R131" s="12"/>
      <c r="T131" s="110"/>
      <c r="U131" s="110"/>
      <c r="V131" s="12"/>
    </row>
    <row r="132" ht="22.5" customHeight="1">
      <c r="A132" s="152"/>
      <c r="B132" s="2"/>
      <c r="C132" s="3"/>
      <c r="D132" s="3"/>
      <c r="E132" s="3"/>
      <c r="F132" s="3"/>
      <c r="G132" s="17"/>
      <c r="H132" s="17"/>
      <c r="I132" s="17"/>
      <c r="J132" s="17"/>
      <c r="K132" s="17"/>
      <c r="L132" s="3"/>
      <c r="M132" s="3"/>
      <c r="N132" s="3"/>
      <c r="O132" s="3"/>
      <c r="P132" s="3"/>
      <c r="Q132" s="12"/>
      <c r="R132" s="12"/>
      <c r="T132" s="110"/>
      <c r="U132" s="110"/>
      <c r="V132" s="12"/>
    </row>
    <row r="133" ht="22.5" customHeight="1">
      <c r="A133" s="152"/>
      <c r="B133" s="2"/>
      <c r="C133" s="3"/>
      <c r="D133" s="3"/>
      <c r="E133" s="3"/>
      <c r="F133" s="3"/>
      <c r="G133" s="17"/>
      <c r="H133" s="17"/>
      <c r="I133" s="17"/>
      <c r="J133" s="17"/>
      <c r="K133" s="17"/>
      <c r="L133" s="3"/>
      <c r="M133" s="3"/>
      <c r="N133" s="3"/>
      <c r="O133" s="3"/>
      <c r="P133" s="3"/>
      <c r="Q133" s="12"/>
      <c r="R133" s="12"/>
      <c r="T133" s="110"/>
      <c r="U133" s="110"/>
      <c r="V133" s="12"/>
    </row>
    <row r="134" ht="22.5" customHeight="1">
      <c r="A134" s="152"/>
      <c r="B134" s="2"/>
      <c r="C134" s="3"/>
      <c r="D134" s="3"/>
      <c r="E134" s="3"/>
      <c r="F134" s="3"/>
      <c r="G134" s="17"/>
      <c r="H134" s="17"/>
      <c r="I134" s="17"/>
      <c r="J134" s="17"/>
      <c r="K134" s="17"/>
      <c r="L134" s="3"/>
      <c r="M134" s="3"/>
      <c r="N134" s="3"/>
      <c r="O134" s="3"/>
      <c r="P134" s="3"/>
      <c r="Q134" s="12"/>
      <c r="R134" s="12"/>
      <c r="T134" s="110"/>
      <c r="U134" s="110"/>
      <c r="V134" s="12"/>
    </row>
    <row r="135" ht="22.5" customHeight="1">
      <c r="A135" s="152"/>
      <c r="B135" s="2"/>
      <c r="C135" s="3"/>
      <c r="D135" s="3"/>
      <c r="E135" s="3"/>
      <c r="F135" s="3"/>
      <c r="G135" s="17"/>
      <c r="H135" s="17"/>
      <c r="I135" s="17"/>
      <c r="J135" s="17"/>
      <c r="K135" s="17"/>
      <c r="L135" s="3"/>
      <c r="M135" s="3"/>
      <c r="N135" s="3"/>
      <c r="O135" s="3"/>
      <c r="P135" s="3"/>
      <c r="Q135" s="12"/>
      <c r="R135" s="12"/>
      <c r="T135" s="110"/>
      <c r="U135" s="110"/>
      <c r="V135" s="12"/>
    </row>
    <row r="136" ht="22.5" customHeight="1">
      <c r="A136" s="152"/>
      <c r="B136" s="2"/>
      <c r="C136" s="3"/>
      <c r="D136" s="3"/>
      <c r="E136" s="3"/>
      <c r="F136" s="3"/>
      <c r="G136" s="17"/>
      <c r="H136" s="17"/>
      <c r="I136" s="17"/>
      <c r="J136" s="17"/>
      <c r="K136" s="17"/>
      <c r="L136" s="3"/>
      <c r="M136" s="3"/>
      <c r="N136" s="3"/>
      <c r="O136" s="3"/>
      <c r="P136" s="3"/>
      <c r="Q136" s="12"/>
      <c r="R136" s="12"/>
      <c r="T136" s="110"/>
      <c r="U136" s="110"/>
      <c r="V136" s="12"/>
    </row>
    <row r="137" ht="22.5" customHeight="1">
      <c r="A137" s="152"/>
      <c r="B137" s="2"/>
      <c r="C137" s="3"/>
      <c r="D137" s="3"/>
      <c r="E137" s="3"/>
      <c r="F137" s="3"/>
      <c r="G137" s="17"/>
      <c r="H137" s="17"/>
      <c r="I137" s="17"/>
      <c r="J137" s="17"/>
      <c r="K137" s="17"/>
      <c r="L137" s="3"/>
      <c r="M137" s="3"/>
      <c r="N137" s="3"/>
      <c r="O137" s="3"/>
      <c r="P137" s="3"/>
      <c r="Q137" s="12"/>
      <c r="R137" s="12"/>
      <c r="T137" s="110"/>
      <c r="U137" s="110"/>
      <c r="V137" s="12"/>
    </row>
    <row r="138" ht="22.5" customHeight="1">
      <c r="A138" s="152"/>
      <c r="B138" s="2"/>
      <c r="C138" s="3"/>
      <c r="D138" s="3"/>
      <c r="E138" s="3"/>
      <c r="F138" s="3"/>
      <c r="G138" s="17"/>
      <c r="H138" s="17"/>
      <c r="I138" s="17"/>
      <c r="J138" s="17"/>
      <c r="K138" s="17"/>
      <c r="L138" s="3"/>
      <c r="M138" s="3"/>
      <c r="N138" s="3"/>
      <c r="O138" s="3"/>
      <c r="P138" s="3"/>
      <c r="Q138" s="12"/>
      <c r="R138" s="12"/>
      <c r="T138" s="110"/>
      <c r="U138" s="110"/>
      <c r="V138" s="12"/>
    </row>
    <row r="139" ht="22.5" customHeight="1">
      <c r="A139" s="152"/>
      <c r="B139" s="2"/>
      <c r="C139" s="3"/>
      <c r="D139" s="3"/>
      <c r="E139" s="3"/>
      <c r="F139" s="3"/>
      <c r="G139" s="17"/>
      <c r="H139" s="17"/>
      <c r="I139" s="17"/>
      <c r="J139" s="17"/>
      <c r="K139" s="17"/>
      <c r="L139" s="3"/>
      <c r="M139" s="3"/>
      <c r="N139" s="3"/>
      <c r="O139" s="3"/>
      <c r="P139" s="3"/>
      <c r="Q139" s="12"/>
      <c r="R139" s="12"/>
      <c r="T139" s="110"/>
      <c r="U139" s="110"/>
      <c r="V139" s="12"/>
    </row>
    <row r="140" ht="22.5" customHeight="1">
      <c r="A140" s="152"/>
      <c r="B140" s="2"/>
      <c r="C140" s="3"/>
      <c r="D140" s="3"/>
      <c r="E140" s="3"/>
      <c r="F140" s="3"/>
      <c r="G140" s="17"/>
      <c r="H140" s="17"/>
      <c r="I140" s="17"/>
      <c r="J140" s="17"/>
      <c r="K140" s="17"/>
      <c r="L140" s="3"/>
      <c r="M140" s="3"/>
      <c r="N140" s="3"/>
      <c r="O140" s="3"/>
      <c r="P140" s="3"/>
      <c r="Q140" s="12"/>
      <c r="R140" s="12"/>
      <c r="T140" s="110"/>
      <c r="U140" s="110"/>
      <c r="V140" s="12"/>
    </row>
    <row r="141" ht="22.5" customHeight="1">
      <c r="A141" s="152"/>
      <c r="B141" s="2"/>
      <c r="C141" s="3"/>
      <c r="D141" s="3"/>
      <c r="E141" s="3"/>
      <c r="F141" s="3"/>
      <c r="G141" s="17"/>
      <c r="H141" s="17"/>
      <c r="I141" s="17"/>
      <c r="J141" s="17"/>
      <c r="K141" s="17"/>
      <c r="L141" s="3"/>
      <c r="M141" s="3"/>
      <c r="N141" s="3"/>
      <c r="O141" s="3"/>
      <c r="P141" s="3"/>
      <c r="Q141" s="12"/>
      <c r="R141" s="12"/>
      <c r="T141" s="110"/>
      <c r="U141" s="110"/>
      <c r="V141" s="12"/>
    </row>
    <row r="142" ht="22.5" customHeight="1">
      <c r="A142" s="152"/>
      <c r="B142" s="2"/>
      <c r="C142" s="3"/>
      <c r="D142" s="3"/>
      <c r="E142" s="3"/>
      <c r="F142" s="3"/>
      <c r="G142" s="17"/>
      <c r="H142" s="17"/>
      <c r="I142" s="17"/>
      <c r="J142" s="17"/>
      <c r="K142" s="17"/>
      <c r="L142" s="3"/>
      <c r="M142" s="3"/>
      <c r="N142" s="3"/>
      <c r="O142" s="3"/>
      <c r="P142" s="3"/>
      <c r="Q142" s="12"/>
      <c r="R142" s="12"/>
      <c r="T142" s="110"/>
      <c r="U142" s="110"/>
      <c r="V142" s="12"/>
    </row>
    <row r="143" ht="22.5" customHeight="1">
      <c r="A143" s="152"/>
      <c r="B143" s="2"/>
      <c r="C143" s="3"/>
      <c r="D143" s="3"/>
      <c r="E143" s="3"/>
      <c r="F143" s="3"/>
      <c r="G143" s="17"/>
      <c r="H143" s="17"/>
      <c r="I143" s="17"/>
      <c r="J143" s="17"/>
      <c r="K143" s="17"/>
      <c r="L143" s="3"/>
      <c r="M143" s="3"/>
      <c r="N143" s="3"/>
      <c r="O143" s="3"/>
      <c r="P143" s="3"/>
      <c r="Q143" s="12"/>
      <c r="R143" s="12"/>
      <c r="T143" s="110"/>
      <c r="U143" s="110"/>
      <c r="V143" s="12"/>
    </row>
    <row r="144" ht="22.5" customHeight="1">
      <c r="A144" s="152"/>
      <c r="B144" s="2"/>
      <c r="C144" s="3"/>
      <c r="D144" s="3"/>
      <c r="E144" s="3"/>
      <c r="F144" s="3"/>
      <c r="G144" s="17"/>
      <c r="H144" s="17"/>
      <c r="I144" s="17"/>
      <c r="J144" s="17"/>
      <c r="K144" s="17"/>
      <c r="L144" s="3"/>
      <c r="M144" s="3"/>
      <c r="N144" s="3"/>
      <c r="O144" s="3"/>
      <c r="P144" s="3"/>
      <c r="Q144" s="12"/>
      <c r="R144" s="12"/>
      <c r="T144" s="110"/>
      <c r="U144" s="110"/>
      <c r="V144" s="12"/>
    </row>
    <row r="145" ht="22.5" customHeight="1">
      <c r="A145" s="152"/>
      <c r="B145" s="2"/>
      <c r="C145" s="3"/>
      <c r="D145" s="3"/>
      <c r="E145" s="3"/>
      <c r="F145" s="3"/>
      <c r="G145" s="17"/>
      <c r="H145" s="17"/>
      <c r="I145" s="17"/>
      <c r="J145" s="17"/>
      <c r="K145" s="17"/>
      <c r="L145" s="3"/>
      <c r="M145" s="3"/>
      <c r="N145" s="3"/>
      <c r="O145" s="3"/>
      <c r="P145" s="3"/>
      <c r="Q145" s="12"/>
      <c r="R145" s="12"/>
      <c r="T145" s="110"/>
      <c r="U145" s="110"/>
      <c r="V145" s="12"/>
    </row>
    <row r="146" ht="22.5" customHeight="1">
      <c r="A146" s="152"/>
      <c r="B146" s="2"/>
      <c r="C146" s="3"/>
      <c r="D146" s="3"/>
      <c r="E146" s="3"/>
      <c r="F146" s="3"/>
      <c r="G146" s="17"/>
      <c r="H146" s="17"/>
      <c r="I146" s="17"/>
      <c r="J146" s="17"/>
      <c r="K146" s="17"/>
      <c r="L146" s="3"/>
      <c r="M146" s="3"/>
      <c r="N146" s="3"/>
      <c r="O146" s="3"/>
      <c r="P146" s="3"/>
      <c r="Q146" s="12"/>
      <c r="R146" s="12"/>
      <c r="T146" s="110"/>
      <c r="U146" s="110"/>
      <c r="V146" s="12"/>
    </row>
    <row r="147" ht="22.5" customHeight="1">
      <c r="A147" s="152"/>
      <c r="B147" s="2"/>
      <c r="C147" s="3"/>
      <c r="D147" s="3"/>
      <c r="E147" s="3"/>
      <c r="F147" s="3"/>
      <c r="G147" s="17"/>
      <c r="H147" s="17"/>
      <c r="I147" s="17"/>
      <c r="J147" s="17"/>
      <c r="K147" s="17"/>
      <c r="L147" s="3"/>
      <c r="M147" s="3"/>
      <c r="N147" s="3"/>
      <c r="O147" s="3"/>
      <c r="P147" s="3"/>
      <c r="Q147" s="12"/>
      <c r="R147" s="12"/>
      <c r="T147" s="110"/>
      <c r="U147" s="110"/>
      <c r="V147" s="12"/>
    </row>
    <row r="148" ht="22.5" customHeight="1">
      <c r="A148" s="152"/>
      <c r="B148" s="2"/>
      <c r="C148" s="3"/>
      <c r="D148" s="3"/>
      <c r="E148" s="3"/>
      <c r="F148" s="3"/>
      <c r="G148" s="17"/>
      <c r="H148" s="17"/>
      <c r="I148" s="17"/>
      <c r="J148" s="17"/>
      <c r="K148" s="17"/>
      <c r="L148" s="3"/>
      <c r="M148" s="3"/>
      <c r="N148" s="3"/>
      <c r="O148" s="3"/>
      <c r="P148" s="3"/>
      <c r="Q148" s="12"/>
      <c r="R148" s="12"/>
      <c r="T148" s="110"/>
      <c r="U148" s="110"/>
      <c r="V148" s="12"/>
    </row>
    <row r="149" ht="22.5" customHeight="1">
      <c r="A149" s="152"/>
      <c r="B149" s="2"/>
      <c r="C149" s="3"/>
      <c r="D149" s="3"/>
      <c r="E149" s="3"/>
      <c r="F149" s="3"/>
      <c r="G149" s="17"/>
      <c r="H149" s="17"/>
      <c r="I149" s="17"/>
      <c r="J149" s="17"/>
      <c r="K149" s="17"/>
      <c r="L149" s="3"/>
      <c r="M149" s="3"/>
      <c r="N149" s="3"/>
      <c r="O149" s="3"/>
      <c r="P149" s="3"/>
      <c r="Q149" s="12"/>
      <c r="R149" s="12"/>
      <c r="T149" s="110"/>
      <c r="U149" s="110"/>
      <c r="V149" s="12"/>
    </row>
    <row r="150" ht="22.5" customHeight="1">
      <c r="A150" s="152"/>
      <c r="B150" s="2"/>
      <c r="C150" s="3"/>
      <c r="D150" s="3"/>
      <c r="E150" s="3"/>
      <c r="F150" s="3"/>
      <c r="G150" s="17"/>
      <c r="H150" s="17"/>
      <c r="I150" s="17"/>
      <c r="J150" s="17"/>
      <c r="K150" s="17"/>
      <c r="L150" s="3"/>
      <c r="M150" s="3"/>
      <c r="N150" s="3"/>
      <c r="O150" s="3"/>
      <c r="P150" s="3"/>
      <c r="Q150" s="12"/>
      <c r="R150" s="12"/>
      <c r="T150" s="110"/>
      <c r="U150" s="110"/>
      <c r="V150" s="12"/>
    </row>
    <row r="151" ht="22.5" customHeight="1">
      <c r="A151" s="152"/>
      <c r="B151" s="2"/>
      <c r="C151" s="3"/>
      <c r="D151" s="3"/>
      <c r="E151" s="3"/>
      <c r="F151" s="3"/>
      <c r="G151" s="17"/>
      <c r="H151" s="17"/>
      <c r="I151" s="17"/>
      <c r="J151" s="17"/>
      <c r="K151" s="17"/>
      <c r="L151" s="3"/>
      <c r="M151" s="3"/>
      <c r="N151" s="3"/>
      <c r="O151" s="3"/>
      <c r="P151" s="3"/>
      <c r="Q151" s="12"/>
      <c r="R151" s="12"/>
      <c r="T151" s="110"/>
      <c r="U151" s="110"/>
      <c r="V151" s="12"/>
    </row>
    <row r="152">
      <c r="A152" s="18"/>
      <c r="G152" s="19"/>
      <c r="H152" s="19"/>
      <c r="I152" s="19"/>
      <c r="J152" s="19"/>
      <c r="K152" s="19"/>
    </row>
  </sheetData>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2" max="2" width="7.75"/>
    <col hidden="1" min="3" max="5" width="12.63"/>
    <col customWidth="1" min="6" max="6" width="18.88"/>
    <col customWidth="1" hidden="1" min="7" max="7" width="35.38"/>
    <col customWidth="1" min="8" max="96" width="3.5"/>
    <col customWidth="1" min="97" max="97" width="10.75"/>
    <col customWidth="1" min="98" max="210" width="3.5"/>
    <col customWidth="1" min="211" max="211" width="10.5"/>
    <col customWidth="1" min="212" max="218" width="3.5"/>
    <col customWidth="1" min="219" max="219" width="8.25"/>
    <col customWidth="1" min="220" max="272" width="3.5"/>
    <col customWidth="1" min="273" max="273" width="8.5"/>
    <col customWidth="1" min="274" max="299" width="3.5"/>
    <col customWidth="1" min="300" max="300" width="8.88"/>
    <col customWidth="1" min="301" max="309" width="3.5"/>
    <col customWidth="1" min="310" max="310" width="4.13"/>
  </cols>
  <sheetData>
    <row r="1">
      <c r="A1" s="153" t="s">
        <v>2316</v>
      </c>
      <c r="B1" s="153"/>
      <c r="C1" s="153" t="s">
        <v>2317</v>
      </c>
      <c r="D1" s="153" t="s">
        <v>2318</v>
      </c>
      <c r="E1" s="153" t="s">
        <v>2319</v>
      </c>
      <c r="F1" s="154" t="s">
        <v>2643</v>
      </c>
      <c r="G1" s="153" t="s">
        <v>11</v>
      </c>
      <c r="H1" s="155">
        <v>1.0</v>
      </c>
      <c r="I1" s="155">
        <v>2.0</v>
      </c>
      <c r="J1" s="155">
        <v>3.0</v>
      </c>
      <c r="K1" s="155">
        <v>4.0</v>
      </c>
      <c r="L1" s="155">
        <v>5.0</v>
      </c>
      <c r="M1" s="155">
        <v>6.0</v>
      </c>
      <c r="N1" s="155">
        <v>7.0</v>
      </c>
      <c r="O1" s="155">
        <v>8.0</v>
      </c>
      <c r="P1" s="155">
        <v>9.0</v>
      </c>
      <c r="Q1" s="155">
        <v>10.0</v>
      </c>
      <c r="R1" s="155">
        <v>11.0</v>
      </c>
      <c r="S1" s="155">
        <v>12.0</v>
      </c>
      <c r="T1" s="155">
        <v>13.0</v>
      </c>
      <c r="U1" s="155">
        <v>14.0</v>
      </c>
      <c r="V1" s="155">
        <v>15.0</v>
      </c>
      <c r="W1" s="155">
        <v>16.0</v>
      </c>
      <c r="X1" s="155">
        <v>17.0</v>
      </c>
      <c r="Y1" s="155">
        <v>18.0</v>
      </c>
      <c r="Z1" s="155">
        <v>19.0</v>
      </c>
      <c r="AA1" s="155">
        <v>20.0</v>
      </c>
      <c r="AB1" s="155">
        <v>21.0</v>
      </c>
      <c r="AC1" s="155">
        <v>22.0</v>
      </c>
      <c r="AD1" s="155">
        <v>23.0</v>
      </c>
      <c r="AE1" s="155">
        <v>24.0</v>
      </c>
      <c r="AF1" s="155">
        <v>25.0</v>
      </c>
      <c r="AG1" s="155">
        <v>26.0</v>
      </c>
      <c r="AH1" s="155">
        <v>27.0</v>
      </c>
      <c r="AI1" s="155">
        <v>28.0</v>
      </c>
      <c r="AJ1" s="156">
        <v>29.0</v>
      </c>
      <c r="AK1" s="155">
        <v>30.0</v>
      </c>
      <c r="AL1" s="155">
        <v>31.0</v>
      </c>
      <c r="AM1" s="155">
        <v>32.0</v>
      </c>
      <c r="AN1" s="155">
        <v>33.0</v>
      </c>
      <c r="AO1" s="155">
        <v>34.0</v>
      </c>
      <c r="AP1" s="155">
        <v>35.0</v>
      </c>
      <c r="AQ1" s="155">
        <v>36.0</v>
      </c>
      <c r="AR1" s="155">
        <v>37.0</v>
      </c>
      <c r="AS1" s="155">
        <v>38.0</v>
      </c>
      <c r="AT1" s="155">
        <v>39.0</v>
      </c>
      <c r="AU1" s="155">
        <v>40.0</v>
      </c>
      <c r="AV1" s="155">
        <v>41.0</v>
      </c>
      <c r="AW1" s="156">
        <v>42.0</v>
      </c>
      <c r="AX1" s="156">
        <v>43.0</v>
      </c>
      <c r="AY1" s="155">
        <v>44.0</v>
      </c>
      <c r="AZ1" s="155">
        <v>45.0</v>
      </c>
      <c r="BA1" s="155">
        <v>46.0</v>
      </c>
      <c r="BB1" s="155">
        <v>47.0</v>
      </c>
      <c r="BC1" s="155">
        <v>48.0</v>
      </c>
      <c r="BD1" s="155">
        <v>49.0</v>
      </c>
      <c r="BE1" s="155">
        <v>50.0</v>
      </c>
      <c r="BF1" s="155">
        <v>51.0</v>
      </c>
      <c r="BG1" s="155">
        <v>52.0</v>
      </c>
      <c r="BH1" s="155">
        <v>53.0</v>
      </c>
      <c r="BI1" s="155">
        <v>54.0</v>
      </c>
      <c r="BJ1" s="155">
        <v>55.0</v>
      </c>
      <c r="BK1" s="155">
        <v>56.0</v>
      </c>
      <c r="BL1" s="155">
        <v>57.0</v>
      </c>
      <c r="BM1" s="155">
        <v>58.0</v>
      </c>
      <c r="BN1" s="155">
        <v>59.0</v>
      </c>
      <c r="BO1" s="155">
        <v>60.0</v>
      </c>
      <c r="BP1" s="155">
        <v>61.0</v>
      </c>
      <c r="BQ1" s="155">
        <v>62.0</v>
      </c>
      <c r="BR1" s="155">
        <v>63.0</v>
      </c>
      <c r="BS1" s="155">
        <v>64.0</v>
      </c>
      <c r="BT1" s="155">
        <v>65.0</v>
      </c>
      <c r="BU1" s="155">
        <v>66.0</v>
      </c>
      <c r="BV1" s="155">
        <v>67.0</v>
      </c>
      <c r="BW1" s="155">
        <v>68.0</v>
      </c>
      <c r="BX1" s="155">
        <v>69.0</v>
      </c>
      <c r="BY1" s="155">
        <v>70.0</v>
      </c>
      <c r="BZ1" s="155">
        <v>71.0</v>
      </c>
      <c r="CA1" s="155">
        <v>72.0</v>
      </c>
      <c r="CB1" s="155">
        <v>73.0</v>
      </c>
      <c r="CC1" s="155">
        <v>74.0</v>
      </c>
      <c r="CD1" s="155">
        <v>75.0</v>
      </c>
      <c r="CE1" s="155">
        <v>76.0</v>
      </c>
      <c r="CF1" s="155">
        <v>77.0</v>
      </c>
      <c r="CG1" s="155">
        <v>78.0</v>
      </c>
      <c r="CH1" s="155">
        <v>79.0</v>
      </c>
      <c r="CI1" s="155">
        <v>80.0</v>
      </c>
      <c r="CJ1" s="155">
        <v>81.0</v>
      </c>
      <c r="CK1" s="155">
        <v>82.0</v>
      </c>
      <c r="CL1" s="155">
        <v>83.0</v>
      </c>
      <c r="CM1" s="155">
        <v>84.0</v>
      </c>
      <c r="CN1" s="155">
        <v>85.0</v>
      </c>
      <c r="CO1" s="155">
        <v>86.0</v>
      </c>
      <c r="CP1" s="155">
        <v>87.0</v>
      </c>
      <c r="CQ1" s="155">
        <v>88.0</v>
      </c>
      <c r="CR1" s="155">
        <v>89.0</v>
      </c>
      <c r="CS1" s="155">
        <v>90.0</v>
      </c>
      <c r="CT1" s="155">
        <v>91.0</v>
      </c>
      <c r="CU1" s="155">
        <v>92.0</v>
      </c>
      <c r="CV1" s="155">
        <v>93.0</v>
      </c>
      <c r="CW1" s="155">
        <v>94.0</v>
      </c>
      <c r="CX1" s="155">
        <v>95.0</v>
      </c>
      <c r="CY1" s="155">
        <v>96.0</v>
      </c>
      <c r="CZ1" s="155">
        <v>97.0</v>
      </c>
      <c r="DA1" s="155">
        <v>98.0</v>
      </c>
      <c r="DB1" s="155">
        <v>99.0</v>
      </c>
      <c r="DC1" s="155">
        <v>100.0</v>
      </c>
      <c r="DD1" s="155">
        <v>101.0</v>
      </c>
      <c r="DE1" s="156">
        <v>102.0</v>
      </c>
      <c r="DF1" s="156">
        <v>103.0</v>
      </c>
      <c r="DG1" s="156">
        <v>104.0</v>
      </c>
      <c r="DH1" s="156">
        <v>105.0</v>
      </c>
      <c r="DI1" s="156">
        <v>106.0</v>
      </c>
      <c r="DJ1" s="156">
        <v>107.0</v>
      </c>
      <c r="DK1" s="156">
        <v>108.0</v>
      </c>
      <c r="DL1" s="155">
        <v>109.0</v>
      </c>
      <c r="DM1" s="155">
        <v>110.0</v>
      </c>
      <c r="DN1" s="156">
        <v>111.0</v>
      </c>
      <c r="DO1" s="155">
        <v>112.0</v>
      </c>
      <c r="DP1" s="155">
        <v>113.0</v>
      </c>
      <c r="DQ1" s="155">
        <v>114.0</v>
      </c>
      <c r="DR1" s="156">
        <v>115.0</v>
      </c>
      <c r="DS1" s="155">
        <v>116.0</v>
      </c>
      <c r="DT1" s="155">
        <v>117.0</v>
      </c>
      <c r="DU1" s="156">
        <v>118.0</v>
      </c>
      <c r="DV1" s="156">
        <v>119.0</v>
      </c>
      <c r="DW1" s="155">
        <v>120.0</v>
      </c>
      <c r="DX1" s="155">
        <v>121.0</v>
      </c>
      <c r="DY1" s="156">
        <v>122.0</v>
      </c>
      <c r="DZ1" s="156">
        <v>123.0</v>
      </c>
      <c r="EA1" s="155">
        <v>124.0</v>
      </c>
      <c r="EB1" s="156">
        <v>125.0</v>
      </c>
      <c r="EC1" s="155">
        <v>126.0</v>
      </c>
      <c r="ED1" s="156">
        <v>127.0</v>
      </c>
      <c r="EE1" s="156">
        <v>128.0</v>
      </c>
      <c r="EF1" s="155">
        <v>129.0</v>
      </c>
      <c r="EG1" s="155">
        <v>130.0</v>
      </c>
      <c r="EH1" s="155">
        <v>131.0</v>
      </c>
      <c r="EI1" s="155">
        <v>132.0</v>
      </c>
      <c r="EJ1" s="155">
        <v>133.0</v>
      </c>
      <c r="EK1" s="155">
        <v>134.0</v>
      </c>
      <c r="EL1" s="156">
        <v>135.0</v>
      </c>
      <c r="EM1" s="155">
        <v>136.0</v>
      </c>
      <c r="EN1" s="155">
        <v>137.0</v>
      </c>
      <c r="EO1" s="155">
        <v>138.0</v>
      </c>
      <c r="EP1" s="155">
        <v>139.0</v>
      </c>
      <c r="EQ1" s="155">
        <v>140.0</v>
      </c>
      <c r="ER1" s="155">
        <v>141.0</v>
      </c>
      <c r="ES1" s="155">
        <v>142.0</v>
      </c>
      <c r="ET1" s="156">
        <v>143.0</v>
      </c>
      <c r="EU1" s="155">
        <v>144.0</v>
      </c>
      <c r="EV1" s="155">
        <v>145.0</v>
      </c>
      <c r="EW1" s="155">
        <v>146.0</v>
      </c>
      <c r="EX1" s="155">
        <v>147.0</v>
      </c>
      <c r="EY1" s="155">
        <v>148.0</v>
      </c>
      <c r="EZ1" s="155">
        <v>149.0</v>
      </c>
      <c r="FA1" s="155">
        <v>150.0</v>
      </c>
      <c r="FB1" s="155">
        <v>151.0</v>
      </c>
      <c r="FC1" s="155">
        <v>152.0</v>
      </c>
      <c r="FD1" s="155">
        <v>153.0</v>
      </c>
      <c r="FE1" s="155">
        <v>154.0</v>
      </c>
      <c r="FF1" s="155">
        <v>155.0</v>
      </c>
      <c r="FG1" s="155">
        <v>156.0</v>
      </c>
      <c r="FH1" s="155">
        <v>157.0</v>
      </c>
      <c r="FI1" s="155">
        <v>158.0</v>
      </c>
      <c r="FJ1" s="155">
        <v>159.0</v>
      </c>
      <c r="FK1" s="155">
        <v>160.0</v>
      </c>
      <c r="FL1" s="155">
        <v>161.0</v>
      </c>
      <c r="FM1" s="155">
        <v>162.0</v>
      </c>
      <c r="FN1" s="155">
        <v>163.0</v>
      </c>
      <c r="FO1" s="155">
        <v>164.0</v>
      </c>
      <c r="FP1" s="155">
        <v>165.0</v>
      </c>
      <c r="FQ1" s="155">
        <v>166.0</v>
      </c>
      <c r="FR1" s="155">
        <v>167.0</v>
      </c>
      <c r="FS1" s="155">
        <v>168.0</v>
      </c>
      <c r="FT1" s="155">
        <v>169.0</v>
      </c>
      <c r="FU1" s="155">
        <v>170.0</v>
      </c>
      <c r="FV1" s="155">
        <v>171.0</v>
      </c>
      <c r="FW1" s="155">
        <v>172.0</v>
      </c>
      <c r="FX1" s="155">
        <v>173.0</v>
      </c>
      <c r="FY1" s="155">
        <v>174.0</v>
      </c>
      <c r="FZ1" s="155">
        <v>175.0</v>
      </c>
      <c r="GA1" s="155">
        <v>176.0</v>
      </c>
      <c r="GB1" s="155">
        <v>177.0</v>
      </c>
      <c r="GC1" s="155">
        <v>178.0</v>
      </c>
      <c r="GD1" s="155">
        <v>179.0</v>
      </c>
      <c r="GE1" s="155">
        <v>180.0</v>
      </c>
      <c r="GF1" s="155">
        <v>181.0</v>
      </c>
      <c r="GG1" s="155">
        <v>182.0</v>
      </c>
      <c r="GH1" s="155">
        <v>183.0</v>
      </c>
      <c r="GI1" s="155">
        <v>184.0</v>
      </c>
      <c r="GJ1" s="155">
        <v>185.0</v>
      </c>
      <c r="GK1" s="155">
        <v>186.0</v>
      </c>
      <c r="GL1" s="155">
        <v>187.0</v>
      </c>
      <c r="GM1" s="155">
        <v>188.0</v>
      </c>
      <c r="GN1" s="155">
        <v>189.0</v>
      </c>
      <c r="GO1" s="155">
        <v>190.0</v>
      </c>
      <c r="GP1" s="155">
        <v>191.0</v>
      </c>
      <c r="GQ1" s="155">
        <v>192.0</v>
      </c>
      <c r="GR1" s="155">
        <v>193.0</v>
      </c>
      <c r="GS1" s="155">
        <v>194.0</v>
      </c>
      <c r="GT1" s="155">
        <v>195.0</v>
      </c>
      <c r="GU1" s="155">
        <v>196.0</v>
      </c>
      <c r="GV1" s="155">
        <v>197.0</v>
      </c>
      <c r="GW1" s="155">
        <v>198.0</v>
      </c>
      <c r="GX1" s="155">
        <v>199.0</v>
      </c>
      <c r="GY1" s="155">
        <v>200.0</v>
      </c>
      <c r="GZ1" s="155">
        <v>201.0</v>
      </c>
      <c r="HA1" s="155">
        <v>202.0</v>
      </c>
      <c r="HB1" s="155">
        <v>203.0</v>
      </c>
      <c r="HC1" s="155">
        <v>204.0</v>
      </c>
      <c r="HD1" s="156">
        <v>205.0</v>
      </c>
      <c r="HE1" s="155">
        <v>206.0</v>
      </c>
      <c r="HF1" s="156">
        <v>207.0</v>
      </c>
      <c r="HG1" s="155">
        <v>208.0</v>
      </c>
      <c r="HH1" s="155">
        <v>209.0</v>
      </c>
      <c r="HI1" s="155">
        <v>210.0</v>
      </c>
      <c r="HJ1" s="155">
        <v>211.0</v>
      </c>
      <c r="HK1" s="155">
        <v>212.0</v>
      </c>
      <c r="HL1" s="155">
        <v>213.0</v>
      </c>
      <c r="HM1" s="155">
        <v>214.0</v>
      </c>
      <c r="HN1" s="155">
        <v>215.0</v>
      </c>
      <c r="HO1" s="155">
        <v>216.0</v>
      </c>
      <c r="HP1" s="155">
        <v>217.0</v>
      </c>
      <c r="HQ1" s="155">
        <v>218.0</v>
      </c>
      <c r="HR1" s="155">
        <v>219.0</v>
      </c>
      <c r="HS1" s="155">
        <v>220.0</v>
      </c>
      <c r="HT1" s="155">
        <v>221.0</v>
      </c>
      <c r="HU1" s="155">
        <v>222.0</v>
      </c>
      <c r="HV1" s="155">
        <v>223.0</v>
      </c>
      <c r="HW1" s="155">
        <v>224.0</v>
      </c>
      <c r="HX1" s="155">
        <v>225.0</v>
      </c>
      <c r="HY1" s="155">
        <v>226.0</v>
      </c>
      <c r="HZ1" s="155">
        <v>227.0</v>
      </c>
      <c r="IA1" s="155">
        <v>228.0</v>
      </c>
      <c r="IB1" s="155">
        <v>229.0</v>
      </c>
      <c r="IC1" s="155">
        <v>230.0</v>
      </c>
      <c r="ID1" s="155">
        <v>231.0</v>
      </c>
      <c r="IE1" s="155">
        <v>232.0</v>
      </c>
      <c r="IF1" s="155">
        <v>233.0</v>
      </c>
      <c r="IG1" s="155">
        <v>234.0</v>
      </c>
      <c r="IH1" s="155">
        <v>235.0</v>
      </c>
      <c r="II1" s="155">
        <v>236.0</v>
      </c>
      <c r="IJ1" s="155">
        <v>237.0</v>
      </c>
      <c r="IK1" s="155">
        <v>238.0</v>
      </c>
      <c r="IL1" s="155">
        <v>239.0</v>
      </c>
      <c r="IM1" s="155">
        <v>240.0</v>
      </c>
      <c r="IN1" s="155">
        <v>241.0</v>
      </c>
      <c r="IO1" s="155">
        <v>242.0</v>
      </c>
      <c r="IP1" s="155">
        <v>243.0</v>
      </c>
      <c r="IQ1" s="155">
        <v>244.0</v>
      </c>
      <c r="IR1" s="155">
        <v>245.0</v>
      </c>
      <c r="IS1" s="155">
        <v>246.0</v>
      </c>
      <c r="IT1" s="155">
        <v>247.0</v>
      </c>
      <c r="IU1" s="155">
        <v>248.0</v>
      </c>
      <c r="IV1" s="155">
        <v>249.0</v>
      </c>
      <c r="IW1" s="155">
        <v>250.0</v>
      </c>
      <c r="IX1" s="155">
        <v>251.0</v>
      </c>
      <c r="IY1" s="155">
        <v>252.0</v>
      </c>
      <c r="IZ1" s="155">
        <v>253.0</v>
      </c>
      <c r="JA1" s="155">
        <v>254.0</v>
      </c>
      <c r="JB1" s="155">
        <v>255.0</v>
      </c>
      <c r="JC1" s="155">
        <v>256.0</v>
      </c>
      <c r="JD1" s="155">
        <v>257.0</v>
      </c>
      <c r="JE1" s="155">
        <v>258.0</v>
      </c>
      <c r="JF1" s="155">
        <v>259.0</v>
      </c>
      <c r="JG1" s="155">
        <v>260.0</v>
      </c>
      <c r="JH1" s="155">
        <v>261.0</v>
      </c>
      <c r="JI1" s="155">
        <v>262.0</v>
      </c>
      <c r="JJ1" s="155">
        <v>263.0</v>
      </c>
      <c r="JK1" s="155">
        <v>264.0</v>
      </c>
      <c r="JL1" s="155">
        <v>265.0</v>
      </c>
      <c r="JM1" s="155">
        <v>266.0</v>
      </c>
      <c r="JN1" s="155">
        <v>267.0</v>
      </c>
      <c r="JO1" s="155">
        <v>268.0</v>
      </c>
      <c r="JP1" s="155">
        <v>269.0</v>
      </c>
      <c r="JQ1" s="155">
        <v>270.0</v>
      </c>
      <c r="JR1" s="155">
        <v>271.0</v>
      </c>
      <c r="JS1" s="155">
        <v>272.0</v>
      </c>
      <c r="JT1" s="155">
        <v>273.0</v>
      </c>
      <c r="JU1" s="155">
        <v>274.0</v>
      </c>
      <c r="JV1" s="155">
        <v>275.0</v>
      </c>
      <c r="JW1" s="155">
        <v>276.0</v>
      </c>
      <c r="JX1" s="155">
        <v>277.0</v>
      </c>
      <c r="JY1" s="155">
        <v>278.0</v>
      </c>
      <c r="JZ1" s="155">
        <v>279.0</v>
      </c>
      <c r="KA1" s="155">
        <v>280.0</v>
      </c>
      <c r="KB1" s="155">
        <v>281.0</v>
      </c>
      <c r="KC1" s="155">
        <v>282.0</v>
      </c>
      <c r="KD1" s="155">
        <v>283.0</v>
      </c>
      <c r="KE1" s="155">
        <v>284.0</v>
      </c>
      <c r="KF1" s="155">
        <v>285.0</v>
      </c>
      <c r="KG1" s="155">
        <v>286.0</v>
      </c>
      <c r="KH1" s="155">
        <v>287.0</v>
      </c>
      <c r="KI1" s="155">
        <v>288.0</v>
      </c>
      <c r="KJ1" s="155">
        <v>289.0</v>
      </c>
      <c r="KK1" s="155">
        <v>290.0</v>
      </c>
      <c r="KL1" s="155">
        <v>291.0</v>
      </c>
      <c r="KM1" s="155">
        <v>292.0</v>
      </c>
      <c r="KN1" s="155">
        <v>293.0</v>
      </c>
      <c r="KO1" s="155">
        <v>294.0</v>
      </c>
      <c r="KP1" s="155">
        <v>295.0</v>
      </c>
      <c r="KQ1" s="155">
        <v>296.0</v>
      </c>
      <c r="KR1" s="156">
        <v>297.0</v>
      </c>
      <c r="KS1" s="155">
        <v>298.0</v>
      </c>
      <c r="KT1" s="155">
        <v>299.0</v>
      </c>
      <c r="KU1" s="155">
        <v>300.0</v>
      </c>
      <c r="KV1" s="155">
        <v>301.0</v>
      </c>
      <c r="KW1" s="155">
        <v>302.0</v>
      </c>
      <c r="KX1" s="157"/>
    </row>
    <row r="2">
      <c r="A2" s="158">
        <v>1.0</v>
      </c>
      <c r="B2" s="158">
        <f t="shared" ref="B2:B38" si="1">COUNTIF(C2:ZZ2,1)</f>
        <v>23</v>
      </c>
      <c r="C2" s="158" t="s">
        <v>2332</v>
      </c>
      <c r="D2" s="159" t="s">
        <v>2333</v>
      </c>
      <c r="E2" s="160"/>
      <c r="F2" s="159" t="s">
        <v>2334</v>
      </c>
      <c r="G2" s="159" t="s">
        <v>24</v>
      </c>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2"/>
      <c r="AK2" s="161"/>
      <c r="AL2" s="161"/>
      <c r="AM2" s="161"/>
      <c r="AN2" s="155">
        <v>1.0</v>
      </c>
      <c r="AO2" s="155">
        <v>1.0</v>
      </c>
      <c r="AP2" s="161"/>
      <c r="AQ2" s="161"/>
      <c r="AR2" s="161"/>
      <c r="AS2" s="161"/>
      <c r="AT2" s="161"/>
      <c r="AU2" s="161"/>
      <c r="AV2" s="161"/>
      <c r="AW2" s="162"/>
      <c r="AX2" s="162"/>
      <c r="AY2" s="161"/>
      <c r="AZ2" s="161"/>
      <c r="BA2" s="161"/>
      <c r="BB2" s="161"/>
      <c r="BC2" s="161"/>
      <c r="BD2" s="161"/>
      <c r="BE2" s="161"/>
      <c r="BF2" s="161"/>
      <c r="BG2" s="155">
        <v>1.0</v>
      </c>
      <c r="BH2" s="161"/>
      <c r="BI2" s="155">
        <v>1.0</v>
      </c>
      <c r="BJ2" s="161"/>
      <c r="BK2" s="161"/>
      <c r="BL2" s="161"/>
      <c r="BM2" s="155"/>
      <c r="BN2" s="161"/>
      <c r="BO2" s="155">
        <v>1.0</v>
      </c>
      <c r="BP2" s="161"/>
      <c r="BQ2" s="161"/>
      <c r="BR2" s="161"/>
      <c r="BS2" s="161"/>
      <c r="BT2" s="161"/>
      <c r="BU2" s="161"/>
      <c r="BV2" s="161"/>
      <c r="BW2" s="161"/>
      <c r="BX2" s="161"/>
      <c r="BY2" s="161"/>
      <c r="BZ2" s="155"/>
      <c r="CA2" s="155">
        <v>1.0</v>
      </c>
      <c r="CB2" s="161"/>
      <c r="CC2" s="155">
        <v>1.0</v>
      </c>
      <c r="CD2" s="161"/>
      <c r="CE2" s="155">
        <v>1.0</v>
      </c>
      <c r="CF2" s="155">
        <v>1.0</v>
      </c>
      <c r="CG2" s="161"/>
      <c r="CH2" s="161"/>
      <c r="CI2" s="161"/>
      <c r="CJ2" s="161"/>
      <c r="CK2" s="161"/>
      <c r="CL2" s="161"/>
      <c r="CM2" s="161"/>
      <c r="CN2" s="161"/>
      <c r="CO2" s="161"/>
      <c r="CP2" s="161"/>
      <c r="CQ2" s="161"/>
      <c r="CR2" s="161"/>
      <c r="CS2" s="161"/>
      <c r="CT2" s="129"/>
      <c r="CU2" s="161"/>
      <c r="CV2" s="155">
        <v>1.0</v>
      </c>
      <c r="CW2" s="129"/>
      <c r="CX2" s="129"/>
      <c r="CY2" s="155">
        <v>1.0</v>
      </c>
      <c r="CZ2" s="161"/>
      <c r="DA2" s="161"/>
      <c r="DB2" s="161"/>
      <c r="DC2" s="161"/>
      <c r="DD2" s="161"/>
      <c r="DE2" s="162"/>
      <c r="DF2" s="162"/>
      <c r="DG2" s="162"/>
      <c r="DH2" s="162"/>
      <c r="DI2" s="162"/>
      <c r="DJ2" s="162"/>
      <c r="DK2" s="162"/>
      <c r="DL2" s="161"/>
      <c r="DM2" s="161"/>
      <c r="DN2" s="162"/>
      <c r="DO2" s="161"/>
      <c r="DP2" s="161"/>
      <c r="DQ2" s="161"/>
      <c r="DR2" s="162"/>
      <c r="DS2" s="161"/>
      <c r="DT2" s="161"/>
      <c r="DU2" s="162"/>
      <c r="DV2" s="162"/>
      <c r="DW2" s="161"/>
      <c r="DX2" s="161"/>
      <c r="DY2" s="162"/>
      <c r="DZ2" s="162"/>
      <c r="EA2" s="161"/>
      <c r="EB2" s="162"/>
      <c r="EC2" s="161"/>
      <c r="ED2" s="162"/>
      <c r="EE2" s="162"/>
      <c r="EF2" s="161"/>
      <c r="EG2" s="161"/>
      <c r="EH2" s="161"/>
      <c r="EI2" s="161"/>
      <c r="EJ2" s="161"/>
      <c r="EK2" s="161"/>
      <c r="EL2" s="162"/>
      <c r="EM2" s="155">
        <v>1.0</v>
      </c>
      <c r="EN2" s="161"/>
      <c r="EO2" s="161"/>
      <c r="EP2" s="161"/>
      <c r="EQ2" s="155">
        <v>1.0</v>
      </c>
      <c r="ER2" s="161"/>
      <c r="ES2" s="161"/>
      <c r="ET2" s="162"/>
      <c r="EU2" s="161"/>
      <c r="EV2" s="161"/>
      <c r="EW2" s="161"/>
      <c r="EX2" s="161"/>
      <c r="EY2" s="161"/>
      <c r="EZ2" s="161"/>
      <c r="FA2" s="161"/>
      <c r="FB2" s="161"/>
      <c r="FC2" s="155">
        <v>1.0</v>
      </c>
      <c r="FD2" s="161"/>
      <c r="FE2" s="161"/>
      <c r="FF2" s="161"/>
      <c r="FG2" s="161"/>
      <c r="FH2" s="161"/>
      <c r="FI2" s="161"/>
      <c r="FJ2" s="161"/>
      <c r="FK2" s="161"/>
      <c r="FL2" s="161"/>
      <c r="FM2" s="155">
        <v>1.0</v>
      </c>
      <c r="FN2" s="161"/>
      <c r="FO2" s="161"/>
      <c r="FP2" s="161"/>
      <c r="FQ2" s="161"/>
      <c r="FR2" s="161"/>
      <c r="FS2" s="161"/>
      <c r="FT2" s="161"/>
      <c r="FU2" s="161"/>
      <c r="FV2" s="155">
        <v>1.0</v>
      </c>
      <c r="FW2" s="161"/>
      <c r="FX2" s="161"/>
      <c r="FY2" s="161"/>
      <c r="FZ2" s="161"/>
      <c r="GA2" s="161"/>
      <c r="GB2" s="161"/>
      <c r="GC2" s="161"/>
      <c r="GD2" s="161"/>
      <c r="GE2" s="161"/>
      <c r="GF2" s="161"/>
      <c r="GG2" s="161"/>
      <c r="GH2" s="161"/>
      <c r="GI2" s="161"/>
      <c r="GJ2" s="161"/>
      <c r="GK2" s="161"/>
      <c r="GL2" s="161"/>
      <c r="GM2" s="161"/>
      <c r="GN2" s="161"/>
      <c r="GO2" s="161"/>
      <c r="GP2" s="161"/>
      <c r="GQ2" s="161"/>
      <c r="GR2" s="161"/>
      <c r="GS2" s="161"/>
      <c r="GT2" s="161"/>
      <c r="GU2" s="161"/>
      <c r="GV2" s="161"/>
      <c r="GW2" s="161"/>
      <c r="GX2" s="161"/>
      <c r="GY2" s="161"/>
      <c r="GZ2" s="161"/>
      <c r="HA2" s="161"/>
      <c r="HB2" s="161"/>
      <c r="HC2" s="161"/>
      <c r="HD2" s="162"/>
      <c r="HE2" s="161"/>
      <c r="HF2" s="162"/>
      <c r="HG2" s="161"/>
      <c r="HH2" s="161"/>
      <c r="HI2" s="161"/>
      <c r="HJ2" s="161"/>
      <c r="HK2" s="161"/>
      <c r="HL2" s="161"/>
      <c r="HM2" s="161"/>
      <c r="HN2" s="161"/>
      <c r="HO2" s="161"/>
      <c r="HP2" s="161"/>
      <c r="HQ2" s="161"/>
      <c r="HR2" s="161"/>
      <c r="HS2" s="161"/>
      <c r="HT2" s="161"/>
      <c r="HU2" s="161"/>
      <c r="HV2" s="161"/>
      <c r="HW2" s="161"/>
      <c r="HX2" s="161"/>
      <c r="HY2" s="161"/>
      <c r="HZ2" s="161"/>
      <c r="IA2" s="161"/>
      <c r="IB2" s="161"/>
      <c r="IC2" s="161"/>
      <c r="ID2" s="161"/>
      <c r="IE2" s="161"/>
      <c r="IF2" s="161"/>
      <c r="IG2" s="161"/>
      <c r="IH2" s="161"/>
      <c r="II2" s="161"/>
      <c r="IJ2" s="161"/>
      <c r="IK2" s="161"/>
      <c r="IL2" s="161"/>
      <c r="IM2" s="161"/>
      <c r="IN2" s="161"/>
      <c r="IO2" s="161"/>
      <c r="IP2" s="161"/>
      <c r="IQ2" s="161"/>
      <c r="IR2" s="161"/>
      <c r="IS2" s="161"/>
      <c r="IT2" s="161"/>
      <c r="IU2" s="161"/>
      <c r="IV2" s="155">
        <v>1.0</v>
      </c>
      <c r="IW2" s="161"/>
      <c r="IX2" s="161"/>
      <c r="IY2" s="161"/>
      <c r="IZ2" s="161"/>
      <c r="JA2" s="161"/>
      <c r="JB2" s="161"/>
      <c r="JC2" s="161"/>
      <c r="JD2" s="155">
        <v>1.0</v>
      </c>
      <c r="JE2" s="161"/>
      <c r="JF2" s="161"/>
      <c r="JG2" s="155">
        <v>1.0</v>
      </c>
      <c r="JH2" s="161"/>
      <c r="JI2" s="161"/>
      <c r="JJ2" s="161"/>
      <c r="JK2" s="161"/>
      <c r="JL2" s="161"/>
      <c r="JM2" s="161"/>
      <c r="JN2" s="161"/>
      <c r="JO2" s="161"/>
      <c r="JP2" s="161"/>
      <c r="JQ2" s="161"/>
      <c r="JR2" s="161"/>
      <c r="JS2" s="161"/>
      <c r="JT2" s="161"/>
      <c r="JU2" s="161"/>
      <c r="JV2" s="161"/>
      <c r="JW2" s="155">
        <v>1.0</v>
      </c>
      <c r="JX2" s="161"/>
      <c r="JY2" s="155">
        <v>1.0</v>
      </c>
      <c r="JZ2" s="161"/>
      <c r="KA2" s="161"/>
      <c r="KB2" s="161"/>
      <c r="KC2" s="161"/>
      <c r="KD2" s="161"/>
      <c r="KE2" s="161"/>
      <c r="KF2" s="155"/>
      <c r="KG2" s="161"/>
      <c r="KH2" s="155">
        <v>1.0</v>
      </c>
      <c r="KI2" s="161"/>
      <c r="KJ2" s="155">
        <v>1.0</v>
      </c>
      <c r="KK2" s="161"/>
      <c r="KL2" s="161"/>
      <c r="KM2" s="161"/>
      <c r="KN2" s="161"/>
      <c r="KO2" s="161"/>
      <c r="KP2" s="161"/>
      <c r="KQ2" s="161"/>
      <c r="KR2" s="162"/>
      <c r="KS2" s="161"/>
      <c r="KT2" s="161"/>
      <c r="KU2" s="161"/>
      <c r="KV2" s="161"/>
      <c r="KW2" s="161"/>
      <c r="KX2" s="129"/>
    </row>
    <row r="3">
      <c r="A3" s="158">
        <v>2.0</v>
      </c>
      <c r="B3" s="158">
        <f t="shared" si="1"/>
        <v>23</v>
      </c>
      <c r="C3" s="158" t="s">
        <v>2342</v>
      </c>
      <c r="D3" s="159" t="s">
        <v>2343</v>
      </c>
      <c r="E3" s="160"/>
      <c r="F3" s="159" t="s">
        <v>2344</v>
      </c>
      <c r="G3" s="159" t="s">
        <v>2345</v>
      </c>
      <c r="H3" s="161"/>
      <c r="I3" s="161"/>
      <c r="J3" s="161"/>
      <c r="K3" s="155"/>
      <c r="L3" s="161"/>
      <c r="M3" s="161"/>
      <c r="N3" s="161"/>
      <c r="O3" s="161"/>
      <c r="P3" s="161"/>
      <c r="Q3" s="161"/>
      <c r="R3" s="161"/>
      <c r="S3" s="161"/>
      <c r="T3" s="161"/>
      <c r="U3" s="161"/>
      <c r="V3" s="161"/>
      <c r="W3" s="161"/>
      <c r="X3" s="155">
        <v>1.0</v>
      </c>
      <c r="Y3" s="155">
        <v>1.0</v>
      </c>
      <c r="Z3" s="161"/>
      <c r="AA3" s="161"/>
      <c r="AB3" s="155">
        <v>1.0</v>
      </c>
      <c r="AC3" s="161"/>
      <c r="AD3" s="161"/>
      <c r="AE3" s="155">
        <v>1.0</v>
      </c>
      <c r="AF3" s="161"/>
      <c r="AG3" s="155">
        <v>1.0</v>
      </c>
      <c r="AH3" s="161"/>
      <c r="AI3" s="161"/>
      <c r="AJ3" s="162"/>
      <c r="AK3" s="161"/>
      <c r="AL3" s="155">
        <v>1.0</v>
      </c>
      <c r="AM3" s="161"/>
      <c r="AN3" s="161"/>
      <c r="AO3" s="161"/>
      <c r="AP3" s="161"/>
      <c r="AQ3" s="161"/>
      <c r="AR3" s="161"/>
      <c r="AS3" s="161"/>
      <c r="AT3" s="155">
        <v>1.0</v>
      </c>
      <c r="AU3" s="161"/>
      <c r="AV3" s="161"/>
      <c r="AW3" s="162"/>
      <c r="AX3" s="162"/>
      <c r="AY3" s="161"/>
      <c r="AZ3" s="161"/>
      <c r="BA3" s="161"/>
      <c r="BB3" s="161"/>
      <c r="BC3" s="161"/>
      <c r="BD3" s="161"/>
      <c r="BE3" s="161"/>
      <c r="BF3" s="129"/>
      <c r="BG3" s="161"/>
      <c r="BH3" s="155">
        <v>1.0</v>
      </c>
      <c r="BI3" s="161"/>
      <c r="BJ3" s="161"/>
      <c r="BK3" s="161"/>
      <c r="BL3" s="161"/>
      <c r="BM3" s="161"/>
      <c r="BN3" s="161"/>
      <c r="BO3" s="161"/>
      <c r="BP3" s="161"/>
      <c r="BQ3" s="161"/>
      <c r="BR3" s="161"/>
      <c r="BS3" s="161"/>
      <c r="BT3" s="161"/>
      <c r="BU3" s="155">
        <v>1.0</v>
      </c>
      <c r="BV3" s="161"/>
      <c r="BW3" s="155">
        <v>1.0</v>
      </c>
      <c r="BX3" s="161"/>
      <c r="BY3" s="161"/>
      <c r="BZ3" s="161"/>
      <c r="CA3" s="161"/>
      <c r="CB3" s="155">
        <v>1.0</v>
      </c>
      <c r="CC3" s="161"/>
      <c r="CD3" s="161"/>
      <c r="CE3" s="161"/>
      <c r="CF3" s="161"/>
      <c r="CG3" s="161"/>
      <c r="CH3" s="161"/>
      <c r="CI3" s="161"/>
      <c r="CJ3" s="161"/>
      <c r="CK3" s="161"/>
      <c r="CL3" s="161"/>
      <c r="CM3" s="161"/>
      <c r="CN3" s="161"/>
      <c r="CO3" s="161"/>
      <c r="CP3" s="161"/>
      <c r="CQ3" s="161"/>
      <c r="CR3" s="155">
        <v>1.0</v>
      </c>
      <c r="CS3" s="155"/>
      <c r="CT3" s="129"/>
      <c r="CU3" s="161"/>
      <c r="CV3" s="161"/>
      <c r="CW3" s="129"/>
      <c r="CX3" s="129"/>
      <c r="CY3" s="161"/>
      <c r="CZ3" s="161"/>
      <c r="DA3" s="161"/>
      <c r="DB3" s="161"/>
      <c r="DC3" s="161"/>
      <c r="DD3" s="155"/>
      <c r="DE3" s="162"/>
      <c r="DF3" s="162"/>
      <c r="DG3" s="162"/>
      <c r="DH3" s="162"/>
      <c r="DI3" s="162"/>
      <c r="DJ3" s="162"/>
      <c r="DK3" s="162"/>
      <c r="DL3" s="161"/>
      <c r="DM3" s="161"/>
      <c r="DN3" s="156">
        <v>1.0</v>
      </c>
      <c r="DO3" s="161"/>
      <c r="DP3" s="161"/>
      <c r="DQ3" s="155">
        <v>1.0</v>
      </c>
      <c r="DR3" s="156"/>
      <c r="DS3" s="155"/>
      <c r="DT3" s="155"/>
      <c r="DU3" s="162"/>
      <c r="DV3" s="162"/>
      <c r="DW3" s="161"/>
      <c r="DX3" s="161"/>
      <c r="DY3" s="162"/>
      <c r="DZ3" s="162"/>
      <c r="EA3" s="161"/>
      <c r="EB3" s="162"/>
      <c r="EC3" s="161"/>
      <c r="ED3" s="162"/>
      <c r="EE3" s="162"/>
      <c r="EF3" s="161"/>
      <c r="EG3" s="161"/>
      <c r="EH3" s="161"/>
      <c r="EI3" s="161"/>
      <c r="EJ3" s="161"/>
      <c r="EK3" s="161"/>
      <c r="EL3" s="162"/>
      <c r="EM3" s="161"/>
      <c r="EN3" s="161"/>
      <c r="EO3" s="161"/>
      <c r="EP3" s="161"/>
      <c r="EQ3" s="161"/>
      <c r="ER3" s="161"/>
      <c r="ES3" s="161"/>
      <c r="ET3" s="162"/>
      <c r="EU3" s="161"/>
      <c r="EV3" s="155">
        <v>1.0</v>
      </c>
      <c r="EW3" s="161"/>
      <c r="EX3" s="161"/>
      <c r="EY3" s="161"/>
      <c r="EZ3" s="161"/>
      <c r="FA3" s="161"/>
      <c r="FB3" s="155">
        <v>1.0</v>
      </c>
      <c r="FC3" s="161"/>
      <c r="FD3" s="161"/>
      <c r="FE3" s="161"/>
      <c r="FF3" s="161"/>
      <c r="FG3" s="161"/>
      <c r="FH3" s="161"/>
      <c r="FI3" s="161"/>
      <c r="FJ3" s="161"/>
      <c r="FK3" s="161"/>
      <c r="FL3" s="161"/>
      <c r="FM3" s="161"/>
      <c r="FN3" s="161"/>
      <c r="FO3" s="161"/>
      <c r="FP3" s="161"/>
      <c r="FQ3" s="161"/>
      <c r="FR3" s="161"/>
      <c r="FS3" s="161"/>
      <c r="FT3" s="161"/>
      <c r="FU3" s="161"/>
      <c r="FV3" s="161"/>
      <c r="FW3" s="161"/>
      <c r="FX3" s="161"/>
      <c r="FY3" s="161"/>
      <c r="FZ3" s="161"/>
      <c r="GA3" s="161"/>
      <c r="GB3" s="161"/>
      <c r="GC3" s="161"/>
      <c r="GD3" s="161"/>
      <c r="GE3" s="161"/>
      <c r="GF3" s="161"/>
      <c r="GG3" s="161"/>
      <c r="GH3" s="161"/>
      <c r="GI3" s="161"/>
      <c r="GJ3" s="161"/>
      <c r="GK3" s="161"/>
      <c r="GL3" s="161"/>
      <c r="GM3" s="161"/>
      <c r="GN3" s="161"/>
      <c r="GO3" s="161"/>
      <c r="GP3" s="161"/>
      <c r="GQ3" s="161"/>
      <c r="GR3" s="161"/>
      <c r="GS3" s="161"/>
      <c r="GT3" s="161"/>
      <c r="GU3" s="161"/>
      <c r="GV3" s="161"/>
      <c r="GW3" s="161"/>
      <c r="GX3" s="161"/>
      <c r="GY3" s="161"/>
      <c r="GZ3" s="161"/>
      <c r="HA3" s="161"/>
      <c r="HB3" s="161"/>
      <c r="HC3" s="161"/>
      <c r="HD3" s="162"/>
      <c r="HE3" s="161"/>
      <c r="HF3" s="162"/>
      <c r="HG3" s="161"/>
      <c r="HH3" s="161"/>
      <c r="HI3" s="161"/>
      <c r="HJ3" s="161"/>
      <c r="HK3" s="155"/>
      <c r="HL3" s="155">
        <v>1.0</v>
      </c>
      <c r="HM3" s="161"/>
      <c r="HN3" s="161"/>
      <c r="HO3" s="161"/>
      <c r="HP3" s="161"/>
      <c r="HQ3" s="161"/>
      <c r="HR3" s="161"/>
      <c r="HS3" s="161"/>
      <c r="HT3" s="161"/>
      <c r="HU3" s="161"/>
      <c r="HV3" s="161"/>
      <c r="HW3" s="161"/>
      <c r="HX3" s="161"/>
      <c r="HY3" s="161"/>
      <c r="HZ3" s="161"/>
      <c r="IA3" s="155">
        <v>1.0</v>
      </c>
      <c r="IB3" s="161"/>
      <c r="IC3" s="161"/>
      <c r="ID3" s="161"/>
      <c r="IE3" s="161"/>
      <c r="IF3" s="161"/>
      <c r="IG3" s="161"/>
      <c r="IH3" s="161"/>
      <c r="II3" s="161"/>
      <c r="IJ3" s="161"/>
      <c r="IK3" s="161"/>
      <c r="IL3" s="161"/>
      <c r="IM3" s="161"/>
      <c r="IN3" s="161"/>
      <c r="IO3" s="161"/>
      <c r="IP3" s="161"/>
      <c r="IQ3" s="161"/>
      <c r="IR3" s="161"/>
      <c r="IS3" s="161"/>
      <c r="IT3" s="161"/>
      <c r="IU3" s="161"/>
      <c r="IV3" s="161"/>
      <c r="IW3" s="161"/>
      <c r="IX3" s="161"/>
      <c r="IY3" s="161"/>
      <c r="IZ3" s="161"/>
      <c r="JA3" s="161"/>
      <c r="JB3" s="161"/>
      <c r="JC3" s="155">
        <v>1.0</v>
      </c>
      <c r="JD3" s="161"/>
      <c r="JE3" s="161"/>
      <c r="JF3" s="155">
        <v>1.0</v>
      </c>
      <c r="JG3" s="161"/>
      <c r="JH3" s="161"/>
      <c r="JI3" s="161"/>
      <c r="JJ3" s="161"/>
      <c r="JK3" s="161"/>
      <c r="JL3" s="161"/>
      <c r="JM3" s="155">
        <v>1.0</v>
      </c>
      <c r="JN3" s="161"/>
      <c r="JO3" s="161"/>
      <c r="JP3" s="161"/>
      <c r="JQ3" s="161"/>
      <c r="JR3" s="161"/>
      <c r="JS3" s="161"/>
      <c r="JT3" s="161"/>
      <c r="JU3" s="161"/>
      <c r="JV3" s="161"/>
      <c r="JW3" s="161"/>
      <c r="JX3" s="161"/>
      <c r="JY3" s="161"/>
      <c r="JZ3" s="161"/>
      <c r="KA3" s="161"/>
      <c r="KB3" s="161"/>
      <c r="KC3" s="161"/>
      <c r="KD3" s="161"/>
      <c r="KE3" s="155">
        <v>1.0</v>
      </c>
      <c r="KF3" s="161"/>
      <c r="KG3" s="161"/>
      <c r="KH3" s="161"/>
      <c r="KI3" s="161"/>
      <c r="KJ3" s="161"/>
      <c r="KK3" s="161"/>
      <c r="KL3" s="161"/>
      <c r="KM3" s="161"/>
      <c r="KN3" s="161"/>
      <c r="KO3" s="161"/>
      <c r="KP3" s="161"/>
      <c r="KQ3" s="161"/>
      <c r="KR3" s="162"/>
      <c r="KS3" s="161"/>
      <c r="KT3" s="161"/>
      <c r="KU3" s="155">
        <v>1.0</v>
      </c>
      <c r="KV3" s="161"/>
      <c r="KW3" s="161"/>
      <c r="KX3" s="129"/>
    </row>
    <row r="4">
      <c r="A4" s="158">
        <v>4.0</v>
      </c>
      <c r="B4" s="158">
        <f t="shared" si="1"/>
        <v>17</v>
      </c>
      <c r="C4" s="158" t="s">
        <v>2342</v>
      </c>
      <c r="D4" s="159" t="s">
        <v>2352</v>
      </c>
      <c r="E4" s="160"/>
      <c r="F4" s="163" t="s">
        <v>2644</v>
      </c>
      <c r="G4" s="159" t="s">
        <v>2354</v>
      </c>
      <c r="H4" s="161"/>
      <c r="I4" s="161"/>
      <c r="J4" s="161"/>
      <c r="K4" s="161"/>
      <c r="L4" s="161"/>
      <c r="M4" s="161"/>
      <c r="N4" s="161"/>
      <c r="O4" s="161"/>
      <c r="P4" s="161"/>
      <c r="Q4" s="155"/>
      <c r="R4" s="155">
        <v>1.0</v>
      </c>
      <c r="S4" s="155">
        <v>1.0</v>
      </c>
      <c r="T4" s="155">
        <v>1.0</v>
      </c>
      <c r="U4" s="161"/>
      <c r="V4" s="161"/>
      <c r="W4" s="161"/>
      <c r="X4" s="161"/>
      <c r="Y4" s="161"/>
      <c r="Z4" s="161"/>
      <c r="AA4" s="155">
        <v>1.0</v>
      </c>
      <c r="AB4" s="161"/>
      <c r="AC4" s="161"/>
      <c r="AD4" s="155">
        <v>1.0</v>
      </c>
      <c r="AE4" s="161"/>
      <c r="AF4" s="161"/>
      <c r="AG4" s="161"/>
      <c r="AH4" s="161"/>
      <c r="AI4" s="161"/>
      <c r="AJ4" s="162"/>
      <c r="AK4" s="161"/>
      <c r="AL4" s="161"/>
      <c r="AM4" s="161"/>
      <c r="AN4" s="161"/>
      <c r="AO4" s="161"/>
      <c r="AP4" s="161"/>
      <c r="AQ4" s="161"/>
      <c r="AR4" s="155">
        <v>1.0</v>
      </c>
      <c r="AS4" s="161"/>
      <c r="AT4" s="161"/>
      <c r="AU4" s="161"/>
      <c r="AV4" s="161"/>
      <c r="AW4" s="156"/>
      <c r="AX4" s="156"/>
      <c r="AY4" s="155">
        <v>1.0</v>
      </c>
      <c r="AZ4" s="155"/>
      <c r="BA4" s="161"/>
      <c r="BB4" s="155">
        <v>1.0</v>
      </c>
      <c r="BC4" s="155"/>
      <c r="BD4" s="161"/>
      <c r="BE4" s="161"/>
      <c r="BF4" s="161"/>
      <c r="BG4" s="161"/>
      <c r="BH4" s="161"/>
      <c r="BI4" s="161"/>
      <c r="BJ4" s="161"/>
      <c r="BK4" s="161"/>
      <c r="BL4" s="155">
        <v>1.0</v>
      </c>
      <c r="BM4" s="161"/>
      <c r="BN4" s="161"/>
      <c r="BO4" s="161"/>
      <c r="BP4" s="161"/>
      <c r="BQ4" s="161"/>
      <c r="BR4" s="161"/>
      <c r="BS4" s="161"/>
      <c r="BT4" s="161"/>
      <c r="BU4" s="161"/>
      <c r="BV4" s="161"/>
      <c r="BW4" s="161"/>
      <c r="BX4" s="161"/>
      <c r="BY4" s="161"/>
      <c r="BZ4" s="161"/>
      <c r="CA4" s="161"/>
      <c r="CB4" s="161"/>
      <c r="CC4" s="161"/>
      <c r="CD4" s="161"/>
      <c r="CE4" s="161"/>
      <c r="CF4" s="161"/>
      <c r="CG4" s="161"/>
      <c r="CH4" s="161"/>
      <c r="CI4" s="161"/>
      <c r="CJ4" s="161"/>
      <c r="CK4" s="161"/>
      <c r="CL4" s="161"/>
      <c r="CM4" s="161"/>
      <c r="CN4" s="161"/>
      <c r="CO4" s="161"/>
      <c r="CP4" s="161"/>
      <c r="CQ4" s="161"/>
      <c r="CR4" s="161"/>
      <c r="CS4" s="161"/>
      <c r="CT4" s="129"/>
      <c r="CU4" s="129"/>
      <c r="CV4" s="161"/>
      <c r="CW4" s="155">
        <v>1.0</v>
      </c>
      <c r="CX4" s="161"/>
      <c r="CY4" s="161"/>
      <c r="CZ4" s="161"/>
      <c r="DA4" s="161"/>
      <c r="DB4" s="161"/>
      <c r="DC4" s="161"/>
      <c r="DD4" s="161"/>
      <c r="DE4" s="162"/>
      <c r="DF4" s="162"/>
      <c r="DG4" s="162"/>
      <c r="DH4" s="162"/>
      <c r="DI4" s="162"/>
      <c r="DJ4" s="162"/>
      <c r="DK4" s="162"/>
      <c r="DL4" s="161"/>
      <c r="DM4" s="161"/>
      <c r="DN4" s="162"/>
      <c r="DO4" s="161"/>
      <c r="DP4" s="161"/>
      <c r="DQ4" s="161"/>
      <c r="DR4" s="162"/>
      <c r="DS4" s="161"/>
      <c r="DT4" s="161"/>
      <c r="DU4" s="162"/>
      <c r="DV4" s="162"/>
      <c r="DW4" s="161"/>
      <c r="DX4" s="161"/>
      <c r="DY4" s="162"/>
      <c r="DZ4" s="162"/>
      <c r="EA4" s="161"/>
      <c r="EB4" s="162"/>
      <c r="EC4" s="161"/>
      <c r="ED4" s="162"/>
      <c r="EE4" s="162"/>
      <c r="EF4" s="161"/>
      <c r="EG4" s="161"/>
      <c r="EH4" s="161"/>
      <c r="EI4" s="161"/>
      <c r="EJ4" s="161"/>
      <c r="EK4" s="161"/>
      <c r="EL4" s="162"/>
      <c r="EM4" s="161"/>
      <c r="EN4" s="161"/>
      <c r="EO4" s="161"/>
      <c r="EP4" s="161"/>
      <c r="EQ4" s="161"/>
      <c r="ER4" s="161"/>
      <c r="ES4" s="161"/>
      <c r="ET4" s="162"/>
      <c r="EU4" s="161"/>
      <c r="EV4" s="161"/>
      <c r="EW4" s="161"/>
      <c r="EX4" s="161"/>
      <c r="EY4" s="161"/>
      <c r="EZ4" s="161"/>
      <c r="FA4" s="161"/>
      <c r="FB4" s="155"/>
      <c r="FC4" s="161"/>
      <c r="FD4" s="161"/>
      <c r="FE4" s="161"/>
      <c r="FF4" s="161"/>
      <c r="FG4" s="161"/>
      <c r="FH4" s="161"/>
      <c r="FI4" s="161"/>
      <c r="FJ4" s="161"/>
      <c r="FK4" s="161"/>
      <c r="FL4" s="161"/>
      <c r="FM4" s="161"/>
      <c r="FN4" s="161"/>
      <c r="FO4" s="161"/>
      <c r="FP4" s="161"/>
      <c r="FQ4" s="155">
        <v>1.0</v>
      </c>
      <c r="FR4" s="161"/>
      <c r="FS4" s="161"/>
      <c r="FT4" s="155">
        <v>1.0</v>
      </c>
      <c r="FU4" s="161"/>
      <c r="FV4" s="161"/>
      <c r="FW4" s="161"/>
      <c r="FX4" s="161"/>
      <c r="FY4" s="161"/>
      <c r="FZ4" s="155">
        <v>1.0</v>
      </c>
      <c r="GA4" s="161"/>
      <c r="GB4" s="161"/>
      <c r="GC4" s="161"/>
      <c r="GD4" s="161"/>
      <c r="GE4" s="161"/>
      <c r="GF4" s="161"/>
      <c r="GG4" s="161"/>
      <c r="GH4" s="161"/>
      <c r="GI4" s="161"/>
      <c r="GJ4" s="161"/>
      <c r="GK4" s="161"/>
      <c r="GL4" s="161"/>
      <c r="GM4" s="161"/>
      <c r="GN4" s="161"/>
      <c r="GO4" s="161"/>
      <c r="GP4" s="161"/>
      <c r="GQ4" s="161"/>
      <c r="GR4" s="161"/>
      <c r="GS4" s="161"/>
      <c r="GT4" s="161"/>
      <c r="GU4" s="161"/>
      <c r="GV4" s="161"/>
      <c r="GW4" s="161"/>
      <c r="GX4" s="161"/>
      <c r="GY4" s="161"/>
      <c r="GZ4" s="161"/>
      <c r="HA4" s="161"/>
      <c r="HB4" s="161"/>
      <c r="HC4" s="161"/>
      <c r="HD4" s="162"/>
      <c r="HE4" s="161"/>
      <c r="HF4" s="162"/>
      <c r="HG4" s="161"/>
      <c r="HH4" s="161"/>
      <c r="HI4" s="161"/>
      <c r="HJ4" s="161"/>
      <c r="HK4" s="161"/>
      <c r="HL4" s="161"/>
      <c r="HM4" s="161"/>
      <c r="HN4" s="161"/>
      <c r="HO4" s="161"/>
      <c r="HP4" s="161"/>
      <c r="HQ4" s="161"/>
      <c r="HR4" s="161"/>
      <c r="HS4" s="161"/>
      <c r="HT4" s="161"/>
      <c r="HU4" s="161"/>
      <c r="HV4" s="161"/>
      <c r="HW4" s="161"/>
      <c r="HX4" s="155">
        <v>1.0</v>
      </c>
      <c r="HY4" s="161"/>
      <c r="HZ4" s="161"/>
      <c r="IA4" s="161"/>
      <c r="IB4" s="155">
        <v>1.0</v>
      </c>
      <c r="IC4" s="161"/>
      <c r="ID4" s="161"/>
      <c r="IE4" s="161"/>
      <c r="IF4" s="161"/>
      <c r="IG4" s="161"/>
      <c r="IH4" s="161"/>
      <c r="II4" s="161"/>
      <c r="IJ4" s="161"/>
      <c r="IK4" s="161"/>
      <c r="IL4" s="161"/>
      <c r="IM4" s="161"/>
      <c r="IN4" s="161"/>
      <c r="IO4" s="161"/>
      <c r="IP4" s="161"/>
      <c r="IQ4" s="155">
        <v>1.0</v>
      </c>
      <c r="IR4" s="161"/>
      <c r="IS4" s="161"/>
      <c r="IT4" s="161"/>
      <c r="IU4" s="161"/>
      <c r="IV4" s="161"/>
      <c r="IW4" s="161"/>
      <c r="IX4" s="161"/>
      <c r="IY4" s="161"/>
      <c r="IZ4" s="161"/>
      <c r="JA4" s="161"/>
      <c r="JB4" s="161"/>
      <c r="JC4" s="161"/>
      <c r="JD4" s="161"/>
      <c r="JE4" s="161"/>
      <c r="JF4" s="161"/>
      <c r="JG4" s="161"/>
      <c r="JH4" s="161"/>
      <c r="JI4" s="161"/>
      <c r="JJ4" s="161"/>
      <c r="JK4" s="161"/>
      <c r="JL4" s="161"/>
      <c r="JM4" s="161"/>
      <c r="JN4" s="161"/>
      <c r="JO4" s="161"/>
      <c r="JP4" s="161"/>
      <c r="JQ4" s="161"/>
      <c r="JR4" s="161"/>
      <c r="JS4" s="161"/>
      <c r="JT4" s="161"/>
      <c r="JU4" s="161"/>
      <c r="JV4" s="161"/>
      <c r="JW4" s="161"/>
      <c r="JX4" s="161"/>
      <c r="JY4" s="161"/>
      <c r="JZ4" s="161"/>
      <c r="KA4" s="161"/>
      <c r="KB4" s="161"/>
      <c r="KC4" s="161"/>
      <c r="KD4" s="161"/>
      <c r="KE4" s="161"/>
      <c r="KF4" s="161"/>
      <c r="KG4" s="161"/>
      <c r="KH4" s="161"/>
      <c r="KI4" s="161"/>
      <c r="KJ4" s="161"/>
      <c r="KK4" s="161"/>
      <c r="KL4" s="161"/>
      <c r="KM4" s="161"/>
      <c r="KN4" s="161"/>
      <c r="KO4" s="161"/>
      <c r="KP4" s="161"/>
      <c r="KQ4" s="161"/>
      <c r="KR4" s="162"/>
      <c r="KS4" s="161"/>
      <c r="KT4" s="161"/>
      <c r="KU4" s="155">
        <v>1.0</v>
      </c>
      <c r="KV4" s="161"/>
      <c r="KW4" s="161"/>
      <c r="KX4" s="129"/>
    </row>
    <row r="5">
      <c r="A5" s="158">
        <v>6.0</v>
      </c>
      <c r="B5" s="158">
        <f t="shared" si="1"/>
        <v>12</v>
      </c>
      <c r="C5" s="158" t="s">
        <v>2342</v>
      </c>
      <c r="D5" s="159" t="s">
        <v>2358</v>
      </c>
      <c r="E5" s="160"/>
      <c r="F5" s="159" t="s">
        <v>2359</v>
      </c>
      <c r="G5" s="159" t="s">
        <v>2360</v>
      </c>
      <c r="H5" s="161"/>
      <c r="I5" s="161"/>
      <c r="J5" s="161"/>
      <c r="K5" s="161"/>
      <c r="L5" s="161"/>
      <c r="M5" s="161"/>
      <c r="N5" s="161"/>
      <c r="O5" s="161"/>
      <c r="P5" s="161"/>
      <c r="Q5" s="161"/>
      <c r="R5" s="161"/>
      <c r="S5" s="161"/>
      <c r="T5" s="161"/>
      <c r="U5" s="155">
        <v>1.0</v>
      </c>
      <c r="V5" s="161"/>
      <c r="W5" s="161"/>
      <c r="X5" s="161"/>
      <c r="Y5" s="161"/>
      <c r="Z5" s="161"/>
      <c r="AA5" s="161"/>
      <c r="AB5" s="161"/>
      <c r="AC5" s="155"/>
      <c r="AD5" s="161"/>
      <c r="AE5" s="161"/>
      <c r="AF5" s="161"/>
      <c r="AG5" s="161"/>
      <c r="AH5" s="161"/>
      <c r="AI5" s="161"/>
      <c r="AJ5" s="162"/>
      <c r="AK5" s="161"/>
      <c r="AL5" s="161"/>
      <c r="AM5" s="161"/>
      <c r="AN5" s="161"/>
      <c r="AO5" s="161"/>
      <c r="AP5" s="161"/>
      <c r="AQ5" s="161"/>
      <c r="AR5" s="161"/>
      <c r="AS5" s="161"/>
      <c r="AT5" s="161"/>
      <c r="AU5" s="161"/>
      <c r="AV5" s="161"/>
      <c r="AW5" s="162"/>
      <c r="AX5" s="162"/>
      <c r="AY5" s="161"/>
      <c r="AZ5" s="155">
        <v>1.0</v>
      </c>
      <c r="BA5" s="161"/>
      <c r="BB5" s="161"/>
      <c r="BC5" s="161"/>
      <c r="BD5" s="161"/>
      <c r="BE5" s="161"/>
      <c r="BF5" s="161"/>
      <c r="BG5" s="161"/>
      <c r="BH5" s="161"/>
      <c r="BI5" s="161"/>
      <c r="BJ5" s="161"/>
      <c r="BK5" s="161"/>
      <c r="BL5" s="161"/>
      <c r="BM5" s="161"/>
      <c r="BN5" s="161"/>
      <c r="BO5" s="161"/>
      <c r="BP5" s="161"/>
      <c r="BQ5" s="161"/>
      <c r="BR5" s="161"/>
      <c r="BS5" s="161"/>
      <c r="BT5" s="161"/>
      <c r="BU5" s="161"/>
      <c r="BV5" s="161"/>
      <c r="BW5" s="161"/>
      <c r="BX5" s="129"/>
      <c r="BY5" s="161"/>
      <c r="BZ5" s="161"/>
      <c r="CA5" s="161"/>
      <c r="CB5" s="161"/>
      <c r="CC5" s="161"/>
      <c r="CD5" s="161"/>
      <c r="CE5" s="155">
        <v>1.0</v>
      </c>
      <c r="CF5" s="161"/>
      <c r="CG5" s="161"/>
      <c r="CH5" s="161"/>
      <c r="CI5" s="161"/>
      <c r="CJ5" s="161"/>
      <c r="CK5" s="161"/>
      <c r="CL5" s="161"/>
      <c r="CM5" s="161"/>
      <c r="CN5" s="161"/>
      <c r="CO5" s="161"/>
      <c r="CP5" s="161"/>
      <c r="CQ5" s="161"/>
      <c r="CR5" s="161"/>
      <c r="CS5" s="161"/>
      <c r="CT5" s="129"/>
      <c r="CU5" s="129"/>
      <c r="CV5" s="161"/>
      <c r="CW5" s="161"/>
      <c r="CX5" s="161"/>
      <c r="CY5" s="161"/>
      <c r="CZ5" s="161"/>
      <c r="DA5" s="161"/>
      <c r="DB5" s="161"/>
      <c r="DC5" s="161"/>
      <c r="DD5" s="161"/>
      <c r="DE5" s="162"/>
      <c r="DF5" s="162"/>
      <c r="DG5" s="162"/>
      <c r="DH5" s="162"/>
      <c r="DI5" s="162"/>
      <c r="DJ5" s="162"/>
      <c r="DK5" s="162"/>
      <c r="DL5" s="161"/>
      <c r="DM5" s="161"/>
      <c r="DN5" s="162"/>
      <c r="DO5" s="161"/>
      <c r="DP5" s="161"/>
      <c r="DQ5" s="161"/>
      <c r="DR5" s="162"/>
      <c r="DS5" s="161"/>
      <c r="DT5" s="161"/>
      <c r="DU5" s="162"/>
      <c r="DV5" s="162"/>
      <c r="DW5" s="161"/>
      <c r="DX5" s="161"/>
      <c r="DY5" s="162"/>
      <c r="DZ5" s="162"/>
      <c r="EA5" s="161"/>
      <c r="EB5" s="162"/>
      <c r="EC5" s="161"/>
      <c r="ED5" s="162"/>
      <c r="EE5" s="162"/>
      <c r="EF5" s="161"/>
      <c r="EG5" s="161"/>
      <c r="EH5" s="161"/>
      <c r="EI5" s="161"/>
      <c r="EJ5" s="155">
        <v>1.0</v>
      </c>
      <c r="EK5" s="161"/>
      <c r="EL5" s="162"/>
      <c r="EM5" s="161"/>
      <c r="EN5" s="161"/>
      <c r="EO5" s="155">
        <v>1.0</v>
      </c>
      <c r="EP5" s="161"/>
      <c r="EQ5" s="161"/>
      <c r="ER5" s="161"/>
      <c r="ES5" s="161"/>
      <c r="ET5" s="162"/>
      <c r="EU5" s="161"/>
      <c r="EV5" s="161"/>
      <c r="EW5" s="161"/>
      <c r="EX5" s="161"/>
      <c r="EY5" s="161"/>
      <c r="EZ5" s="161"/>
      <c r="FA5" s="161"/>
      <c r="FB5" s="155">
        <v>1.0</v>
      </c>
      <c r="FC5" s="161"/>
      <c r="FD5" s="161"/>
      <c r="FE5" s="161"/>
      <c r="FF5" s="161"/>
      <c r="FG5" s="161"/>
      <c r="FH5" s="161"/>
      <c r="FI5" s="161"/>
      <c r="FJ5" s="161"/>
      <c r="FK5" s="161"/>
      <c r="FL5" s="161"/>
      <c r="FM5" s="161"/>
      <c r="FN5" s="161"/>
      <c r="FO5" s="161"/>
      <c r="FP5" s="161"/>
      <c r="FQ5" s="161"/>
      <c r="FR5" s="161"/>
      <c r="FS5" s="161"/>
      <c r="FT5" s="161"/>
      <c r="FU5" s="161"/>
      <c r="FV5" s="161"/>
      <c r="FW5" s="161"/>
      <c r="FX5" s="161"/>
      <c r="FY5" s="155">
        <v>1.0</v>
      </c>
      <c r="FZ5" s="161"/>
      <c r="GA5" s="161"/>
      <c r="GB5" s="161"/>
      <c r="GC5" s="161"/>
      <c r="GD5" s="155">
        <v>1.0</v>
      </c>
      <c r="GE5" s="161"/>
      <c r="GF5" s="161"/>
      <c r="GG5" s="161"/>
      <c r="GH5" s="161"/>
      <c r="GI5" s="161"/>
      <c r="GJ5" s="161"/>
      <c r="GK5" s="161"/>
      <c r="GL5" s="161"/>
      <c r="GM5" s="161"/>
      <c r="GN5" s="161"/>
      <c r="GO5" s="161"/>
      <c r="GP5" s="161"/>
      <c r="GQ5" s="155">
        <v>1.0</v>
      </c>
      <c r="GR5" s="129"/>
      <c r="GS5" s="161"/>
      <c r="GT5" s="161"/>
      <c r="GU5" s="161"/>
      <c r="GV5" s="161"/>
      <c r="GW5" s="161"/>
      <c r="GX5" s="161"/>
      <c r="GY5" s="161"/>
      <c r="GZ5" s="161"/>
      <c r="HA5" s="161"/>
      <c r="HB5" s="161"/>
      <c r="HC5" s="161"/>
      <c r="HD5" s="162"/>
      <c r="HE5" s="161"/>
      <c r="HF5" s="162"/>
      <c r="HG5" s="161"/>
      <c r="HH5" s="161"/>
      <c r="HI5" s="161"/>
      <c r="HJ5" s="161"/>
      <c r="HK5" s="161"/>
      <c r="HL5" s="161"/>
      <c r="HM5" s="161"/>
      <c r="HN5" s="161"/>
      <c r="HO5" s="161"/>
      <c r="HP5" s="161"/>
      <c r="HQ5" s="161"/>
      <c r="HR5" s="161"/>
      <c r="HS5" s="161"/>
      <c r="HT5" s="155">
        <v>1.0</v>
      </c>
      <c r="HU5" s="161"/>
      <c r="HV5" s="161"/>
      <c r="HW5" s="161"/>
      <c r="HX5" s="161"/>
      <c r="HY5" s="161"/>
      <c r="HZ5" s="161"/>
      <c r="IA5" s="161"/>
      <c r="IB5" s="161"/>
      <c r="IC5" s="161"/>
      <c r="ID5" s="161"/>
      <c r="IE5" s="161"/>
      <c r="IF5" s="161"/>
      <c r="IG5" s="161"/>
      <c r="IH5" s="161"/>
      <c r="II5" s="161"/>
      <c r="IJ5" s="161"/>
      <c r="IK5" s="161"/>
      <c r="IL5" s="161"/>
      <c r="IM5" s="161"/>
      <c r="IN5" s="161"/>
      <c r="IO5" s="161"/>
      <c r="IP5" s="161"/>
      <c r="IQ5" s="161"/>
      <c r="IR5" s="161"/>
      <c r="IS5" s="161"/>
      <c r="IT5" s="155">
        <v>1.0</v>
      </c>
      <c r="IU5" s="161"/>
      <c r="IV5" s="161"/>
      <c r="IW5" s="161"/>
      <c r="IX5" s="161"/>
      <c r="IY5" s="161"/>
      <c r="IZ5" s="161"/>
      <c r="JA5" s="161"/>
      <c r="JB5" s="161"/>
      <c r="JC5" s="161"/>
      <c r="JD5" s="161"/>
      <c r="JE5" s="161"/>
      <c r="JF5" s="161"/>
      <c r="JG5" s="161"/>
      <c r="JH5" s="161"/>
      <c r="JI5" s="155">
        <v>1.0</v>
      </c>
      <c r="JJ5" s="155"/>
      <c r="JK5" s="161"/>
      <c r="JL5" s="161"/>
      <c r="JM5" s="161"/>
      <c r="JN5" s="161"/>
      <c r="JO5" s="161"/>
      <c r="JP5" s="161"/>
      <c r="JQ5" s="161"/>
      <c r="JR5" s="161"/>
      <c r="JS5" s="161"/>
      <c r="JT5" s="161"/>
      <c r="JU5" s="161"/>
      <c r="JV5" s="161"/>
      <c r="JW5" s="161"/>
      <c r="JX5" s="161"/>
      <c r="JY5" s="161"/>
      <c r="JZ5" s="161"/>
      <c r="KA5" s="161"/>
      <c r="KB5" s="161"/>
      <c r="KC5" s="161"/>
      <c r="KD5" s="161"/>
      <c r="KE5" s="161"/>
      <c r="KF5" s="161"/>
      <c r="KG5" s="161"/>
      <c r="KH5" s="161"/>
      <c r="KI5" s="161"/>
      <c r="KJ5" s="161"/>
      <c r="KK5" s="161"/>
      <c r="KL5" s="161"/>
      <c r="KM5" s="161"/>
      <c r="KN5" s="161"/>
      <c r="KO5" s="161"/>
      <c r="KP5" s="161"/>
      <c r="KQ5" s="161"/>
      <c r="KR5" s="162"/>
      <c r="KS5" s="161"/>
      <c r="KT5" s="161"/>
      <c r="KU5" s="161"/>
      <c r="KV5" s="161"/>
      <c r="KW5" s="161"/>
      <c r="KX5" s="129"/>
    </row>
    <row r="6">
      <c r="A6" s="158">
        <v>7.0</v>
      </c>
      <c r="B6" s="158">
        <f t="shared" si="1"/>
        <v>12</v>
      </c>
      <c r="C6" s="158" t="s">
        <v>2342</v>
      </c>
      <c r="D6" s="159" t="s">
        <v>2365</v>
      </c>
      <c r="E6" s="160"/>
      <c r="F6" s="163" t="s">
        <v>2645</v>
      </c>
      <c r="G6" s="159" t="s">
        <v>2367</v>
      </c>
      <c r="H6" s="161"/>
      <c r="I6" s="155">
        <v>1.0</v>
      </c>
      <c r="J6" s="161"/>
      <c r="K6" s="161"/>
      <c r="L6" s="161"/>
      <c r="M6" s="161"/>
      <c r="N6" s="161"/>
      <c r="O6" s="161"/>
      <c r="P6" s="161"/>
      <c r="Q6" s="161"/>
      <c r="R6" s="161"/>
      <c r="S6" s="161"/>
      <c r="T6" s="161"/>
      <c r="U6" s="161"/>
      <c r="V6" s="161"/>
      <c r="W6" s="161"/>
      <c r="X6" s="161"/>
      <c r="Y6" s="161"/>
      <c r="Z6" s="155">
        <v>1.0</v>
      </c>
      <c r="AA6" s="161"/>
      <c r="AB6" s="161"/>
      <c r="AC6" s="161"/>
      <c r="AD6" s="161"/>
      <c r="AE6" s="161"/>
      <c r="AF6" s="161"/>
      <c r="AG6" s="161"/>
      <c r="AH6" s="161"/>
      <c r="AI6" s="161"/>
      <c r="AJ6" s="162"/>
      <c r="AK6" s="161"/>
      <c r="AL6" s="161"/>
      <c r="AM6" s="161"/>
      <c r="AN6" s="161"/>
      <c r="AO6" s="161"/>
      <c r="AP6" s="155">
        <v>1.0</v>
      </c>
      <c r="AQ6" s="161"/>
      <c r="AR6" s="161"/>
      <c r="AS6" s="161"/>
      <c r="AT6" s="161"/>
      <c r="AU6" s="161"/>
      <c r="AV6" s="161"/>
      <c r="AW6" s="162"/>
      <c r="AX6" s="162"/>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55">
        <v>1.0</v>
      </c>
      <c r="BW6" s="161"/>
      <c r="BX6" s="161"/>
      <c r="BY6" s="161"/>
      <c r="BZ6" s="161"/>
      <c r="CA6" s="161"/>
      <c r="CB6" s="161"/>
      <c r="CC6" s="161"/>
      <c r="CD6" s="161"/>
      <c r="CE6" s="161"/>
      <c r="CF6" s="161"/>
      <c r="CG6" s="155">
        <v>1.0</v>
      </c>
      <c r="CH6" s="161"/>
      <c r="CI6" s="161"/>
      <c r="CJ6" s="161"/>
      <c r="CK6" s="161"/>
      <c r="CL6" s="161"/>
      <c r="CM6" s="161"/>
      <c r="CN6" s="161"/>
      <c r="CO6" s="161"/>
      <c r="CP6" s="161"/>
      <c r="CQ6" s="161"/>
      <c r="CR6" s="161"/>
      <c r="CS6" s="161"/>
      <c r="CT6" s="129"/>
      <c r="CU6" s="129"/>
      <c r="CV6" s="161"/>
      <c r="CW6" s="161"/>
      <c r="CX6" s="161"/>
      <c r="CY6" s="161"/>
      <c r="CZ6" s="161"/>
      <c r="DA6" s="161"/>
      <c r="DB6" s="161"/>
      <c r="DC6" s="161"/>
      <c r="DD6" s="161"/>
      <c r="DE6" s="162"/>
      <c r="DF6" s="162"/>
      <c r="DG6" s="162"/>
      <c r="DH6" s="162"/>
      <c r="DI6" s="162"/>
      <c r="DJ6" s="162"/>
      <c r="DK6" s="162"/>
      <c r="DL6" s="161"/>
      <c r="DM6" s="161"/>
      <c r="DN6" s="162"/>
      <c r="DO6" s="161"/>
      <c r="DP6" s="161"/>
      <c r="DQ6" s="161"/>
      <c r="DR6" s="162"/>
      <c r="DS6" s="161"/>
      <c r="DT6" s="161"/>
      <c r="DU6" s="162"/>
      <c r="DV6" s="162"/>
      <c r="DW6" s="161"/>
      <c r="DX6" s="161"/>
      <c r="DY6" s="162"/>
      <c r="DZ6" s="162"/>
      <c r="EA6" s="161"/>
      <c r="EB6" s="162"/>
      <c r="EC6" s="161"/>
      <c r="ED6" s="162"/>
      <c r="EE6" s="162"/>
      <c r="EF6" s="161"/>
      <c r="EG6" s="161"/>
      <c r="EH6" s="161"/>
      <c r="EI6" s="161"/>
      <c r="EJ6" s="161"/>
      <c r="EK6" s="161"/>
      <c r="EL6" s="162"/>
      <c r="EM6" s="161"/>
      <c r="EN6" s="161"/>
      <c r="EO6" s="161"/>
      <c r="EP6" s="161"/>
      <c r="EQ6" s="161"/>
      <c r="ER6" s="161"/>
      <c r="ES6" s="161"/>
      <c r="ET6" s="162"/>
      <c r="EU6" s="161"/>
      <c r="EV6" s="161"/>
      <c r="EW6" s="161"/>
      <c r="EX6" s="155">
        <v>1.0</v>
      </c>
      <c r="EY6" s="161"/>
      <c r="EZ6" s="161"/>
      <c r="FA6" s="161"/>
      <c r="FB6" s="161"/>
      <c r="FC6" s="161"/>
      <c r="FD6" s="155">
        <v>1.0</v>
      </c>
      <c r="FE6" s="161"/>
      <c r="FF6" s="161"/>
      <c r="FG6" s="155">
        <v>1.0</v>
      </c>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55">
        <v>1.0</v>
      </c>
      <c r="GU6" s="161"/>
      <c r="GV6" s="161"/>
      <c r="GW6" s="161"/>
      <c r="GX6" s="161"/>
      <c r="GY6" s="161"/>
      <c r="GZ6" s="161"/>
      <c r="HA6" s="161"/>
      <c r="HB6" s="161"/>
      <c r="HC6" s="161"/>
      <c r="HD6" s="162"/>
      <c r="HE6" s="161"/>
      <c r="HF6" s="162"/>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55">
        <v>1.0</v>
      </c>
      <c r="IX6" s="161"/>
      <c r="IY6" s="161"/>
      <c r="IZ6" s="155">
        <v>1.0</v>
      </c>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c r="KJ6" s="155">
        <v>1.0</v>
      </c>
      <c r="KK6" s="161"/>
      <c r="KL6" s="161"/>
      <c r="KM6" s="161"/>
      <c r="KN6" s="161"/>
      <c r="KO6" s="161"/>
      <c r="KP6" s="161"/>
      <c r="KQ6" s="161"/>
      <c r="KR6" s="162"/>
      <c r="KS6" s="161"/>
      <c r="KT6" s="161"/>
      <c r="KU6" s="161"/>
      <c r="KV6" s="161"/>
      <c r="KW6" s="161"/>
      <c r="KX6" s="129"/>
    </row>
    <row r="7">
      <c r="A7" s="158">
        <v>8.0</v>
      </c>
      <c r="B7" s="158">
        <f t="shared" si="1"/>
        <v>14</v>
      </c>
      <c r="C7" s="158" t="s">
        <v>2332</v>
      </c>
      <c r="D7" s="159" t="s">
        <v>2372</v>
      </c>
      <c r="E7" s="160"/>
      <c r="F7" s="163" t="s">
        <v>2646</v>
      </c>
      <c r="G7" s="159" t="s">
        <v>2373</v>
      </c>
      <c r="H7" s="161"/>
      <c r="I7" s="155">
        <v>1.0</v>
      </c>
      <c r="J7" s="161"/>
      <c r="K7" s="161"/>
      <c r="L7" s="161"/>
      <c r="M7" s="161"/>
      <c r="N7" s="161"/>
      <c r="O7" s="161"/>
      <c r="P7" s="161"/>
      <c r="Q7" s="161"/>
      <c r="R7" s="161"/>
      <c r="S7" s="161"/>
      <c r="T7" s="161"/>
      <c r="U7" s="161"/>
      <c r="V7" s="161"/>
      <c r="W7" s="155">
        <v>1.0</v>
      </c>
      <c r="X7" s="161"/>
      <c r="Y7" s="161"/>
      <c r="Z7" s="161"/>
      <c r="AA7" s="161"/>
      <c r="AB7" s="161"/>
      <c r="AC7" s="161"/>
      <c r="AD7" s="161"/>
      <c r="AE7" s="161"/>
      <c r="AF7" s="161"/>
      <c r="AG7" s="161"/>
      <c r="AH7" s="161"/>
      <c r="AI7" s="161"/>
      <c r="AJ7" s="162"/>
      <c r="AK7" s="161"/>
      <c r="AL7" s="161"/>
      <c r="AM7" s="155">
        <v>1.0</v>
      </c>
      <c r="AN7" s="161"/>
      <c r="AO7" s="161"/>
      <c r="AP7" s="161"/>
      <c r="AQ7" s="161"/>
      <c r="AR7" s="161"/>
      <c r="AS7" s="161"/>
      <c r="AT7" s="161"/>
      <c r="AU7" s="161"/>
      <c r="AV7" s="155">
        <v>1.0</v>
      </c>
      <c r="AW7" s="162"/>
      <c r="AX7" s="162"/>
      <c r="AY7" s="161"/>
      <c r="AZ7" s="161"/>
      <c r="BA7" s="161"/>
      <c r="BB7" s="161"/>
      <c r="BC7" s="161"/>
      <c r="BD7" s="161"/>
      <c r="BE7" s="161"/>
      <c r="BF7" s="161"/>
      <c r="BG7" s="161"/>
      <c r="BH7" s="161"/>
      <c r="BI7" s="161"/>
      <c r="BJ7" s="161"/>
      <c r="BK7" s="161"/>
      <c r="BL7" s="161"/>
      <c r="BM7" s="161"/>
      <c r="BN7" s="161"/>
      <c r="BO7" s="161"/>
      <c r="BP7" s="155"/>
      <c r="BQ7" s="161"/>
      <c r="BR7" s="161"/>
      <c r="BS7" s="155">
        <v>1.0</v>
      </c>
      <c r="BT7" s="161"/>
      <c r="BU7" s="161"/>
      <c r="BV7" s="161"/>
      <c r="BW7" s="161"/>
      <c r="BX7" s="161"/>
      <c r="BY7" s="161"/>
      <c r="BZ7" s="161"/>
      <c r="CA7" s="161"/>
      <c r="CB7" s="155">
        <v>1.0</v>
      </c>
      <c r="CC7" s="161"/>
      <c r="CD7" s="161"/>
      <c r="CE7" s="161"/>
      <c r="CF7" s="161"/>
      <c r="CG7" s="161"/>
      <c r="CH7" s="155">
        <v>1.0</v>
      </c>
      <c r="CI7" s="155">
        <v>1.0</v>
      </c>
      <c r="CJ7" s="161"/>
      <c r="CK7" s="161"/>
      <c r="CL7" s="161"/>
      <c r="CM7" s="161"/>
      <c r="CN7" s="161"/>
      <c r="CO7" s="161"/>
      <c r="CP7" s="161"/>
      <c r="CQ7" s="161"/>
      <c r="CR7" s="161"/>
      <c r="CS7" s="161"/>
      <c r="CT7" s="129"/>
      <c r="CU7" s="129"/>
      <c r="CV7" s="161"/>
      <c r="CW7" s="161"/>
      <c r="CX7" s="161"/>
      <c r="CY7" s="161"/>
      <c r="CZ7" s="161"/>
      <c r="DA7" s="161"/>
      <c r="DB7" s="161"/>
      <c r="DC7" s="161"/>
      <c r="DD7" s="161"/>
      <c r="DE7" s="162"/>
      <c r="DF7" s="162"/>
      <c r="DG7" s="162"/>
      <c r="DH7" s="162"/>
      <c r="DI7" s="162"/>
      <c r="DJ7" s="162"/>
      <c r="DK7" s="162"/>
      <c r="DL7" s="161"/>
      <c r="DM7" s="161"/>
      <c r="DN7" s="162"/>
      <c r="DO7" s="161"/>
      <c r="DP7" s="161"/>
      <c r="DQ7" s="161"/>
      <c r="DR7" s="162"/>
      <c r="DS7" s="161"/>
      <c r="DT7" s="161"/>
      <c r="DU7" s="162"/>
      <c r="DV7" s="162"/>
      <c r="DW7" s="161"/>
      <c r="DX7" s="161"/>
      <c r="DY7" s="162"/>
      <c r="DZ7" s="156"/>
      <c r="EA7" s="161"/>
      <c r="EB7" s="162"/>
      <c r="EC7" s="161"/>
      <c r="ED7" s="162"/>
      <c r="EE7" s="162"/>
      <c r="EF7" s="161"/>
      <c r="EG7" s="161"/>
      <c r="EH7" s="161"/>
      <c r="EI7" s="161"/>
      <c r="EJ7" s="161"/>
      <c r="EK7" s="161"/>
      <c r="EL7" s="162"/>
      <c r="EM7" s="161"/>
      <c r="EN7" s="161"/>
      <c r="EO7" s="161"/>
      <c r="EP7" s="161"/>
      <c r="EQ7" s="161"/>
      <c r="ER7" s="161"/>
      <c r="ES7" s="161"/>
      <c r="ET7" s="162"/>
      <c r="EU7" s="161"/>
      <c r="EV7" s="161"/>
      <c r="EW7" s="161"/>
      <c r="EX7" s="161"/>
      <c r="EY7" s="161"/>
      <c r="EZ7" s="161"/>
      <c r="FA7" s="161"/>
      <c r="FB7" s="161"/>
      <c r="FC7" s="161"/>
      <c r="FD7" s="161"/>
      <c r="FE7" s="161"/>
      <c r="FF7" s="161"/>
      <c r="FG7" s="161"/>
      <c r="FH7" s="161"/>
      <c r="FI7" s="161"/>
      <c r="FJ7" s="161"/>
      <c r="FK7" s="161"/>
      <c r="FL7" s="161"/>
      <c r="FM7" s="161"/>
      <c r="FN7" s="161"/>
      <c r="FO7" s="161"/>
      <c r="FP7" s="161"/>
      <c r="FQ7" s="161"/>
      <c r="FR7" s="161"/>
      <c r="FS7" s="161"/>
      <c r="FT7" s="161"/>
      <c r="FU7" s="161"/>
      <c r="FV7" s="161"/>
      <c r="FW7" s="161"/>
      <c r="FX7" s="161"/>
      <c r="FY7" s="161"/>
      <c r="FZ7" s="161"/>
      <c r="GA7" s="161"/>
      <c r="GB7" s="161"/>
      <c r="GC7" s="155">
        <v>1.0</v>
      </c>
      <c r="GD7" s="161"/>
      <c r="GE7" s="155">
        <v>1.0</v>
      </c>
      <c r="GF7" s="161"/>
      <c r="GG7" s="161"/>
      <c r="GH7" s="161"/>
      <c r="GI7" s="161"/>
      <c r="GJ7" s="161"/>
      <c r="GK7" s="161"/>
      <c r="GL7" s="161"/>
      <c r="GM7" s="161"/>
      <c r="GN7" s="161"/>
      <c r="GO7" s="161"/>
      <c r="GP7" s="161"/>
      <c r="GQ7" s="161"/>
      <c r="GR7" s="155">
        <v>1.0</v>
      </c>
      <c r="GS7" s="161"/>
      <c r="GT7" s="161"/>
      <c r="GU7" s="161"/>
      <c r="GV7" s="161"/>
      <c r="GW7" s="161"/>
      <c r="GX7" s="161"/>
      <c r="GY7" s="161"/>
      <c r="GZ7" s="161"/>
      <c r="HA7" s="161"/>
      <c r="HB7" s="161"/>
      <c r="HC7" s="161"/>
      <c r="HD7" s="162"/>
      <c r="HE7" s="161"/>
      <c r="HF7" s="162"/>
      <c r="HG7" s="161"/>
      <c r="HH7" s="161"/>
      <c r="HI7" s="161"/>
      <c r="HJ7" s="161"/>
      <c r="HK7" s="161"/>
      <c r="HL7" s="161"/>
      <c r="HM7" s="161"/>
      <c r="HN7" s="161"/>
      <c r="HO7" s="161"/>
      <c r="HP7" s="161"/>
      <c r="HQ7" s="161"/>
      <c r="HR7" s="161"/>
      <c r="HS7" s="161"/>
      <c r="HT7" s="161"/>
      <c r="HU7" s="161"/>
      <c r="HV7" s="161"/>
      <c r="HW7" s="161"/>
      <c r="HX7" s="161"/>
      <c r="HY7" s="161"/>
      <c r="HZ7" s="161"/>
      <c r="IA7" s="161"/>
      <c r="IB7" s="161"/>
      <c r="IC7" s="161"/>
      <c r="ID7" s="161"/>
      <c r="IE7" s="161"/>
      <c r="IF7" s="161"/>
      <c r="IG7" s="161"/>
      <c r="IH7" s="161"/>
      <c r="II7" s="161"/>
      <c r="IJ7" s="161"/>
      <c r="IK7" s="161"/>
      <c r="IL7" s="161"/>
      <c r="IM7" s="161"/>
      <c r="IN7" s="161"/>
      <c r="IO7" s="161"/>
      <c r="IP7" s="161"/>
      <c r="IQ7" s="161"/>
      <c r="IR7" s="161"/>
      <c r="IS7" s="161"/>
      <c r="IT7" s="161"/>
      <c r="IU7" s="161"/>
      <c r="IV7" s="161"/>
      <c r="IW7" s="161"/>
      <c r="IX7" s="161"/>
      <c r="IY7" s="161"/>
      <c r="IZ7" s="161"/>
      <c r="JA7" s="161"/>
      <c r="JB7" s="161"/>
      <c r="JC7" s="161"/>
      <c r="JD7" s="161"/>
      <c r="JE7" s="161"/>
      <c r="JF7" s="161"/>
      <c r="JG7" s="161"/>
      <c r="JH7" s="161"/>
      <c r="JI7" s="161"/>
      <c r="JJ7" s="161"/>
      <c r="JK7" s="161"/>
      <c r="JL7" s="155">
        <v>1.0</v>
      </c>
      <c r="JM7" s="161"/>
      <c r="JN7" s="161"/>
      <c r="JO7" s="161"/>
      <c r="JP7" s="161"/>
      <c r="JQ7" s="161"/>
      <c r="JR7" s="161"/>
      <c r="JS7" s="161"/>
      <c r="JT7" s="161"/>
      <c r="JU7" s="161"/>
      <c r="JV7" s="161"/>
      <c r="JW7" s="161"/>
      <c r="JX7" s="161"/>
      <c r="JY7" s="161"/>
      <c r="JZ7" s="161"/>
      <c r="KA7" s="161"/>
      <c r="KB7" s="161"/>
      <c r="KC7" s="161"/>
      <c r="KD7" s="161"/>
      <c r="KE7" s="161"/>
      <c r="KF7" s="161"/>
      <c r="KG7" s="161"/>
      <c r="KH7" s="161"/>
      <c r="KI7" s="161"/>
      <c r="KJ7" s="161"/>
      <c r="KK7" s="161"/>
      <c r="KL7" s="161"/>
      <c r="KM7" s="161"/>
      <c r="KN7" s="161"/>
      <c r="KO7" s="161"/>
      <c r="KP7" s="161"/>
      <c r="KQ7" s="161"/>
      <c r="KR7" s="162"/>
      <c r="KS7" s="155">
        <v>1.0</v>
      </c>
      <c r="KT7" s="155">
        <v>1.0</v>
      </c>
      <c r="KU7" s="161"/>
      <c r="KV7" s="161"/>
      <c r="KW7" s="161"/>
      <c r="KX7" s="129"/>
    </row>
    <row r="8">
      <c r="A8" s="158">
        <v>9.0</v>
      </c>
      <c r="B8" s="158">
        <f t="shared" si="1"/>
        <v>21</v>
      </c>
      <c r="C8" s="158" t="s">
        <v>2332</v>
      </c>
      <c r="D8" s="159" t="s">
        <v>2379</v>
      </c>
      <c r="E8" s="159" t="s">
        <v>2380</v>
      </c>
      <c r="F8" s="159" t="s">
        <v>2381</v>
      </c>
      <c r="G8" s="159" t="s">
        <v>2382</v>
      </c>
      <c r="H8" s="161"/>
      <c r="I8" s="161"/>
      <c r="J8" s="161"/>
      <c r="K8" s="155">
        <v>1.0</v>
      </c>
      <c r="L8" s="161"/>
      <c r="M8" s="161"/>
      <c r="N8" s="161"/>
      <c r="O8" s="161"/>
      <c r="P8" s="161"/>
      <c r="Q8" s="155">
        <v>1.0</v>
      </c>
      <c r="R8" s="161"/>
      <c r="S8" s="161"/>
      <c r="T8" s="161"/>
      <c r="U8" s="161"/>
      <c r="V8" s="161"/>
      <c r="W8" s="161"/>
      <c r="X8" s="161"/>
      <c r="Y8" s="161"/>
      <c r="Z8" s="161"/>
      <c r="AA8" s="161"/>
      <c r="AB8" s="161"/>
      <c r="AC8" s="161"/>
      <c r="AD8" s="161"/>
      <c r="AE8" s="161"/>
      <c r="AF8" s="161"/>
      <c r="AG8" s="155"/>
      <c r="AH8" s="161"/>
      <c r="AI8" s="161"/>
      <c r="AJ8" s="162"/>
      <c r="AK8" s="161"/>
      <c r="AL8" s="161"/>
      <c r="AM8" s="161"/>
      <c r="AN8" s="161"/>
      <c r="AO8" s="161"/>
      <c r="AP8" s="161"/>
      <c r="AQ8" s="161"/>
      <c r="AR8" s="161"/>
      <c r="AS8" s="161"/>
      <c r="AT8" s="161"/>
      <c r="AU8" s="161"/>
      <c r="AV8" s="161"/>
      <c r="AW8" s="162"/>
      <c r="AX8" s="162"/>
      <c r="AY8" s="161"/>
      <c r="AZ8" s="161"/>
      <c r="BA8" s="161"/>
      <c r="BB8" s="161"/>
      <c r="BC8" s="161"/>
      <c r="BD8" s="161"/>
      <c r="BE8" s="155">
        <v>1.0</v>
      </c>
      <c r="BF8" s="161"/>
      <c r="BG8" s="161"/>
      <c r="BH8" s="161"/>
      <c r="BI8" s="161"/>
      <c r="BJ8" s="155"/>
      <c r="BK8" s="155">
        <v>1.0</v>
      </c>
      <c r="BL8" s="161"/>
      <c r="BM8" s="161"/>
      <c r="BN8" s="161"/>
      <c r="BO8" s="161"/>
      <c r="BP8" s="161"/>
      <c r="BQ8" s="161"/>
      <c r="BR8" s="161"/>
      <c r="BS8" s="155"/>
      <c r="BT8" s="161"/>
      <c r="BU8" s="161"/>
      <c r="BV8" s="161"/>
      <c r="BW8" s="161"/>
      <c r="BX8" s="129"/>
      <c r="BY8" s="161"/>
      <c r="BZ8" s="161"/>
      <c r="CA8" s="161"/>
      <c r="CB8" s="161"/>
      <c r="CC8" s="161"/>
      <c r="CD8" s="161"/>
      <c r="CE8" s="161"/>
      <c r="CF8" s="161"/>
      <c r="CG8" s="161"/>
      <c r="CH8" s="161"/>
      <c r="CI8" s="161"/>
      <c r="CJ8" s="161"/>
      <c r="CK8" s="161"/>
      <c r="CL8" s="161"/>
      <c r="CM8" s="161"/>
      <c r="CN8" s="161"/>
      <c r="CO8" s="161"/>
      <c r="CP8" s="161"/>
      <c r="CQ8" s="155">
        <v>1.0</v>
      </c>
      <c r="CR8" s="161"/>
      <c r="CS8" s="161"/>
      <c r="CT8" s="129"/>
      <c r="CU8" s="129"/>
      <c r="CV8" s="161"/>
      <c r="CW8" s="155">
        <v>1.0</v>
      </c>
      <c r="CX8" s="161"/>
      <c r="CY8" s="161"/>
      <c r="CZ8" s="161"/>
      <c r="DA8" s="161"/>
      <c r="DB8" s="161"/>
      <c r="DC8" s="161"/>
      <c r="DD8" s="161"/>
      <c r="DE8" s="162"/>
      <c r="DF8" s="162"/>
      <c r="DG8" s="162"/>
      <c r="DH8" s="162"/>
      <c r="DI8" s="162"/>
      <c r="DJ8" s="162"/>
      <c r="DK8" s="162"/>
      <c r="DL8" s="161"/>
      <c r="DM8" s="161"/>
      <c r="DN8" s="162"/>
      <c r="DO8" s="161"/>
      <c r="DP8" s="161"/>
      <c r="DQ8" s="161"/>
      <c r="DR8" s="162"/>
      <c r="DS8" s="161"/>
      <c r="DT8" s="161"/>
      <c r="DU8" s="162"/>
      <c r="DV8" s="162"/>
      <c r="DW8" s="155">
        <v>1.0</v>
      </c>
      <c r="DX8" s="161"/>
      <c r="DY8" s="162"/>
      <c r="DZ8" s="156"/>
      <c r="EA8" s="161"/>
      <c r="EB8" s="162"/>
      <c r="EC8" s="161"/>
      <c r="ED8" s="162"/>
      <c r="EE8" s="162"/>
      <c r="EF8" s="161"/>
      <c r="EG8" s="161"/>
      <c r="EH8" s="161"/>
      <c r="EI8" s="161"/>
      <c r="EJ8" s="161"/>
      <c r="EK8" s="155">
        <v>1.0</v>
      </c>
      <c r="EL8" s="162"/>
      <c r="EM8" s="161"/>
      <c r="EN8" s="161"/>
      <c r="EO8" s="161"/>
      <c r="EP8" s="161"/>
      <c r="EQ8" s="161"/>
      <c r="ER8" s="161"/>
      <c r="ES8" s="161"/>
      <c r="ET8" s="162"/>
      <c r="EU8" s="161"/>
      <c r="EV8" s="161"/>
      <c r="EW8" s="161"/>
      <c r="EX8" s="161"/>
      <c r="EY8" s="155">
        <v>1.0</v>
      </c>
      <c r="EZ8" s="161"/>
      <c r="FA8" s="161"/>
      <c r="FB8" s="161"/>
      <c r="FC8" s="161"/>
      <c r="FD8" s="161"/>
      <c r="FE8" s="161"/>
      <c r="FF8" s="161"/>
      <c r="FG8" s="161"/>
      <c r="FH8" s="161"/>
      <c r="FI8" s="161"/>
      <c r="FJ8" s="161"/>
      <c r="FK8" s="161"/>
      <c r="FL8" s="161"/>
      <c r="FM8" s="161"/>
      <c r="FN8" s="161"/>
      <c r="FO8" s="161"/>
      <c r="FP8" s="161"/>
      <c r="FQ8" s="155">
        <v>1.0</v>
      </c>
      <c r="FR8" s="161"/>
      <c r="FS8" s="161"/>
      <c r="FT8" s="161"/>
      <c r="FU8" s="161"/>
      <c r="FV8" s="161"/>
      <c r="FW8" s="161"/>
      <c r="FX8" s="161"/>
      <c r="FY8" s="155">
        <v>1.0</v>
      </c>
      <c r="FZ8" s="161"/>
      <c r="GA8" s="161"/>
      <c r="GB8" s="161"/>
      <c r="GC8" s="155">
        <v>1.0</v>
      </c>
      <c r="GD8" s="161"/>
      <c r="GE8" s="161"/>
      <c r="GF8" s="161"/>
      <c r="GG8" s="161"/>
      <c r="GH8" s="155">
        <v>1.0</v>
      </c>
      <c r="GI8" s="161"/>
      <c r="GJ8" s="161"/>
      <c r="GK8" s="161"/>
      <c r="GL8" s="161"/>
      <c r="GM8" s="161"/>
      <c r="GN8" s="161"/>
      <c r="GO8" s="161"/>
      <c r="GP8" s="161"/>
      <c r="GQ8" s="161"/>
      <c r="GR8" s="161"/>
      <c r="GS8" s="161"/>
      <c r="GT8" s="161"/>
      <c r="GU8" s="161"/>
      <c r="GV8" s="161"/>
      <c r="GW8" s="155">
        <v>1.0</v>
      </c>
      <c r="GX8" s="161"/>
      <c r="GY8" s="161"/>
      <c r="GZ8" s="161"/>
      <c r="HA8" s="161"/>
      <c r="HB8" s="161"/>
      <c r="HC8" s="161"/>
      <c r="HD8" s="162"/>
      <c r="HE8" s="161"/>
      <c r="HF8" s="162"/>
      <c r="HG8" s="161"/>
      <c r="HH8" s="161"/>
      <c r="HI8" s="161"/>
      <c r="HJ8" s="161"/>
      <c r="HK8" s="155"/>
      <c r="HL8" s="155">
        <v>1.0</v>
      </c>
      <c r="HM8" s="161"/>
      <c r="HN8" s="161"/>
      <c r="HO8" s="161"/>
      <c r="HP8" s="161"/>
      <c r="HQ8" s="161"/>
      <c r="HR8" s="161"/>
      <c r="HS8" s="161"/>
      <c r="HT8" s="161"/>
      <c r="HU8" s="161"/>
      <c r="HV8" s="161"/>
      <c r="HW8" s="161"/>
      <c r="HX8" s="161"/>
      <c r="HY8" s="161"/>
      <c r="HZ8" s="161"/>
      <c r="IA8" s="161"/>
      <c r="IB8" s="161"/>
      <c r="IC8" s="161"/>
      <c r="ID8" s="161"/>
      <c r="IE8" s="161"/>
      <c r="IF8" s="155">
        <v>1.0</v>
      </c>
      <c r="IG8" s="161"/>
      <c r="IH8" s="161"/>
      <c r="II8" s="155">
        <v>1.0</v>
      </c>
      <c r="IJ8" s="161"/>
      <c r="IK8" s="161"/>
      <c r="IL8" s="161"/>
      <c r="IM8" s="161"/>
      <c r="IN8" s="161"/>
      <c r="IO8" s="161"/>
      <c r="IP8" s="161"/>
      <c r="IQ8" s="161"/>
      <c r="IR8" s="161"/>
      <c r="IS8" s="161"/>
      <c r="IT8" s="161"/>
      <c r="IU8" s="161"/>
      <c r="IV8" s="161"/>
      <c r="IW8" s="161"/>
      <c r="IX8" s="161"/>
      <c r="IY8" s="161"/>
      <c r="IZ8" s="161"/>
      <c r="JA8" s="161"/>
      <c r="JB8" s="161"/>
      <c r="JC8" s="161"/>
      <c r="JD8" s="161"/>
      <c r="JE8" s="161"/>
      <c r="JF8" s="161"/>
      <c r="JG8" s="161"/>
      <c r="JH8" s="161"/>
      <c r="JI8" s="161"/>
      <c r="JJ8" s="155">
        <v>1.0</v>
      </c>
      <c r="JK8" s="161"/>
      <c r="JL8" s="155">
        <v>1.0</v>
      </c>
      <c r="JM8" s="161"/>
      <c r="JN8" s="161"/>
      <c r="JO8" s="155">
        <v>1.0</v>
      </c>
      <c r="JP8" s="161"/>
      <c r="JQ8" s="161"/>
      <c r="JR8" s="161"/>
      <c r="JS8" s="161"/>
      <c r="JT8" s="161"/>
      <c r="JU8" s="161"/>
      <c r="JV8" s="155">
        <v>1.0</v>
      </c>
      <c r="JW8" s="161"/>
      <c r="JX8" s="161"/>
      <c r="JY8" s="161"/>
      <c r="JZ8" s="161"/>
      <c r="KA8" s="161"/>
      <c r="KB8" s="161"/>
      <c r="KC8" s="161"/>
      <c r="KD8" s="161"/>
      <c r="KE8" s="161"/>
      <c r="KF8" s="161"/>
      <c r="KG8" s="161"/>
      <c r="KH8" s="161"/>
      <c r="KI8" s="161"/>
      <c r="KJ8" s="161"/>
      <c r="KK8" s="155"/>
      <c r="KL8" s="161"/>
      <c r="KM8" s="161"/>
      <c r="KN8" s="161"/>
      <c r="KO8" s="161"/>
      <c r="KP8" s="161"/>
      <c r="KQ8" s="161"/>
      <c r="KR8" s="162"/>
      <c r="KS8" s="161"/>
      <c r="KT8" s="161"/>
      <c r="KU8" s="161"/>
      <c r="KV8" s="161"/>
      <c r="KW8" s="161"/>
      <c r="KX8" s="129"/>
    </row>
    <row r="9">
      <c r="A9" s="158">
        <v>10.0</v>
      </c>
      <c r="B9" s="158">
        <f t="shared" si="1"/>
        <v>17</v>
      </c>
      <c r="C9" s="158" t="s">
        <v>2342</v>
      </c>
      <c r="D9" s="159" t="s">
        <v>2387</v>
      </c>
      <c r="E9" s="159" t="s">
        <v>2388</v>
      </c>
      <c r="F9" s="159" t="s">
        <v>2389</v>
      </c>
      <c r="G9" s="159" t="s">
        <v>2382</v>
      </c>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56"/>
      <c r="AK9" s="155">
        <v>1.0</v>
      </c>
      <c r="AL9" s="161"/>
      <c r="AM9" s="161"/>
      <c r="AN9" s="155">
        <v>1.0</v>
      </c>
      <c r="AO9" s="161"/>
      <c r="AP9" s="161"/>
      <c r="AQ9" s="161"/>
      <c r="AR9" s="161"/>
      <c r="AS9" s="155"/>
      <c r="AT9" s="155">
        <v>1.0</v>
      </c>
      <c r="AU9" s="161"/>
      <c r="AV9" s="161"/>
      <c r="AW9" s="162"/>
      <c r="AX9" s="162"/>
      <c r="AY9" s="161"/>
      <c r="AZ9" s="161"/>
      <c r="BA9" s="161"/>
      <c r="BB9" s="161"/>
      <c r="BC9" s="161"/>
      <c r="BD9" s="161"/>
      <c r="BE9" s="155"/>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55">
        <v>1.0</v>
      </c>
      <c r="CM9" s="129"/>
      <c r="CN9" s="155">
        <v>1.0</v>
      </c>
      <c r="CO9" s="161"/>
      <c r="CP9" s="161"/>
      <c r="CQ9" s="161"/>
      <c r="CR9" s="161"/>
      <c r="CS9" s="161"/>
      <c r="CT9" s="129"/>
      <c r="CU9" s="129"/>
      <c r="CV9" s="161"/>
      <c r="CW9" s="161"/>
      <c r="CX9" s="161"/>
      <c r="CY9" s="161"/>
      <c r="CZ9" s="161"/>
      <c r="DA9" s="161"/>
      <c r="DB9" s="161"/>
      <c r="DC9" s="161"/>
      <c r="DD9" s="161"/>
      <c r="DE9" s="162"/>
      <c r="DF9" s="162"/>
      <c r="DG9" s="162"/>
      <c r="DH9" s="162"/>
      <c r="DI9" s="162"/>
      <c r="DJ9" s="162"/>
      <c r="DK9" s="162"/>
      <c r="DL9" s="155">
        <v>1.0</v>
      </c>
      <c r="DM9" s="161"/>
      <c r="DN9" s="162"/>
      <c r="DO9" s="161"/>
      <c r="DP9" s="161"/>
      <c r="DQ9" s="161"/>
      <c r="DR9" s="162"/>
      <c r="DS9" s="161"/>
      <c r="DT9" s="161"/>
      <c r="DU9" s="162"/>
      <c r="DV9" s="162"/>
      <c r="DW9" s="161"/>
      <c r="DX9" s="161"/>
      <c r="DY9" s="162"/>
      <c r="DZ9" s="162"/>
      <c r="EA9" s="161"/>
      <c r="EB9" s="162"/>
      <c r="EC9" s="161"/>
      <c r="ED9" s="162"/>
      <c r="EE9" s="162"/>
      <c r="EF9" s="155">
        <v>1.0</v>
      </c>
      <c r="EG9" s="161"/>
      <c r="EH9" s="161"/>
      <c r="EI9" s="155">
        <v>1.0</v>
      </c>
      <c r="EJ9" s="161"/>
      <c r="EK9" s="161"/>
      <c r="EL9" s="162"/>
      <c r="EM9" s="161"/>
      <c r="EN9" s="161"/>
      <c r="EO9" s="161"/>
      <c r="EP9" s="161"/>
      <c r="EQ9" s="161"/>
      <c r="ER9" s="161"/>
      <c r="ES9" s="161"/>
      <c r="ET9" s="162"/>
      <c r="EU9" s="161"/>
      <c r="EV9" s="161"/>
      <c r="EW9" s="161"/>
      <c r="EX9" s="161"/>
      <c r="EY9" s="161"/>
      <c r="EZ9" s="161"/>
      <c r="FA9" s="161"/>
      <c r="FB9" s="161"/>
      <c r="FC9" s="161"/>
      <c r="FD9" s="161"/>
      <c r="FE9" s="161"/>
      <c r="FF9" s="161"/>
      <c r="FG9" s="161"/>
      <c r="FH9" s="161"/>
      <c r="FI9" s="161"/>
      <c r="FJ9" s="161"/>
      <c r="FK9" s="161"/>
      <c r="FL9" s="161"/>
      <c r="FM9" s="155">
        <v>1.0</v>
      </c>
      <c r="FN9" s="161"/>
      <c r="FO9" s="161"/>
      <c r="FP9" s="155">
        <v>1.0</v>
      </c>
      <c r="FQ9" s="161"/>
      <c r="FR9" s="161"/>
      <c r="FS9" s="161"/>
      <c r="FT9" s="161"/>
      <c r="FU9" s="161"/>
      <c r="FV9" s="155">
        <v>1.0</v>
      </c>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55"/>
      <c r="HC9" s="161"/>
      <c r="HD9" s="156">
        <v>1.0</v>
      </c>
      <c r="HE9" s="155">
        <v>1.0</v>
      </c>
      <c r="HF9" s="156">
        <v>1.0</v>
      </c>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55">
        <v>1.0</v>
      </c>
      <c r="IZ9" s="161"/>
      <c r="JA9" s="161"/>
      <c r="JB9" s="155">
        <v>1.0</v>
      </c>
      <c r="JC9" s="161"/>
      <c r="JD9" s="161"/>
      <c r="JE9" s="161"/>
      <c r="JF9" s="161"/>
      <c r="JG9" s="161"/>
      <c r="JH9" s="155">
        <v>1.0</v>
      </c>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2"/>
      <c r="KS9" s="161"/>
      <c r="KT9" s="161"/>
      <c r="KU9" s="161"/>
      <c r="KV9" s="161"/>
      <c r="KW9" s="161"/>
      <c r="KX9" s="129"/>
    </row>
    <row r="10">
      <c r="A10" s="158">
        <v>11.0</v>
      </c>
      <c r="B10" s="158">
        <f t="shared" si="1"/>
        <v>24</v>
      </c>
      <c r="C10" s="158" t="s">
        <v>2342</v>
      </c>
      <c r="D10" s="159" t="s">
        <v>2394</v>
      </c>
      <c r="E10" s="159" t="s">
        <v>2395</v>
      </c>
      <c r="F10" s="159" t="s">
        <v>2396</v>
      </c>
      <c r="G10" s="159" t="s">
        <v>2397</v>
      </c>
      <c r="H10" s="161"/>
      <c r="I10" s="161"/>
      <c r="J10" s="161"/>
      <c r="K10" s="161"/>
      <c r="L10" s="161"/>
      <c r="M10" s="161"/>
      <c r="N10" s="161"/>
      <c r="O10" s="161"/>
      <c r="P10" s="161"/>
      <c r="Q10" s="161"/>
      <c r="R10" s="161"/>
      <c r="S10" s="161"/>
      <c r="T10" s="161"/>
      <c r="U10" s="155">
        <v>1.0</v>
      </c>
      <c r="V10" s="161"/>
      <c r="W10" s="161"/>
      <c r="X10" s="161"/>
      <c r="Y10" s="155">
        <v>1.0</v>
      </c>
      <c r="Z10" s="161"/>
      <c r="AA10" s="161"/>
      <c r="AB10" s="155">
        <v>1.0</v>
      </c>
      <c r="AC10" s="161"/>
      <c r="AD10" s="155">
        <v>1.0</v>
      </c>
      <c r="AE10" s="155">
        <v>1.0</v>
      </c>
      <c r="AF10" s="161"/>
      <c r="AG10" s="161"/>
      <c r="AH10" s="161"/>
      <c r="AI10" s="161"/>
      <c r="AJ10" s="162"/>
      <c r="AK10" s="161"/>
      <c r="AL10" s="155">
        <v>1.0</v>
      </c>
      <c r="AM10" s="161"/>
      <c r="AN10" s="161"/>
      <c r="AO10" s="161"/>
      <c r="AP10" s="161"/>
      <c r="AQ10" s="161"/>
      <c r="AR10" s="161"/>
      <c r="AS10" s="161"/>
      <c r="AT10" s="161"/>
      <c r="AU10" s="161"/>
      <c r="AV10" s="161"/>
      <c r="AW10" s="162"/>
      <c r="AX10" s="162"/>
      <c r="AY10" s="161"/>
      <c r="AZ10" s="155">
        <v>1.0</v>
      </c>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55">
        <v>1.0</v>
      </c>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29"/>
      <c r="CU10" s="129"/>
      <c r="CV10" s="161"/>
      <c r="CW10" s="161"/>
      <c r="CX10" s="161"/>
      <c r="CY10" s="161"/>
      <c r="CZ10" s="155">
        <v>1.0</v>
      </c>
      <c r="DA10" s="155">
        <v>1.0</v>
      </c>
      <c r="DB10" s="161"/>
      <c r="DC10" s="161"/>
      <c r="DD10" s="155"/>
      <c r="DE10" s="162"/>
      <c r="DF10" s="162"/>
      <c r="DG10" s="162"/>
      <c r="DH10" s="162"/>
      <c r="DI10" s="162"/>
      <c r="DJ10" s="162"/>
      <c r="DK10" s="162"/>
      <c r="DL10" s="161"/>
      <c r="DM10" s="155">
        <v>1.0</v>
      </c>
      <c r="DN10" s="162"/>
      <c r="DO10" s="161"/>
      <c r="DP10" s="161"/>
      <c r="DQ10" s="161"/>
      <c r="DR10" s="162"/>
      <c r="DS10" s="161"/>
      <c r="DT10" s="161"/>
      <c r="DU10" s="162"/>
      <c r="DV10" s="162"/>
      <c r="DW10" s="161"/>
      <c r="DX10" s="161"/>
      <c r="DY10" s="162"/>
      <c r="DZ10" s="162"/>
      <c r="EA10" s="161"/>
      <c r="EB10" s="162"/>
      <c r="EC10" s="161"/>
      <c r="ED10" s="162"/>
      <c r="EE10" s="162"/>
      <c r="EF10" s="155">
        <v>1.0</v>
      </c>
      <c r="EG10" s="161"/>
      <c r="EH10" s="161"/>
      <c r="EI10" s="161"/>
      <c r="EJ10" s="161"/>
      <c r="EK10" s="161"/>
      <c r="EL10" s="162"/>
      <c r="EM10" s="161"/>
      <c r="EN10" s="161"/>
      <c r="EO10" s="161"/>
      <c r="EP10" s="155">
        <v>1.0</v>
      </c>
      <c r="EQ10" s="161"/>
      <c r="ER10" s="161"/>
      <c r="ES10" s="161"/>
      <c r="ET10" s="162"/>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55">
        <v>1.0</v>
      </c>
      <c r="GJ10" s="161"/>
      <c r="GK10" s="155">
        <v>1.0</v>
      </c>
      <c r="GL10" s="155"/>
      <c r="GM10" s="161"/>
      <c r="GN10" s="161"/>
      <c r="GO10" s="161"/>
      <c r="GP10" s="155">
        <v>1.0</v>
      </c>
      <c r="GQ10" s="161"/>
      <c r="GR10" s="161"/>
      <c r="GS10" s="161"/>
      <c r="GT10" s="161"/>
      <c r="GU10" s="161"/>
      <c r="GV10" s="161"/>
      <c r="GW10" s="161"/>
      <c r="GX10" s="161"/>
      <c r="GY10" s="161"/>
      <c r="GZ10" s="161"/>
      <c r="HA10" s="161"/>
      <c r="HB10" s="155">
        <v>1.0</v>
      </c>
      <c r="HC10" s="161"/>
      <c r="HD10" s="156">
        <v>1.0</v>
      </c>
      <c r="HE10" s="155">
        <v>1.0</v>
      </c>
      <c r="HF10" s="162"/>
      <c r="HG10" s="161"/>
      <c r="HH10" s="161"/>
      <c r="HI10" s="155"/>
      <c r="HJ10" s="155">
        <v>1.0</v>
      </c>
      <c r="HK10" s="161"/>
      <c r="HL10" s="161"/>
      <c r="HM10" s="161"/>
      <c r="HN10" s="161"/>
      <c r="HO10" s="161"/>
      <c r="HP10" s="161"/>
      <c r="HQ10" s="161"/>
      <c r="HR10" s="161"/>
      <c r="HS10" s="161"/>
      <c r="HT10" s="161"/>
      <c r="HU10" s="155">
        <v>1.0</v>
      </c>
      <c r="HV10" s="155"/>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55"/>
      <c r="JA10" s="161"/>
      <c r="JB10" s="161"/>
      <c r="JC10" s="161"/>
      <c r="JD10" s="161"/>
      <c r="JE10" s="155">
        <v>1.0</v>
      </c>
      <c r="JF10" s="155">
        <v>1.0</v>
      </c>
      <c r="JG10" s="161"/>
      <c r="JH10" s="155">
        <v>1.0</v>
      </c>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2"/>
      <c r="KS10" s="161"/>
      <c r="KT10" s="161"/>
      <c r="KU10" s="161"/>
      <c r="KV10" s="161"/>
      <c r="KW10" s="161"/>
      <c r="KX10" s="129"/>
    </row>
    <row r="11">
      <c r="A11" s="158">
        <v>12.0</v>
      </c>
      <c r="B11" s="158">
        <f t="shared" si="1"/>
        <v>13</v>
      </c>
      <c r="C11" s="158" t="s">
        <v>2342</v>
      </c>
      <c r="D11" s="159" t="s">
        <v>2400</v>
      </c>
      <c r="E11" s="160"/>
      <c r="F11" s="159" t="s">
        <v>2401</v>
      </c>
      <c r="G11" s="159" t="s">
        <v>1116</v>
      </c>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2"/>
      <c r="AK11" s="161"/>
      <c r="AL11" s="161"/>
      <c r="AM11" s="161"/>
      <c r="AN11" s="161"/>
      <c r="AO11" s="161"/>
      <c r="AP11" s="161"/>
      <c r="AQ11" s="161"/>
      <c r="AR11" s="161"/>
      <c r="AS11" s="161"/>
      <c r="AT11" s="161"/>
      <c r="AU11" s="155">
        <v>1.0</v>
      </c>
      <c r="AV11" s="161"/>
      <c r="AW11" s="162"/>
      <c r="AX11" s="162"/>
      <c r="AY11" s="161"/>
      <c r="AZ11" s="161"/>
      <c r="BA11" s="161"/>
      <c r="BB11" s="161"/>
      <c r="BC11" s="161"/>
      <c r="BD11" s="161"/>
      <c r="BE11" s="155">
        <v>1.0</v>
      </c>
      <c r="BF11" s="161"/>
      <c r="BG11" s="161"/>
      <c r="BH11" s="161"/>
      <c r="BI11" s="161"/>
      <c r="BJ11" s="161"/>
      <c r="BK11" s="161"/>
      <c r="BL11" s="161"/>
      <c r="BM11" s="161"/>
      <c r="BN11" s="161"/>
      <c r="BO11" s="161"/>
      <c r="BP11" s="155">
        <v>1.0</v>
      </c>
      <c r="BQ11" s="161"/>
      <c r="BR11" s="155">
        <v>1.0</v>
      </c>
      <c r="BS11" s="161"/>
      <c r="BT11" s="161"/>
      <c r="BU11" s="161"/>
      <c r="BV11" s="161"/>
      <c r="BW11" s="161"/>
      <c r="BX11" s="161"/>
      <c r="BY11" s="161"/>
      <c r="BZ11" s="161"/>
      <c r="CA11" s="161"/>
      <c r="CB11" s="161"/>
      <c r="CC11" s="161"/>
      <c r="CD11" s="161"/>
      <c r="CE11" s="161"/>
      <c r="CF11" s="161"/>
      <c r="CG11" s="161"/>
      <c r="CH11" s="161"/>
      <c r="CI11" s="161"/>
      <c r="CJ11" s="161"/>
      <c r="CK11" s="161"/>
      <c r="CL11" s="161"/>
      <c r="CM11" s="161"/>
      <c r="CN11" s="161"/>
      <c r="CO11" s="161"/>
      <c r="CP11" s="161"/>
      <c r="CQ11" s="161"/>
      <c r="CR11" s="161"/>
      <c r="CS11" s="161"/>
      <c r="CT11" s="129"/>
      <c r="CU11" s="129"/>
      <c r="CV11" s="161"/>
      <c r="CW11" s="161"/>
      <c r="CX11" s="129"/>
      <c r="CY11" s="161"/>
      <c r="CZ11" s="161"/>
      <c r="DA11" s="161"/>
      <c r="DB11" s="161"/>
      <c r="DC11" s="161"/>
      <c r="DD11" s="161"/>
      <c r="DE11" s="162"/>
      <c r="DF11" s="162"/>
      <c r="DG11" s="162"/>
      <c r="DH11" s="162"/>
      <c r="DI11" s="162"/>
      <c r="DJ11" s="162"/>
      <c r="DK11" s="162"/>
      <c r="DL11" s="161"/>
      <c r="DM11" s="161"/>
      <c r="DN11" s="162"/>
      <c r="DO11" s="161"/>
      <c r="DP11" s="161"/>
      <c r="DQ11" s="161"/>
      <c r="DR11" s="162"/>
      <c r="DS11" s="161"/>
      <c r="DT11" s="161"/>
      <c r="DU11" s="162"/>
      <c r="DV11" s="162"/>
      <c r="DW11" s="161"/>
      <c r="DX11" s="161"/>
      <c r="DY11" s="162"/>
      <c r="DZ11" s="162"/>
      <c r="EA11" s="161"/>
      <c r="EB11" s="162"/>
      <c r="EC11" s="161"/>
      <c r="ED11" s="162"/>
      <c r="EE11" s="162"/>
      <c r="EF11" s="161"/>
      <c r="EG11" s="161"/>
      <c r="EH11" s="161"/>
      <c r="EI11" s="161"/>
      <c r="EJ11" s="161"/>
      <c r="EK11" s="161"/>
      <c r="EL11" s="162"/>
      <c r="EM11" s="161"/>
      <c r="EN11" s="161"/>
      <c r="EO11" s="155">
        <v>1.0</v>
      </c>
      <c r="EP11" s="161"/>
      <c r="EQ11" s="161"/>
      <c r="ER11" s="161"/>
      <c r="ES11" s="161"/>
      <c r="ET11" s="162"/>
      <c r="EU11" s="161"/>
      <c r="EV11" s="161"/>
      <c r="EW11" s="161"/>
      <c r="EX11" s="161"/>
      <c r="EY11" s="161"/>
      <c r="EZ11" s="161"/>
      <c r="FA11" s="161"/>
      <c r="FB11" s="161"/>
      <c r="FC11" s="161"/>
      <c r="FD11" s="161"/>
      <c r="FE11" s="161"/>
      <c r="FF11" s="161"/>
      <c r="FG11" s="161"/>
      <c r="FH11" s="161"/>
      <c r="FI11" s="161"/>
      <c r="FJ11" s="161"/>
      <c r="FK11" s="161"/>
      <c r="FL11" s="161"/>
      <c r="FM11" s="161"/>
      <c r="FN11" s="161"/>
      <c r="FO11" s="161"/>
      <c r="FP11" s="161"/>
      <c r="FQ11" s="161"/>
      <c r="FR11" s="161"/>
      <c r="FS11" s="161"/>
      <c r="FT11" s="161"/>
      <c r="FU11" s="161"/>
      <c r="FV11" s="161"/>
      <c r="FW11" s="161"/>
      <c r="FX11" s="155">
        <v>1.0</v>
      </c>
      <c r="FY11" s="161"/>
      <c r="FZ11" s="161"/>
      <c r="GA11" s="155">
        <v>1.0</v>
      </c>
      <c r="GB11" s="161"/>
      <c r="GC11" s="161"/>
      <c r="GD11" s="161"/>
      <c r="GE11" s="161"/>
      <c r="GF11" s="161"/>
      <c r="GG11" s="161"/>
      <c r="GH11" s="161"/>
      <c r="GI11" s="161"/>
      <c r="GJ11" s="161"/>
      <c r="GK11" s="161"/>
      <c r="GL11" s="161"/>
      <c r="GM11" s="161"/>
      <c r="GN11" s="161"/>
      <c r="GO11" s="161"/>
      <c r="GP11" s="161"/>
      <c r="GQ11" s="161"/>
      <c r="GR11" s="161"/>
      <c r="GS11" s="161"/>
      <c r="GT11" s="161"/>
      <c r="GU11" s="161"/>
      <c r="GV11" s="161"/>
      <c r="GW11" s="161"/>
      <c r="GX11" s="161"/>
      <c r="GY11" s="161"/>
      <c r="GZ11" s="161"/>
      <c r="HA11" s="161"/>
      <c r="HB11" s="155">
        <v>1.0</v>
      </c>
      <c r="HC11" s="161"/>
      <c r="HD11" s="162"/>
      <c r="HE11" s="161"/>
      <c r="HF11" s="162"/>
      <c r="HG11" s="161"/>
      <c r="HH11" s="161"/>
      <c r="HI11" s="161"/>
      <c r="HJ11" s="161"/>
      <c r="HK11" s="161"/>
      <c r="HL11" s="161"/>
      <c r="HM11" s="161"/>
      <c r="HN11" s="161"/>
      <c r="HO11" s="161"/>
      <c r="HP11" s="161"/>
      <c r="HQ11" s="161"/>
      <c r="HR11" s="161"/>
      <c r="HS11" s="161"/>
      <c r="HT11" s="161"/>
      <c r="HU11" s="161"/>
      <c r="HV11" s="161"/>
      <c r="HW11" s="161"/>
      <c r="HX11" s="161"/>
      <c r="HY11" s="161"/>
      <c r="HZ11" s="161"/>
      <c r="IA11" s="161"/>
      <c r="IB11" s="161"/>
      <c r="IC11" s="161"/>
      <c r="ID11" s="161"/>
      <c r="IE11" s="155">
        <v>1.0</v>
      </c>
      <c r="IF11" s="161"/>
      <c r="IG11" s="161"/>
      <c r="IH11" s="161"/>
      <c r="II11" s="161"/>
      <c r="IJ11" s="161"/>
      <c r="IK11" s="161"/>
      <c r="IL11" s="161"/>
      <c r="IM11" s="161"/>
      <c r="IN11" s="161"/>
      <c r="IO11" s="161"/>
      <c r="IP11" s="161"/>
      <c r="IQ11" s="161"/>
      <c r="IR11" s="161"/>
      <c r="IS11" s="161"/>
      <c r="IT11" s="161"/>
      <c r="IU11" s="161"/>
      <c r="IV11" s="161"/>
      <c r="IW11" s="161"/>
      <c r="IX11" s="161"/>
      <c r="IY11" s="161"/>
      <c r="IZ11" s="155"/>
      <c r="JA11" s="161"/>
      <c r="JB11" s="161"/>
      <c r="JC11" s="161"/>
      <c r="JD11" s="161"/>
      <c r="JE11" s="161"/>
      <c r="JF11" s="161"/>
      <c r="JG11" s="161"/>
      <c r="JH11" s="161"/>
      <c r="JI11" s="161"/>
      <c r="JJ11" s="161"/>
      <c r="JK11" s="161"/>
      <c r="JL11" s="161"/>
      <c r="JM11" s="161"/>
      <c r="JN11" s="161"/>
      <c r="JO11" s="161"/>
      <c r="JP11" s="161"/>
      <c r="JQ11" s="155">
        <v>1.0</v>
      </c>
      <c r="JR11" s="161"/>
      <c r="JS11" s="161"/>
      <c r="JT11" s="161"/>
      <c r="JU11" s="161"/>
      <c r="JV11" s="161"/>
      <c r="JW11" s="161"/>
      <c r="JX11" s="161"/>
      <c r="JY11" s="161"/>
      <c r="JZ11" s="161"/>
      <c r="KA11" s="161"/>
      <c r="KB11" s="161"/>
      <c r="KC11" s="161"/>
      <c r="KD11" s="161"/>
      <c r="KE11" s="161"/>
      <c r="KF11" s="161"/>
      <c r="KG11" s="161"/>
      <c r="KH11" s="161"/>
      <c r="KI11" s="161"/>
      <c r="KJ11" s="161"/>
      <c r="KK11" s="155"/>
      <c r="KL11" s="155">
        <v>1.0</v>
      </c>
      <c r="KM11" s="155">
        <v>1.0</v>
      </c>
      <c r="KN11" s="161"/>
      <c r="KO11" s="161"/>
      <c r="KP11" s="161"/>
      <c r="KQ11" s="161"/>
      <c r="KR11" s="162"/>
      <c r="KS11" s="161"/>
      <c r="KT11" s="155">
        <v>1.0</v>
      </c>
      <c r="KU11" s="161"/>
      <c r="KV11" s="161"/>
      <c r="KW11" s="161"/>
      <c r="KX11" s="129"/>
    </row>
    <row r="12">
      <c r="A12" s="158">
        <v>13.0</v>
      </c>
      <c r="B12" s="158">
        <f t="shared" si="1"/>
        <v>8</v>
      </c>
      <c r="C12" s="158" t="s">
        <v>2342</v>
      </c>
      <c r="D12" s="159" t="s">
        <v>2406</v>
      </c>
      <c r="E12" s="160"/>
      <c r="F12" s="159" t="s">
        <v>2407</v>
      </c>
      <c r="G12" s="159" t="s">
        <v>1456</v>
      </c>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55">
        <v>1.0</v>
      </c>
      <c r="AJ12" s="162"/>
      <c r="AK12" s="161"/>
      <c r="AL12" s="161"/>
      <c r="AM12" s="161"/>
      <c r="AN12" s="161"/>
      <c r="AO12" s="161"/>
      <c r="AP12" s="161"/>
      <c r="AQ12" s="161"/>
      <c r="AR12" s="161"/>
      <c r="AS12" s="161"/>
      <c r="AT12" s="161"/>
      <c r="AU12" s="161"/>
      <c r="AV12" s="161"/>
      <c r="AW12" s="162"/>
      <c r="AX12" s="162"/>
      <c r="AY12" s="161"/>
      <c r="AZ12" s="161"/>
      <c r="BA12" s="161"/>
      <c r="BB12" s="161"/>
      <c r="BC12" s="161"/>
      <c r="BD12" s="161"/>
      <c r="BE12" s="161"/>
      <c r="BF12" s="161"/>
      <c r="BG12" s="161"/>
      <c r="BH12" s="161"/>
      <c r="BI12" s="161"/>
      <c r="BJ12" s="161"/>
      <c r="BK12" s="161"/>
      <c r="BL12" s="161"/>
      <c r="BM12" s="161"/>
      <c r="BN12" s="161"/>
      <c r="BO12" s="161"/>
      <c r="BP12" s="161"/>
      <c r="BQ12" s="161"/>
      <c r="BR12" s="161"/>
      <c r="BS12" s="161"/>
      <c r="BT12" s="155">
        <v>1.0</v>
      </c>
      <c r="BU12" s="161"/>
      <c r="BV12" s="161"/>
      <c r="BW12" s="161"/>
      <c r="BX12" s="161"/>
      <c r="BY12" s="161"/>
      <c r="BZ12" s="161"/>
      <c r="CA12" s="161"/>
      <c r="CB12" s="161"/>
      <c r="CC12" s="161"/>
      <c r="CD12" s="161"/>
      <c r="CE12" s="161"/>
      <c r="CF12" s="161"/>
      <c r="CG12" s="161"/>
      <c r="CH12" s="161"/>
      <c r="CI12" s="161"/>
      <c r="CJ12" s="161"/>
      <c r="CK12" s="161"/>
      <c r="CL12" s="161"/>
      <c r="CM12" s="161"/>
      <c r="CN12" s="161"/>
      <c r="CO12" s="161"/>
      <c r="CP12" s="161"/>
      <c r="CQ12" s="161"/>
      <c r="CR12" s="161"/>
      <c r="CS12" s="161"/>
      <c r="CT12" s="129"/>
      <c r="CU12" s="129"/>
      <c r="CV12" s="161"/>
      <c r="CW12" s="161"/>
      <c r="CX12" s="161"/>
      <c r="CY12" s="161"/>
      <c r="CZ12" s="161"/>
      <c r="DA12" s="161"/>
      <c r="DB12" s="161"/>
      <c r="DC12" s="161"/>
      <c r="DD12" s="155">
        <v>1.0</v>
      </c>
      <c r="DE12" s="162"/>
      <c r="DF12" s="162"/>
      <c r="DG12" s="162"/>
      <c r="DH12" s="162"/>
      <c r="DI12" s="162"/>
      <c r="DJ12" s="162"/>
      <c r="DK12" s="162"/>
      <c r="DL12" s="161"/>
      <c r="DM12" s="161"/>
      <c r="DN12" s="162"/>
      <c r="DO12" s="161"/>
      <c r="DP12" s="161"/>
      <c r="DQ12" s="161"/>
      <c r="DR12" s="162"/>
      <c r="DS12" s="161"/>
      <c r="DT12" s="161"/>
      <c r="DU12" s="162"/>
      <c r="DV12" s="162"/>
      <c r="DW12" s="161"/>
      <c r="DX12" s="161"/>
      <c r="DY12" s="162"/>
      <c r="DZ12" s="162"/>
      <c r="EA12" s="161"/>
      <c r="EB12" s="162"/>
      <c r="EC12" s="155">
        <v>1.0</v>
      </c>
      <c r="ED12" s="162"/>
      <c r="EE12" s="162"/>
      <c r="EF12" s="161"/>
      <c r="EG12" s="161"/>
      <c r="EH12" s="161"/>
      <c r="EI12" s="161"/>
      <c r="EJ12" s="161"/>
      <c r="EK12" s="161"/>
      <c r="EL12" s="162"/>
      <c r="EM12" s="161"/>
      <c r="EN12" s="161"/>
      <c r="EO12" s="161"/>
      <c r="EP12" s="161"/>
      <c r="EQ12" s="161"/>
      <c r="ER12" s="161"/>
      <c r="ES12" s="161"/>
      <c r="ET12" s="162"/>
      <c r="EU12" s="161"/>
      <c r="EV12" s="161"/>
      <c r="EW12" s="161"/>
      <c r="EX12" s="161"/>
      <c r="EY12" s="161"/>
      <c r="EZ12" s="161"/>
      <c r="FA12" s="161"/>
      <c r="FB12" s="161"/>
      <c r="FC12" s="161"/>
      <c r="FD12" s="161"/>
      <c r="FE12" s="161"/>
      <c r="FF12" s="161"/>
      <c r="FG12" s="161"/>
      <c r="FH12" s="161"/>
      <c r="FI12" s="161"/>
      <c r="FJ12" s="161"/>
      <c r="FK12" s="161"/>
      <c r="FL12" s="161"/>
      <c r="FM12" s="161"/>
      <c r="FN12" s="161"/>
      <c r="FO12" s="161"/>
      <c r="FP12" s="161"/>
      <c r="FQ12" s="161"/>
      <c r="FR12" s="161"/>
      <c r="FS12" s="161"/>
      <c r="FT12" s="161"/>
      <c r="FU12" s="161"/>
      <c r="FV12" s="161"/>
      <c r="FW12" s="155">
        <v>1.0</v>
      </c>
      <c r="FX12" s="161"/>
      <c r="FY12" s="161"/>
      <c r="FZ12" s="161"/>
      <c r="GA12" s="161"/>
      <c r="GB12" s="161"/>
      <c r="GC12" s="161"/>
      <c r="GD12" s="161"/>
      <c r="GE12" s="161"/>
      <c r="GF12" s="161"/>
      <c r="GG12" s="161"/>
      <c r="GH12" s="161"/>
      <c r="GI12" s="161"/>
      <c r="GJ12" s="161"/>
      <c r="GK12" s="161"/>
      <c r="GL12" s="161"/>
      <c r="GM12" s="161"/>
      <c r="GN12" s="161"/>
      <c r="GO12" s="161"/>
      <c r="GP12" s="161"/>
      <c r="GQ12" s="161"/>
      <c r="GR12" s="161"/>
      <c r="GS12" s="161"/>
      <c r="GT12" s="161"/>
      <c r="GU12" s="161"/>
      <c r="GV12" s="161"/>
      <c r="GW12" s="161"/>
      <c r="GX12" s="161"/>
      <c r="GY12" s="161"/>
      <c r="GZ12" s="161"/>
      <c r="HA12" s="161"/>
      <c r="HB12" s="161"/>
      <c r="HC12" s="161"/>
      <c r="HD12" s="162"/>
      <c r="HE12" s="161"/>
      <c r="HF12" s="162"/>
      <c r="HG12" s="161"/>
      <c r="HH12" s="155">
        <v>1.0</v>
      </c>
      <c r="HI12" s="161"/>
      <c r="HJ12" s="161"/>
      <c r="HK12" s="161"/>
      <c r="HL12" s="161"/>
      <c r="HM12" s="161"/>
      <c r="HN12" s="161"/>
      <c r="HO12" s="161"/>
      <c r="HP12" s="161"/>
      <c r="HQ12" s="161"/>
      <c r="HR12" s="155">
        <v>1.0</v>
      </c>
      <c r="HS12" s="161"/>
      <c r="HT12" s="161"/>
      <c r="HU12" s="161"/>
      <c r="HV12" s="161"/>
      <c r="HW12" s="161"/>
      <c r="HX12" s="161"/>
      <c r="HY12" s="161"/>
      <c r="HZ12" s="161"/>
      <c r="IA12" s="161"/>
      <c r="IB12" s="161"/>
      <c r="IC12" s="161"/>
      <c r="ID12" s="161"/>
      <c r="IE12" s="161"/>
      <c r="IF12" s="161"/>
      <c r="IG12" s="161"/>
      <c r="IH12" s="161"/>
      <c r="II12" s="161"/>
      <c r="IJ12" s="161"/>
      <c r="IK12" s="161"/>
      <c r="IL12" s="161"/>
      <c r="IM12" s="161"/>
      <c r="IN12" s="161"/>
      <c r="IO12" s="161"/>
      <c r="IP12" s="161"/>
      <c r="IQ12" s="161"/>
      <c r="IR12" s="161"/>
      <c r="IS12" s="161"/>
      <c r="IT12" s="161"/>
      <c r="IU12" s="161"/>
      <c r="IV12" s="161"/>
      <c r="IW12" s="161"/>
      <c r="IX12" s="161"/>
      <c r="IY12" s="161"/>
      <c r="IZ12" s="161"/>
      <c r="JA12" s="161"/>
      <c r="JB12" s="161"/>
      <c r="JC12" s="161"/>
      <c r="JD12" s="161"/>
      <c r="JE12" s="161"/>
      <c r="JF12" s="161"/>
      <c r="JG12" s="161"/>
      <c r="JH12" s="161"/>
      <c r="JI12" s="161"/>
      <c r="JJ12" s="161"/>
      <c r="JK12" s="161"/>
      <c r="JL12" s="161"/>
      <c r="JM12" s="161"/>
      <c r="JN12" s="161"/>
      <c r="JO12" s="161"/>
      <c r="JP12" s="161"/>
      <c r="JQ12" s="161"/>
      <c r="JR12" s="161"/>
      <c r="JS12" s="161"/>
      <c r="JT12" s="155">
        <v>1.0</v>
      </c>
      <c r="JU12" s="161"/>
      <c r="JV12" s="161"/>
      <c r="JW12" s="161"/>
      <c r="JX12" s="161"/>
      <c r="JY12" s="161"/>
      <c r="JZ12" s="161"/>
      <c r="KA12" s="161"/>
      <c r="KB12" s="161"/>
      <c r="KC12" s="161"/>
      <c r="KD12" s="161"/>
      <c r="KE12" s="161"/>
      <c r="KF12" s="161"/>
      <c r="KG12" s="161"/>
      <c r="KH12" s="161"/>
      <c r="KI12" s="161"/>
      <c r="KJ12" s="161"/>
      <c r="KK12" s="161"/>
      <c r="KL12" s="161"/>
      <c r="KM12" s="161"/>
      <c r="KN12" s="161"/>
      <c r="KO12" s="161"/>
      <c r="KP12" s="161"/>
      <c r="KQ12" s="161"/>
      <c r="KR12" s="162"/>
      <c r="KS12" s="161"/>
      <c r="KT12" s="161"/>
      <c r="KU12" s="161"/>
      <c r="KV12" s="161"/>
      <c r="KW12" s="161"/>
      <c r="KX12" s="129"/>
    </row>
    <row r="13">
      <c r="A13" s="158">
        <v>14.0</v>
      </c>
      <c r="B13" s="158">
        <f t="shared" si="1"/>
        <v>6</v>
      </c>
      <c r="C13" s="158" t="s">
        <v>2342</v>
      </c>
      <c r="D13" s="159" t="s">
        <v>2412</v>
      </c>
      <c r="E13" s="160"/>
      <c r="F13" s="159" t="s">
        <v>2413</v>
      </c>
      <c r="G13" s="159" t="s">
        <v>2414</v>
      </c>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55">
        <v>1.0</v>
      </c>
      <c r="AJ13" s="162"/>
      <c r="AK13" s="161"/>
      <c r="AL13" s="161"/>
      <c r="AM13" s="161"/>
      <c r="AN13" s="161"/>
      <c r="AO13" s="161"/>
      <c r="AP13" s="161"/>
      <c r="AQ13" s="161"/>
      <c r="AR13" s="155">
        <v>1.0</v>
      </c>
      <c r="AS13" s="161"/>
      <c r="AT13" s="161"/>
      <c r="AU13" s="161"/>
      <c r="AV13" s="161"/>
      <c r="AW13" s="162"/>
      <c r="AX13" s="162"/>
      <c r="AY13" s="161"/>
      <c r="AZ13" s="161"/>
      <c r="BA13" s="161"/>
      <c r="BB13" s="161"/>
      <c r="BC13" s="161"/>
      <c r="BD13" s="161"/>
      <c r="BE13" s="161"/>
      <c r="BF13" s="155">
        <v>1.0</v>
      </c>
      <c r="BG13" s="161"/>
      <c r="BH13" s="161"/>
      <c r="BI13" s="161"/>
      <c r="BJ13" s="161"/>
      <c r="BK13" s="161"/>
      <c r="BL13" s="161"/>
      <c r="BM13" s="161"/>
      <c r="BN13" s="161"/>
      <c r="BO13" s="161"/>
      <c r="BP13" s="161"/>
      <c r="BQ13" s="161"/>
      <c r="BR13" s="161"/>
      <c r="BS13" s="161"/>
      <c r="BT13" s="155"/>
      <c r="BU13" s="161"/>
      <c r="BV13" s="161"/>
      <c r="BW13" s="161"/>
      <c r="BX13" s="161"/>
      <c r="BY13" s="161"/>
      <c r="BZ13" s="161"/>
      <c r="CA13" s="161"/>
      <c r="CB13" s="161"/>
      <c r="CC13" s="161"/>
      <c r="CD13" s="161"/>
      <c r="CE13" s="161"/>
      <c r="CF13" s="161"/>
      <c r="CG13" s="161"/>
      <c r="CH13" s="161"/>
      <c r="CI13" s="161"/>
      <c r="CJ13" s="161"/>
      <c r="CK13" s="161"/>
      <c r="CL13" s="161"/>
      <c r="CM13" s="161"/>
      <c r="CN13" s="161"/>
      <c r="CO13" s="161"/>
      <c r="CP13" s="161"/>
      <c r="CQ13" s="161"/>
      <c r="CR13" s="161"/>
      <c r="CS13" s="161"/>
      <c r="CT13" s="129"/>
      <c r="CU13" s="129"/>
      <c r="CV13" s="161"/>
      <c r="CW13" s="161"/>
      <c r="CX13" s="161"/>
      <c r="CY13" s="161"/>
      <c r="CZ13" s="161"/>
      <c r="DA13" s="161"/>
      <c r="DB13" s="161"/>
      <c r="DC13" s="161"/>
      <c r="DD13" s="155">
        <v>1.0</v>
      </c>
      <c r="DE13" s="162"/>
      <c r="DF13" s="162"/>
      <c r="DG13" s="162"/>
      <c r="DH13" s="162"/>
      <c r="DI13" s="162"/>
      <c r="DJ13" s="162"/>
      <c r="DK13" s="162"/>
      <c r="DL13" s="161"/>
      <c r="DM13" s="161"/>
      <c r="DN13" s="162"/>
      <c r="DO13" s="161"/>
      <c r="DP13" s="161"/>
      <c r="DQ13" s="161"/>
      <c r="DR13" s="162"/>
      <c r="DS13" s="161"/>
      <c r="DT13" s="161"/>
      <c r="DU13" s="162"/>
      <c r="DV13" s="162"/>
      <c r="DW13" s="161"/>
      <c r="DX13" s="161"/>
      <c r="DY13" s="162"/>
      <c r="DZ13" s="162"/>
      <c r="EA13" s="161"/>
      <c r="EB13" s="162"/>
      <c r="EC13" s="161"/>
      <c r="ED13" s="162"/>
      <c r="EE13" s="162"/>
      <c r="EF13" s="161"/>
      <c r="EG13" s="161"/>
      <c r="EH13" s="161"/>
      <c r="EI13" s="161"/>
      <c r="EJ13" s="161"/>
      <c r="EK13" s="161"/>
      <c r="EL13" s="162"/>
      <c r="EM13" s="161"/>
      <c r="EN13" s="161"/>
      <c r="EO13" s="161"/>
      <c r="EP13" s="161"/>
      <c r="EQ13" s="161"/>
      <c r="ER13" s="161"/>
      <c r="ES13" s="161"/>
      <c r="ET13" s="162"/>
      <c r="EU13" s="161"/>
      <c r="EV13" s="161"/>
      <c r="EW13" s="161"/>
      <c r="EX13" s="161"/>
      <c r="EY13" s="161"/>
      <c r="EZ13" s="161"/>
      <c r="FA13" s="161"/>
      <c r="FB13" s="161"/>
      <c r="FC13" s="161"/>
      <c r="FD13" s="161"/>
      <c r="FE13" s="161"/>
      <c r="FF13" s="161"/>
      <c r="FG13" s="161"/>
      <c r="FH13" s="161"/>
      <c r="FI13" s="161"/>
      <c r="FJ13" s="161"/>
      <c r="FK13" s="161"/>
      <c r="FL13" s="161"/>
      <c r="FM13" s="161"/>
      <c r="FN13" s="161"/>
      <c r="FO13" s="161"/>
      <c r="FP13" s="161"/>
      <c r="FQ13" s="161"/>
      <c r="FR13" s="161"/>
      <c r="FS13" s="161"/>
      <c r="FT13" s="161"/>
      <c r="FU13" s="161"/>
      <c r="FV13" s="161"/>
      <c r="FW13" s="155"/>
      <c r="FX13" s="161"/>
      <c r="FY13" s="161"/>
      <c r="FZ13" s="161"/>
      <c r="GA13" s="161"/>
      <c r="GB13" s="161"/>
      <c r="GC13" s="161"/>
      <c r="GD13" s="161"/>
      <c r="GE13" s="161"/>
      <c r="GF13" s="161"/>
      <c r="GG13" s="161"/>
      <c r="GH13" s="161"/>
      <c r="GI13" s="161"/>
      <c r="GJ13" s="161"/>
      <c r="GK13" s="161"/>
      <c r="GL13" s="161"/>
      <c r="GM13" s="161"/>
      <c r="GN13" s="161"/>
      <c r="GO13" s="161"/>
      <c r="GP13" s="161"/>
      <c r="GQ13" s="161"/>
      <c r="GR13" s="161"/>
      <c r="GS13" s="161"/>
      <c r="GT13" s="161"/>
      <c r="GU13" s="161"/>
      <c r="GV13" s="161"/>
      <c r="GW13" s="161"/>
      <c r="GX13" s="161"/>
      <c r="GY13" s="161"/>
      <c r="GZ13" s="161"/>
      <c r="HA13" s="161"/>
      <c r="HB13" s="161"/>
      <c r="HC13" s="161"/>
      <c r="HD13" s="162"/>
      <c r="HE13" s="161"/>
      <c r="HF13" s="162"/>
      <c r="HG13" s="161"/>
      <c r="HH13" s="161"/>
      <c r="HI13" s="161"/>
      <c r="HJ13" s="161"/>
      <c r="HK13" s="161"/>
      <c r="HL13" s="161"/>
      <c r="HM13" s="161"/>
      <c r="HN13" s="161"/>
      <c r="HO13" s="161"/>
      <c r="HP13" s="161"/>
      <c r="HQ13" s="161"/>
      <c r="HR13" s="161"/>
      <c r="HS13" s="161"/>
      <c r="HT13" s="161"/>
      <c r="HU13" s="161"/>
      <c r="HV13" s="161"/>
      <c r="HW13" s="161"/>
      <c r="HX13" s="161"/>
      <c r="HY13" s="161"/>
      <c r="HZ13" s="161"/>
      <c r="IA13" s="161"/>
      <c r="IB13" s="161"/>
      <c r="IC13" s="161"/>
      <c r="ID13" s="161"/>
      <c r="IE13" s="161"/>
      <c r="IF13" s="161"/>
      <c r="IG13" s="161"/>
      <c r="IH13" s="161"/>
      <c r="II13" s="161"/>
      <c r="IJ13" s="161"/>
      <c r="IK13" s="161"/>
      <c r="IL13" s="161"/>
      <c r="IM13" s="161"/>
      <c r="IN13" s="161"/>
      <c r="IO13" s="161"/>
      <c r="IP13" s="161"/>
      <c r="IQ13" s="161"/>
      <c r="IR13" s="161"/>
      <c r="IS13" s="161"/>
      <c r="IT13" s="161"/>
      <c r="IU13" s="161"/>
      <c r="IV13" s="161"/>
      <c r="IW13" s="161"/>
      <c r="IX13" s="161"/>
      <c r="IY13" s="161"/>
      <c r="IZ13" s="161"/>
      <c r="JA13" s="161"/>
      <c r="JB13" s="155">
        <v>1.0</v>
      </c>
      <c r="JC13" s="161"/>
      <c r="JD13" s="161"/>
      <c r="JE13" s="161"/>
      <c r="JF13" s="161"/>
      <c r="JG13" s="161"/>
      <c r="JH13" s="161"/>
      <c r="JI13" s="161"/>
      <c r="JJ13" s="161"/>
      <c r="JK13" s="161"/>
      <c r="JL13" s="161"/>
      <c r="JM13" s="161"/>
      <c r="JN13" s="161"/>
      <c r="JO13" s="161"/>
      <c r="JP13" s="161"/>
      <c r="JQ13" s="161"/>
      <c r="JR13" s="155">
        <v>1.0</v>
      </c>
      <c r="JS13" s="161"/>
      <c r="JT13" s="161"/>
      <c r="JU13" s="161"/>
      <c r="JV13" s="161"/>
      <c r="JW13" s="161"/>
      <c r="JX13" s="161"/>
      <c r="JY13" s="161"/>
      <c r="JZ13" s="161"/>
      <c r="KA13" s="161"/>
      <c r="KB13" s="161"/>
      <c r="KC13" s="161"/>
      <c r="KD13" s="161"/>
      <c r="KE13" s="161"/>
      <c r="KF13" s="161"/>
      <c r="KG13" s="161"/>
      <c r="KH13" s="161"/>
      <c r="KI13" s="161"/>
      <c r="KJ13" s="161"/>
      <c r="KK13" s="161"/>
      <c r="KL13" s="161"/>
      <c r="KM13" s="161"/>
      <c r="KN13" s="161"/>
      <c r="KO13" s="161"/>
      <c r="KP13" s="161"/>
      <c r="KQ13" s="161"/>
      <c r="KR13" s="162"/>
      <c r="KS13" s="161"/>
      <c r="KT13" s="161"/>
      <c r="KU13" s="161"/>
      <c r="KV13" s="161"/>
      <c r="KW13" s="161"/>
      <c r="KX13" s="129"/>
    </row>
    <row r="14">
      <c r="A14" s="158">
        <v>15.0</v>
      </c>
      <c r="B14" s="158">
        <f t="shared" si="1"/>
        <v>16</v>
      </c>
      <c r="C14" s="158" t="s">
        <v>2342</v>
      </c>
      <c r="D14" s="159" t="s">
        <v>2419</v>
      </c>
      <c r="E14" s="160"/>
      <c r="F14" s="159" t="s">
        <v>2420</v>
      </c>
      <c r="G14" s="159" t="s">
        <v>2421</v>
      </c>
      <c r="H14" s="161"/>
      <c r="I14" s="161"/>
      <c r="J14" s="161"/>
      <c r="K14" s="161"/>
      <c r="L14" s="161"/>
      <c r="M14" s="161"/>
      <c r="N14" s="161"/>
      <c r="O14" s="161"/>
      <c r="P14" s="161"/>
      <c r="Q14" s="161"/>
      <c r="R14" s="161"/>
      <c r="S14" s="161"/>
      <c r="T14" s="161"/>
      <c r="U14" s="161"/>
      <c r="V14" s="161"/>
      <c r="W14" s="161"/>
      <c r="X14" s="155">
        <v>1.0</v>
      </c>
      <c r="Y14" s="161"/>
      <c r="Z14" s="161"/>
      <c r="AA14" s="161"/>
      <c r="AB14" s="161"/>
      <c r="AC14" s="161"/>
      <c r="AD14" s="161"/>
      <c r="AE14" s="161"/>
      <c r="AF14" s="155">
        <v>1.0</v>
      </c>
      <c r="AG14" s="161"/>
      <c r="AH14" s="161"/>
      <c r="AI14" s="161"/>
      <c r="AJ14" s="162"/>
      <c r="AK14" s="161"/>
      <c r="AL14" s="161"/>
      <c r="AM14" s="161"/>
      <c r="AN14" s="161"/>
      <c r="AO14" s="161"/>
      <c r="AP14" s="161"/>
      <c r="AQ14" s="161"/>
      <c r="AR14" s="161"/>
      <c r="AS14" s="161"/>
      <c r="AT14" s="161"/>
      <c r="AU14" s="161"/>
      <c r="AV14" s="161"/>
      <c r="AW14" s="162"/>
      <c r="AX14" s="162"/>
      <c r="AY14" s="161"/>
      <c r="AZ14" s="161"/>
      <c r="BA14" s="161"/>
      <c r="BB14" s="161"/>
      <c r="BC14" s="161"/>
      <c r="BD14" s="155">
        <v>1.0</v>
      </c>
      <c r="BE14" s="161"/>
      <c r="BF14" s="161"/>
      <c r="BG14" s="161"/>
      <c r="BH14" s="155">
        <v>1.0</v>
      </c>
      <c r="BI14" s="161"/>
      <c r="BJ14" s="161"/>
      <c r="BK14" s="161"/>
      <c r="BL14" s="161"/>
      <c r="BM14" s="161"/>
      <c r="BN14" s="155"/>
      <c r="BO14" s="161"/>
      <c r="BP14" s="161"/>
      <c r="BQ14" s="155">
        <v>1.0</v>
      </c>
      <c r="BR14" s="161"/>
      <c r="BS14" s="161"/>
      <c r="BT14" s="161"/>
      <c r="BU14" s="155">
        <v>1.0</v>
      </c>
      <c r="BV14" s="161"/>
      <c r="BW14" s="161"/>
      <c r="BX14" s="161"/>
      <c r="BY14" s="161"/>
      <c r="BZ14" s="161"/>
      <c r="CA14" s="161"/>
      <c r="CB14" s="161"/>
      <c r="CC14" s="161"/>
      <c r="CD14" s="161"/>
      <c r="CE14" s="161"/>
      <c r="CF14" s="161"/>
      <c r="CG14" s="161"/>
      <c r="CH14" s="161"/>
      <c r="CI14" s="161"/>
      <c r="CJ14" s="161"/>
      <c r="CK14" s="155">
        <v>1.0</v>
      </c>
      <c r="CL14" s="161"/>
      <c r="CM14" s="161"/>
      <c r="CN14" s="161"/>
      <c r="CO14" s="155">
        <v>1.0</v>
      </c>
      <c r="CP14" s="161"/>
      <c r="CQ14" s="155">
        <v>1.0</v>
      </c>
      <c r="CR14" s="161"/>
      <c r="CS14" s="161"/>
      <c r="CT14" s="129"/>
      <c r="CU14" s="129"/>
      <c r="CV14" s="161"/>
      <c r="CW14" s="161"/>
      <c r="CX14" s="161"/>
      <c r="CY14" s="161"/>
      <c r="CZ14" s="161"/>
      <c r="DA14" s="161"/>
      <c r="DB14" s="161"/>
      <c r="DC14" s="161"/>
      <c r="DD14" s="161"/>
      <c r="DE14" s="162"/>
      <c r="DF14" s="162"/>
      <c r="DG14" s="162"/>
      <c r="DH14" s="162"/>
      <c r="DI14" s="162"/>
      <c r="DJ14" s="162"/>
      <c r="DK14" s="162"/>
      <c r="DL14" s="161"/>
      <c r="DM14" s="161"/>
      <c r="DN14" s="156"/>
      <c r="DO14" s="161"/>
      <c r="DP14" s="161"/>
      <c r="DQ14" s="155">
        <v>1.0</v>
      </c>
      <c r="DR14" s="156"/>
      <c r="DS14" s="155"/>
      <c r="DT14" s="155"/>
      <c r="DU14" s="162"/>
      <c r="DV14" s="162"/>
      <c r="DW14" s="161"/>
      <c r="DX14" s="161"/>
      <c r="DY14" s="162"/>
      <c r="DZ14" s="162"/>
      <c r="EA14" s="161"/>
      <c r="EB14" s="162"/>
      <c r="EC14" s="161"/>
      <c r="ED14" s="162"/>
      <c r="EE14" s="162"/>
      <c r="EF14" s="161"/>
      <c r="EG14" s="161"/>
      <c r="EH14" s="161"/>
      <c r="EI14" s="161"/>
      <c r="EJ14" s="161"/>
      <c r="EK14" s="161"/>
      <c r="EL14" s="162"/>
      <c r="EM14" s="161"/>
      <c r="EN14" s="161"/>
      <c r="EO14" s="161"/>
      <c r="EP14" s="161"/>
      <c r="EQ14" s="161"/>
      <c r="ER14" s="161"/>
      <c r="ES14" s="161"/>
      <c r="ET14" s="162"/>
      <c r="EU14" s="161"/>
      <c r="EV14" s="161"/>
      <c r="EW14" s="161"/>
      <c r="EX14" s="161"/>
      <c r="EY14" s="161"/>
      <c r="EZ14" s="161"/>
      <c r="FA14" s="161"/>
      <c r="FB14" s="161"/>
      <c r="FC14" s="161"/>
      <c r="FD14" s="161"/>
      <c r="FE14" s="161"/>
      <c r="FF14" s="161"/>
      <c r="FG14" s="161"/>
      <c r="FH14" s="161"/>
      <c r="FI14" s="161"/>
      <c r="FJ14" s="161"/>
      <c r="FK14" s="161"/>
      <c r="FL14" s="161"/>
      <c r="FM14" s="161"/>
      <c r="FN14" s="161"/>
      <c r="FO14" s="161"/>
      <c r="FP14" s="161"/>
      <c r="FQ14" s="161"/>
      <c r="FR14" s="161"/>
      <c r="FS14" s="161"/>
      <c r="FT14" s="161"/>
      <c r="FU14" s="161"/>
      <c r="FV14" s="161"/>
      <c r="FW14" s="161"/>
      <c r="FX14" s="161"/>
      <c r="FY14" s="161"/>
      <c r="FZ14" s="161"/>
      <c r="GA14" s="161"/>
      <c r="GB14" s="161"/>
      <c r="GC14" s="161"/>
      <c r="GD14" s="161"/>
      <c r="GE14" s="161"/>
      <c r="GF14" s="161"/>
      <c r="GG14" s="161"/>
      <c r="GH14" s="161"/>
      <c r="GI14" s="161"/>
      <c r="GJ14" s="161"/>
      <c r="GK14" s="161"/>
      <c r="GL14" s="161"/>
      <c r="GM14" s="161"/>
      <c r="GN14" s="155">
        <v>1.0</v>
      </c>
      <c r="GO14" s="161"/>
      <c r="GP14" s="161"/>
      <c r="GQ14" s="161"/>
      <c r="GR14" s="161"/>
      <c r="GS14" s="161"/>
      <c r="GT14" s="161"/>
      <c r="GU14" s="161"/>
      <c r="GV14" s="161"/>
      <c r="GW14" s="161"/>
      <c r="GX14" s="161"/>
      <c r="GY14" s="161"/>
      <c r="GZ14" s="161"/>
      <c r="HA14" s="161"/>
      <c r="HB14" s="161"/>
      <c r="HC14" s="161"/>
      <c r="HD14" s="162"/>
      <c r="HE14" s="161"/>
      <c r="HF14" s="162"/>
      <c r="HG14" s="161"/>
      <c r="HH14" s="161"/>
      <c r="HI14" s="161"/>
      <c r="HJ14" s="161"/>
      <c r="HK14" s="161"/>
      <c r="HL14" s="161"/>
      <c r="HM14" s="161"/>
      <c r="HN14" s="161"/>
      <c r="HO14" s="161"/>
      <c r="HP14" s="161"/>
      <c r="HQ14" s="161"/>
      <c r="HR14" s="161"/>
      <c r="HS14" s="161"/>
      <c r="HT14" s="161"/>
      <c r="HU14" s="161"/>
      <c r="HV14" s="161"/>
      <c r="HW14" s="161"/>
      <c r="HX14" s="161"/>
      <c r="HY14" s="161"/>
      <c r="HZ14" s="161"/>
      <c r="IA14" s="161"/>
      <c r="IB14" s="161"/>
      <c r="IC14" s="161"/>
      <c r="ID14" s="161"/>
      <c r="IE14" s="161"/>
      <c r="IF14" s="161"/>
      <c r="IG14" s="161"/>
      <c r="IH14" s="161"/>
      <c r="II14" s="161"/>
      <c r="IJ14" s="161"/>
      <c r="IK14" s="161"/>
      <c r="IL14" s="161"/>
      <c r="IM14" s="161"/>
      <c r="IN14" s="161"/>
      <c r="IO14" s="161"/>
      <c r="IP14" s="155">
        <v>1.0</v>
      </c>
      <c r="IQ14" s="161"/>
      <c r="IR14" s="161"/>
      <c r="IS14" s="161"/>
      <c r="IT14" s="161"/>
      <c r="IU14" s="155">
        <v>1.0</v>
      </c>
      <c r="IV14" s="161"/>
      <c r="IW14" s="161"/>
      <c r="IX14" s="161"/>
      <c r="IY14" s="161"/>
      <c r="IZ14" s="161"/>
      <c r="JA14" s="161"/>
      <c r="JB14" s="161"/>
      <c r="JC14" s="161"/>
      <c r="JD14" s="161"/>
      <c r="JE14" s="161"/>
      <c r="JF14" s="161"/>
      <c r="JG14" s="161"/>
      <c r="JH14" s="161"/>
      <c r="JI14" s="161"/>
      <c r="JJ14" s="161"/>
      <c r="JK14" s="155">
        <v>1.0</v>
      </c>
      <c r="JL14" s="161"/>
      <c r="JM14" s="161"/>
      <c r="JN14" s="161"/>
      <c r="JO14" s="161"/>
      <c r="JP14" s="161"/>
      <c r="JQ14" s="161"/>
      <c r="JR14" s="161"/>
      <c r="JS14" s="161"/>
      <c r="JT14" s="161"/>
      <c r="JU14" s="161"/>
      <c r="JV14" s="161"/>
      <c r="JW14" s="161"/>
      <c r="JX14" s="161"/>
      <c r="JY14" s="161"/>
      <c r="JZ14" s="155">
        <v>1.0</v>
      </c>
      <c r="KA14" s="161"/>
      <c r="KB14" s="161"/>
      <c r="KC14" s="161"/>
      <c r="KD14" s="161"/>
      <c r="KE14" s="161"/>
      <c r="KF14" s="161"/>
      <c r="KG14" s="161"/>
      <c r="KH14" s="161"/>
      <c r="KI14" s="161"/>
      <c r="KJ14" s="161"/>
      <c r="KK14" s="161"/>
      <c r="KL14" s="161"/>
      <c r="KM14" s="155">
        <v>1.0</v>
      </c>
      <c r="KN14" s="161"/>
      <c r="KO14" s="161"/>
      <c r="KP14" s="161"/>
      <c r="KQ14" s="161"/>
      <c r="KR14" s="162"/>
      <c r="KS14" s="161"/>
      <c r="KT14" s="161"/>
      <c r="KU14" s="161"/>
      <c r="KV14" s="161"/>
      <c r="KW14" s="161"/>
      <c r="KX14" s="129"/>
    </row>
    <row r="15">
      <c r="A15" s="158">
        <v>16.0</v>
      </c>
      <c r="B15" s="158">
        <f t="shared" si="1"/>
        <v>21</v>
      </c>
      <c r="C15" s="158" t="s">
        <v>2342</v>
      </c>
      <c r="D15" s="159" t="s">
        <v>2426</v>
      </c>
      <c r="E15" s="160"/>
      <c r="F15" s="163" t="s">
        <v>2427</v>
      </c>
      <c r="G15" s="164" t="s">
        <v>2428</v>
      </c>
      <c r="H15" s="161"/>
      <c r="I15" s="161"/>
      <c r="J15" s="155">
        <v>1.0</v>
      </c>
      <c r="K15" s="161"/>
      <c r="L15" s="161"/>
      <c r="M15" s="161"/>
      <c r="N15" s="161"/>
      <c r="O15" s="161"/>
      <c r="P15" s="161"/>
      <c r="Q15" s="161"/>
      <c r="R15" s="161"/>
      <c r="S15" s="161"/>
      <c r="T15" s="161"/>
      <c r="U15" s="161"/>
      <c r="V15" s="161"/>
      <c r="W15" s="161"/>
      <c r="X15" s="161"/>
      <c r="Y15" s="161"/>
      <c r="Z15" s="161"/>
      <c r="AA15" s="161"/>
      <c r="AB15" s="161"/>
      <c r="AC15" s="155">
        <v>1.0</v>
      </c>
      <c r="AD15" s="161"/>
      <c r="AE15" s="161"/>
      <c r="AF15" s="155">
        <v>1.0</v>
      </c>
      <c r="AG15" s="161"/>
      <c r="AH15" s="161"/>
      <c r="AI15" s="161"/>
      <c r="AJ15" s="162"/>
      <c r="AK15" s="161"/>
      <c r="AL15" s="161"/>
      <c r="AM15" s="161"/>
      <c r="AN15" s="161"/>
      <c r="AO15" s="161"/>
      <c r="AP15" s="161"/>
      <c r="AQ15" s="161"/>
      <c r="AR15" s="161"/>
      <c r="AS15" s="161"/>
      <c r="AT15" s="161"/>
      <c r="AU15" s="161"/>
      <c r="AV15" s="161"/>
      <c r="AW15" s="162"/>
      <c r="AX15" s="162"/>
      <c r="AY15" s="161"/>
      <c r="AZ15" s="161"/>
      <c r="BA15" s="161"/>
      <c r="BB15" s="161"/>
      <c r="BC15" s="161"/>
      <c r="BD15" s="161"/>
      <c r="BE15" s="161"/>
      <c r="BF15" s="161"/>
      <c r="BG15" s="161"/>
      <c r="BH15" s="161"/>
      <c r="BI15" s="161"/>
      <c r="BJ15" s="161"/>
      <c r="BK15" s="161"/>
      <c r="BL15" s="161"/>
      <c r="BM15" s="161"/>
      <c r="BN15" s="161"/>
      <c r="BO15" s="161"/>
      <c r="BP15" s="161"/>
      <c r="BQ15" s="161"/>
      <c r="BR15" s="161"/>
      <c r="BS15" s="161"/>
      <c r="BT15" s="161"/>
      <c r="BU15" s="161"/>
      <c r="BV15" s="161"/>
      <c r="BW15" s="161"/>
      <c r="BX15" s="161"/>
      <c r="BY15" s="155">
        <v>1.0</v>
      </c>
      <c r="BZ15" s="161"/>
      <c r="CA15" s="161"/>
      <c r="CB15" s="161"/>
      <c r="CC15" s="161"/>
      <c r="CD15" s="161"/>
      <c r="CE15" s="161"/>
      <c r="CF15" s="161"/>
      <c r="CG15" s="161"/>
      <c r="CH15" s="161"/>
      <c r="CI15" s="161"/>
      <c r="CJ15" s="161"/>
      <c r="CK15" s="155">
        <v>1.0</v>
      </c>
      <c r="CL15" s="161"/>
      <c r="CM15" s="161"/>
      <c r="CN15" s="161"/>
      <c r="CO15" s="161"/>
      <c r="CP15" s="161"/>
      <c r="CQ15" s="161"/>
      <c r="CR15" s="155">
        <v>1.0</v>
      </c>
      <c r="CS15" s="129"/>
      <c r="CT15" s="155">
        <v>1.0</v>
      </c>
      <c r="CU15" s="129"/>
      <c r="CV15" s="161"/>
      <c r="CW15" s="161"/>
      <c r="CX15" s="161"/>
      <c r="CY15" s="161"/>
      <c r="CZ15" s="161"/>
      <c r="DA15" s="161"/>
      <c r="DB15" s="161"/>
      <c r="DC15" s="161"/>
      <c r="DD15" s="161"/>
      <c r="DE15" s="162"/>
      <c r="DF15" s="162"/>
      <c r="DG15" s="162"/>
      <c r="DH15" s="162"/>
      <c r="DI15" s="162"/>
      <c r="DJ15" s="162"/>
      <c r="DK15" s="162"/>
      <c r="DL15" s="161"/>
      <c r="DM15" s="161"/>
      <c r="DN15" s="162"/>
      <c r="DO15" s="161"/>
      <c r="DP15" s="161"/>
      <c r="DQ15" s="161"/>
      <c r="DR15" s="162"/>
      <c r="DS15" s="161"/>
      <c r="DT15" s="161"/>
      <c r="DU15" s="162"/>
      <c r="DV15" s="162"/>
      <c r="DW15" s="161"/>
      <c r="DX15" s="161"/>
      <c r="DY15" s="162"/>
      <c r="DZ15" s="162"/>
      <c r="EA15" s="161"/>
      <c r="EB15" s="162"/>
      <c r="EC15" s="161"/>
      <c r="ED15" s="162"/>
      <c r="EE15" s="162"/>
      <c r="EF15" s="161"/>
      <c r="EG15" s="161"/>
      <c r="EH15" s="161"/>
      <c r="EI15" s="161"/>
      <c r="EJ15" s="155">
        <v>1.0</v>
      </c>
      <c r="EK15" s="161"/>
      <c r="EL15" s="162"/>
      <c r="EM15" s="161"/>
      <c r="EN15" s="161"/>
      <c r="EO15" s="161"/>
      <c r="EP15" s="161"/>
      <c r="EQ15" s="161"/>
      <c r="ER15" s="161"/>
      <c r="ES15" s="161"/>
      <c r="ET15" s="162"/>
      <c r="EU15" s="161"/>
      <c r="EV15" s="161"/>
      <c r="EW15" s="155">
        <v>1.0</v>
      </c>
      <c r="EX15" s="161"/>
      <c r="EY15" s="161"/>
      <c r="EZ15" s="161"/>
      <c r="FA15" s="161"/>
      <c r="FB15" s="161"/>
      <c r="FC15" s="161"/>
      <c r="FD15" s="161"/>
      <c r="FE15" s="161"/>
      <c r="FF15" s="155">
        <v>1.0</v>
      </c>
      <c r="FG15" s="155">
        <v>1.0</v>
      </c>
      <c r="FH15" s="161"/>
      <c r="FI15" s="161"/>
      <c r="FJ15" s="161"/>
      <c r="FK15" s="161"/>
      <c r="FL15" s="161"/>
      <c r="FM15" s="161"/>
      <c r="FN15" s="161"/>
      <c r="FO15" s="161"/>
      <c r="FP15" s="161"/>
      <c r="FQ15" s="161"/>
      <c r="FR15" s="161"/>
      <c r="FS15" s="161"/>
      <c r="FT15" s="161"/>
      <c r="FU15" s="161"/>
      <c r="FV15" s="161"/>
      <c r="FW15" s="161"/>
      <c r="FX15" s="161"/>
      <c r="FY15" s="161"/>
      <c r="FZ15" s="161"/>
      <c r="GA15" s="161"/>
      <c r="GB15" s="161"/>
      <c r="GC15" s="161"/>
      <c r="GD15" s="161"/>
      <c r="GE15" s="161"/>
      <c r="GF15" s="161"/>
      <c r="GG15" s="161"/>
      <c r="GH15" s="161"/>
      <c r="GI15" s="161"/>
      <c r="GJ15" s="161"/>
      <c r="GK15" s="161"/>
      <c r="GL15" s="161"/>
      <c r="GM15" s="161"/>
      <c r="GN15" s="155">
        <v>1.0</v>
      </c>
      <c r="GO15" s="161"/>
      <c r="GP15" s="161"/>
      <c r="GQ15" s="161"/>
      <c r="GR15" s="161"/>
      <c r="GS15" s="161"/>
      <c r="GT15" s="161"/>
      <c r="GU15" s="161"/>
      <c r="GV15" s="161"/>
      <c r="GW15" s="161"/>
      <c r="GX15" s="161"/>
      <c r="GY15" s="161"/>
      <c r="GZ15" s="161"/>
      <c r="HA15" s="161"/>
      <c r="HB15" s="161"/>
      <c r="HC15" s="161"/>
      <c r="HD15" s="162"/>
      <c r="HE15" s="161"/>
      <c r="HF15" s="162"/>
      <c r="HG15" s="161"/>
      <c r="HH15" s="161"/>
      <c r="HI15" s="161"/>
      <c r="HJ15" s="161"/>
      <c r="HK15" s="161"/>
      <c r="HL15" s="161"/>
      <c r="HM15" s="161"/>
      <c r="HN15" s="155">
        <v>1.0</v>
      </c>
      <c r="HO15" s="161"/>
      <c r="HP15" s="161"/>
      <c r="HQ15" s="161"/>
      <c r="HR15" s="161"/>
      <c r="HS15" s="161"/>
      <c r="HT15" s="155">
        <v>1.0</v>
      </c>
      <c r="HU15" s="161"/>
      <c r="HV15" s="161"/>
      <c r="HW15" s="161"/>
      <c r="HX15" s="161"/>
      <c r="HY15" s="161"/>
      <c r="HZ15" s="155">
        <v>1.0</v>
      </c>
      <c r="IA15" s="161"/>
      <c r="IB15" s="161"/>
      <c r="IC15" s="161"/>
      <c r="ID15" s="161"/>
      <c r="IE15" s="161"/>
      <c r="IF15" s="161"/>
      <c r="IG15" s="161"/>
      <c r="IH15" s="161"/>
      <c r="II15" s="161"/>
      <c r="IJ15" s="161"/>
      <c r="IK15" s="161"/>
      <c r="IL15" s="161"/>
      <c r="IM15" s="161"/>
      <c r="IN15" s="161"/>
      <c r="IO15" s="161"/>
      <c r="IP15" s="155">
        <v>1.0</v>
      </c>
      <c r="IQ15" s="155">
        <v>1.0</v>
      </c>
      <c r="IR15" s="161"/>
      <c r="IS15" s="161"/>
      <c r="IT15" s="161"/>
      <c r="IU15" s="155">
        <v>1.0</v>
      </c>
      <c r="IV15" s="155">
        <v>1.0</v>
      </c>
      <c r="IW15" s="161"/>
      <c r="IX15" s="161"/>
      <c r="IY15" s="161"/>
      <c r="IZ15" s="161"/>
      <c r="JA15" s="161"/>
      <c r="JB15" s="161"/>
      <c r="JC15" s="161"/>
      <c r="JD15" s="161"/>
      <c r="JE15" s="161"/>
      <c r="JF15" s="161"/>
      <c r="JG15" s="161"/>
      <c r="JH15" s="161"/>
      <c r="JI15" s="161"/>
      <c r="JJ15" s="161"/>
      <c r="JK15" s="161"/>
      <c r="JL15" s="161"/>
      <c r="JM15" s="161"/>
      <c r="JN15" s="161"/>
      <c r="JO15" s="161"/>
      <c r="JP15" s="161"/>
      <c r="JQ15" s="161"/>
      <c r="JR15" s="161"/>
      <c r="JS15" s="161"/>
      <c r="JT15" s="161"/>
      <c r="JU15" s="161"/>
      <c r="JV15" s="161"/>
      <c r="JW15" s="161"/>
      <c r="JX15" s="155">
        <v>1.0</v>
      </c>
      <c r="JY15" s="161"/>
      <c r="JZ15" s="155">
        <v>1.0</v>
      </c>
      <c r="KA15" s="161"/>
      <c r="KB15" s="161"/>
      <c r="KC15" s="161"/>
      <c r="KD15" s="161"/>
      <c r="KE15" s="161"/>
      <c r="KF15" s="161"/>
      <c r="KG15" s="161"/>
      <c r="KH15" s="161"/>
      <c r="KI15" s="161"/>
      <c r="KJ15" s="161"/>
      <c r="KK15" s="161"/>
      <c r="KL15" s="161"/>
      <c r="KM15" s="161"/>
      <c r="KN15" s="161"/>
      <c r="KO15" s="161"/>
      <c r="KP15" s="161"/>
      <c r="KQ15" s="161"/>
      <c r="KR15" s="162"/>
      <c r="KS15" s="161"/>
      <c r="KT15" s="161"/>
      <c r="KU15" s="161"/>
      <c r="KV15" s="161"/>
      <c r="KW15" s="161"/>
      <c r="KX15" s="129"/>
    </row>
    <row r="16">
      <c r="A16" s="158">
        <v>17.0</v>
      </c>
      <c r="B16" s="158">
        <f t="shared" si="1"/>
        <v>6</v>
      </c>
      <c r="C16" s="158" t="s">
        <v>2342</v>
      </c>
      <c r="D16" s="164" t="s">
        <v>2431</v>
      </c>
      <c r="E16" s="160"/>
      <c r="F16" s="159" t="s">
        <v>2432</v>
      </c>
      <c r="G16" s="164" t="s">
        <v>2433</v>
      </c>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2"/>
      <c r="AK16" s="161"/>
      <c r="AL16" s="161"/>
      <c r="AM16" s="161"/>
      <c r="AN16" s="161"/>
      <c r="AO16" s="161"/>
      <c r="AP16" s="161"/>
      <c r="AQ16" s="161"/>
      <c r="AR16" s="161"/>
      <c r="AS16" s="161"/>
      <c r="AT16" s="161"/>
      <c r="AU16" s="161"/>
      <c r="AV16" s="161"/>
      <c r="AW16" s="162"/>
      <c r="AX16" s="162"/>
      <c r="AY16" s="161"/>
      <c r="AZ16" s="161"/>
      <c r="BA16" s="161"/>
      <c r="BB16" s="161"/>
      <c r="BC16" s="161"/>
      <c r="BD16" s="161"/>
      <c r="BE16" s="161"/>
      <c r="BF16" s="161"/>
      <c r="BG16" s="161"/>
      <c r="BH16" s="161"/>
      <c r="BI16" s="161"/>
      <c r="BJ16" s="161"/>
      <c r="BK16" s="161"/>
      <c r="BL16" s="161"/>
      <c r="BM16" s="161"/>
      <c r="BN16" s="161"/>
      <c r="BO16" s="161"/>
      <c r="BP16" s="161"/>
      <c r="BQ16" s="161"/>
      <c r="BR16" s="161"/>
      <c r="BS16" s="161"/>
      <c r="BT16" s="161"/>
      <c r="BU16" s="161"/>
      <c r="BV16" s="161"/>
      <c r="BW16" s="161"/>
      <c r="BX16" s="161"/>
      <c r="BY16" s="161"/>
      <c r="BZ16" s="161"/>
      <c r="CA16" s="161"/>
      <c r="CB16" s="161"/>
      <c r="CC16" s="161"/>
      <c r="CD16" s="161"/>
      <c r="CE16" s="161"/>
      <c r="CF16" s="161"/>
      <c r="CG16" s="161"/>
      <c r="CH16" s="161"/>
      <c r="CI16" s="161"/>
      <c r="CJ16" s="161"/>
      <c r="CK16" s="161"/>
      <c r="CL16" s="161"/>
      <c r="CM16" s="161"/>
      <c r="CN16" s="161"/>
      <c r="CO16" s="161"/>
      <c r="CP16" s="155">
        <v>1.0</v>
      </c>
      <c r="CQ16" s="161"/>
      <c r="CR16" s="161"/>
      <c r="CS16" s="129"/>
      <c r="CT16" s="161"/>
      <c r="CU16" s="129"/>
      <c r="CV16" s="161"/>
      <c r="CW16" s="161"/>
      <c r="CX16" s="161"/>
      <c r="CY16" s="161"/>
      <c r="CZ16" s="161"/>
      <c r="DA16" s="161"/>
      <c r="DB16" s="161"/>
      <c r="DC16" s="161"/>
      <c r="DD16" s="161"/>
      <c r="DE16" s="162"/>
      <c r="DF16" s="162"/>
      <c r="DG16" s="162"/>
      <c r="DH16" s="162"/>
      <c r="DI16" s="162"/>
      <c r="DJ16" s="162"/>
      <c r="DK16" s="162"/>
      <c r="DL16" s="161"/>
      <c r="DM16" s="161"/>
      <c r="DN16" s="162"/>
      <c r="DO16" s="161"/>
      <c r="DP16" s="161"/>
      <c r="DQ16" s="161"/>
      <c r="DR16" s="162"/>
      <c r="DS16" s="161"/>
      <c r="DT16" s="161"/>
      <c r="DU16" s="162"/>
      <c r="DV16" s="162"/>
      <c r="DW16" s="161"/>
      <c r="DX16" s="161"/>
      <c r="DY16" s="162"/>
      <c r="DZ16" s="162"/>
      <c r="EA16" s="161"/>
      <c r="EB16" s="162"/>
      <c r="EC16" s="161"/>
      <c r="ED16" s="162"/>
      <c r="EE16" s="162"/>
      <c r="EF16" s="161"/>
      <c r="EG16" s="161"/>
      <c r="EH16" s="161"/>
      <c r="EI16" s="161"/>
      <c r="EJ16" s="161"/>
      <c r="EK16" s="161"/>
      <c r="EL16" s="162"/>
      <c r="EM16" s="161"/>
      <c r="EN16" s="161"/>
      <c r="EO16" s="161"/>
      <c r="EP16" s="161"/>
      <c r="EQ16" s="161"/>
      <c r="ER16" s="161"/>
      <c r="ES16" s="161"/>
      <c r="ET16" s="162"/>
      <c r="EU16" s="161"/>
      <c r="EV16" s="161"/>
      <c r="EW16" s="161"/>
      <c r="EX16" s="161"/>
      <c r="EY16" s="161"/>
      <c r="EZ16" s="161"/>
      <c r="FA16" s="161"/>
      <c r="FB16" s="161"/>
      <c r="FC16" s="161"/>
      <c r="FD16" s="161"/>
      <c r="FE16" s="161"/>
      <c r="FF16" s="161"/>
      <c r="FG16" s="161"/>
      <c r="FH16" s="155">
        <v>1.0</v>
      </c>
      <c r="FI16" s="161"/>
      <c r="FJ16" s="161"/>
      <c r="FK16" s="161"/>
      <c r="FL16" s="161"/>
      <c r="FM16" s="161"/>
      <c r="FN16" s="161"/>
      <c r="FO16" s="155">
        <v>1.0</v>
      </c>
      <c r="FP16" s="161"/>
      <c r="FQ16" s="161"/>
      <c r="FR16" s="161"/>
      <c r="FS16" s="161"/>
      <c r="FT16" s="161"/>
      <c r="FU16" s="161"/>
      <c r="FV16" s="161"/>
      <c r="FW16" s="161"/>
      <c r="FX16" s="161"/>
      <c r="FY16" s="161"/>
      <c r="FZ16" s="161"/>
      <c r="GA16" s="161"/>
      <c r="GB16" s="161"/>
      <c r="GC16" s="161"/>
      <c r="GD16" s="161"/>
      <c r="GE16" s="161"/>
      <c r="GF16" s="161"/>
      <c r="GG16" s="161"/>
      <c r="GH16" s="161"/>
      <c r="GI16" s="161"/>
      <c r="GJ16" s="161"/>
      <c r="GK16" s="161"/>
      <c r="GL16" s="161"/>
      <c r="GM16" s="161"/>
      <c r="GN16" s="161"/>
      <c r="GO16" s="161"/>
      <c r="GP16" s="161"/>
      <c r="GQ16" s="161"/>
      <c r="GR16" s="161"/>
      <c r="GS16" s="161"/>
      <c r="GT16" s="161"/>
      <c r="GU16" s="155">
        <v>1.0</v>
      </c>
      <c r="GV16" s="161"/>
      <c r="GW16" s="161"/>
      <c r="GX16" s="161"/>
      <c r="GY16" s="161"/>
      <c r="GZ16" s="161"/>
      <c r="HA16" s="161"/>
      <c r="HB16" s="161"/>
      <c r="HC16" s="161"/>
      <c r="HD16" s="162"/>
      <c r="HE16" s="161"/>
      <c r="HF16" s="162"/>
      <c r="HG16" s="161"/>
      <c r="HH16" s="161"/>
      <c r="HI16" s="161"/>
      <c r="HJ16" s="161"/>
      <c r="HK16" s="161"/>
      <c r="HL16" s="161"/>
      <c r="HM16" s="161"/>
      <c r="HN16" s="161"/>
      <c r="HO16" s="161"/>
      <c r="HP16" s="161"/>
      <c r="HQ16" s="161"/>
      <c r="HR16" s="161"/>
      <c r="HS16" s="155">
        <v>1.0</v>
      </c>
      <c r="HT16" s="161"/>
      <c r="HU16" s="161"/>
      <c r="HV16" s="161"/>
      <c r="HW16" s="161"/>
      <c r="HX16" s="161"/>
      <c r="HY16" s="161"/>
      <c r="HZ16" s="161"/>
      <c r="IA16" s="161"/>
      <c r="IB16" s="161"/>
      <c r="IC16" s="161"/>
      <c r="ID16" s="161"/>
      <c r="IE16" s="161"/>
      <c r="IF16" s="161"/>
      <c r="IG16" s="161"/>
      <c r="IH16" s="161"/>
      <c r="II16" s="161"/>
      <c r="IJ16" s="161"/>
      <c r="IK16" s="161"/>
      <c r="IL16" s="161"/>
      <c r="IM16" s="161"/>
      <c r="IN16" s="161"/>
      <c r="IO16" s="161"/>
      <c r="IP16" s="161"/>
      <c r="IQ16" s="161"/>
      <c r="IR16" s="161"/>
      <c r="IS16" s="161"/>
      <c r="IT16" s="161"/>
      <c r="IU16" s="161"/>
      <c r="IV16" s="161"/>
      <c r="IW16" s="161"/>
      <c r="IX16" s="161"/>
      <c r="IY16" s="161"/>
      <c r="IZ16" s="161"/>
      <c r="JA16" s="161"/>
      <c r="JB16" s="161"/>
      <c r="JC16" s="161"/>
      <c r="JD16" s="161"/>
      <c r="JE16" s="161"/>
      <c r="JF16" s="161"/>
      <c r="JG16" s="161"/>
      <c r="JH16" s="161"/>
      <c r="JI16" s="161"/>
      <c r="JJ16" s="161"/>
      <c r="JK16" s="161"/>
      <c r="JL16" s="161"/>
      <c r="JM16" s="161"/>
      <c r="JN16" s="161"/>
      <c r="JO16" s="161"/>
      <c r="JP16" s="161"/>
      <c r="JQ16" s="161"/>
      <c r="JR16" s="161"/>
      <c r="JS16" s="161"/>
      <c r="JT16" s="161"/>
      <c r="JU16" s="161"/>
      <c r="JV16" s="161"/>
      <c r="JW16" s="161"/>
      <c r="JX16" s="161"/>
      <c r="JY16" s="161"/>
      <c r="JZ16" s="161"/>
      <c r="KA16" s="161"/>
      <c r="KB16" s="161"/>
      <c r="KC16" s="161"/>
      <c r="KD16" s="155">
        <v>1.0</v>
      </c>
      <c r="KE16" s="161"/>
      <c r="KF16" s="161"/>
      <c r="KG16" s="161"/>
      <c r="KH16" s="161"/>
      <c r="KI16" s="161"/>
      <c r="KJ16" s="161"/>
      <c r="KK16" s="161"/>
      <c r="KL16" s="161"/>
      <c r="KM16" s="161"/>
      <c r="KN16" s="161"/>
      <c r="KO16" s="161"/>
      <c r="KP16" s="161"/>
      <c r="KQ16" s="161"/>
      <c r="KR16" s="162"/>
      <c r="KS16" s="161"/>
      <c r="KT16" s="161"/>
      <c r="KU16" s="161"/>
      <c r="KV16" s="161"/>
      <c r="KW16" s="161"/>
      <c r="KX16" s="129"/>
    </row>
    <row r="17">
      <c r="A17" s="158">
        <v>18.0</v>
      </c>
      <c r="B17" s="158">
        <f t="shared" si="1"/>
        <v>7</v>
      </c>
      <c r="C17" s="158" t="s">
        <v>2342</v>
      </c>
      <c r="D17" s="159" t="s">
        <v>2438</v>
      </c>
      <c r="E17" s="159" t="s">
        <v>2439</v>
      </c>
      <c r="F17" s="159" t="s">
        <v>2440</v>
      </c>
      <c r="G17" s="159" t="s">
        <v>2441</v>
      </c>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2"/>
      <c r="AK17" s="161"/>
      <c r="AL17" s="161"/>
      <c r="AM17" s="161"/>
      <c r="AN17" s="161"/>
      <c r="AO17" s="161"/>
      <c r="AP17" s="161"/>
      <c r="AQ17" s="161"/>
      <c r="AR17" s="161"/>
      <c r="AS17" s="161"/>
      <c r="AT17" s="161"/>
      <c r="AU17" s="161"/>
      <c r="AV17" s="161"/>
      <c r="AW17" s="162"/>
      <c r="AX17" s="162"/>
      <c r="AY17" s="161"/>
      <c r="AZ17" s="161"/>
      <c r="BA17" s="161"/>
      <c r="BB17" s="161"/>
      <c r="BC17" s="155">
        <v>1.0</v>
      </c>
      <c r="BD17" s="161"/>
      <c r="BE17" s="161"/>
      <c r="BF17" s="161"/>
      <c r="BG17" s="161"/>
      <c r="BH17" s="161"/>
      <c r="BI17" s="161"/>
      <c r="BJ17" s="161"/>
      <c r="BK17" s="161"/>
      <c r="BL17" s="161"/>
      <c r="BM17" s="161"/>
      <c r="BN17" s="161"/>
      <c r="BO17" s="161"/>
      <c r="BP17" s="161"/>
      <c r="BQ17" s="161"/>
      <c r="BR17" s="161"/>
      <c r="BS17" s="161"/>
      <c r="BT17" s="161"/>
      <c r="BU17" s="161"/>
      <c r="BV17" s="161"/>
      <c r="BW17" s="161"/>
      <c r="BX17" s="161"/>
      <c r="BY17" s="161"/>
      <c r="BZ17" s="161"/>
      <c r="CA17" s="161"/>
      <c r="CB17" s="161"/>
      <c r="CC17" s="161"/>
      <c r="CD17" s="161"/>
      <c r="CE17" s="161"/>
      <c r="CF17" s="161"/>
      <c r="CG17" s="161"/>
      <c r="CH17" s="161"/>
      <c r="CI17" s="161"/>
      <c r="CJ17" s="161"/>
      <c r="CK17" s="161"/>
      <c r="CL17" s="161"/>
      <c r="CM17" s="161"/>
      <c r="CN17" s="161"/>
      <c r="CO17" s="161"/>
      <c r="CP17" s="161"/>
      <c r="CQ17" s="161"/>
      <c r="CR17" s="161"/>
      <c r="CS17" s="129"/>
      <c r="CT17" s="161"/>
      <c r="CU17" s="129"/>
      <c r="CV17" s="161"/>
      <c r="CW17" s="161"/>
      <c r="CX17" s="161"/>
      <c r="CY17" s="161"/>
      <c r="CZ17" s="161"/>
      <c r="DA17" s="161"/>
      <c r="DB17" s="161"/>
      <c r="DC17" s="161"/>
      <c r="DD17" s="161"/>
      <c r="DE17" s="162"/>
      <c r="DF17" s="162"/>
      <c r="DG17" s="162"/>
      <c r="DH17" s="162"/>
      <c r="DI17" s="162"/>
      <c r="DJ17" s="162"/>
      <c r="DK17" s="162"/>
      <c r="DL17" s="161"/>
      <c r="DM17" s="161"/>
      <c r="DN17" s="162"/>
      <c r="DO17" s="161"/>
      <c r="DP17" s="161"/>
      <c r="DQ17" s="161"/>
      <c r="DR17" s="162"/>
      <c r="DS17" s="161"/>
      <c r="DT17" s="161"/>
      <c r="DU17" s="162"/>
      <c r="DV17" s="162"/>
      <c r="DW17" s="161"/>
      <c r="DX17" s="161"/>
      <c r="DY17" s="162"/>
      <c r="DZ17" s="162"/>
      <c r="EA17" s="161"/>
      <c r="EB17" s="162"/>
      <c r="EC17" s="161"/>
      <c r="ED17" s="162"/>
      <c r="EE17" s="162"/>
      <c r="EF17" s="161"/>
      <c r="EG17" s="161"/>
      <c r="EH17" s="161"/>
      <c r="EI17" s="161"/>
      <c r="EJ17" s="161"/>
      <c r="EK17" s="161"/>
      <c r="EL17" s="162"/>
      <c r="EM17" s="161"/>
      <c r="EN17" s="161"/>
      <c r="EO17" s="161"/>
      <c r="EP17" s="161"/>
      <c r="EQ17" s="161"/>
      <c r="ER17" s="161"/>
      <c r="ES17" s="161"/>
      <c r="ET17" s="162"/>
      <c r="EU17" s="161"/>
      <c r="EV17" s="161"/>
      <c r="EW17" s="161"/>
      <c r="EX17" s="161"/>
      <c r="EY17" s="161"/>
      <c r="EZ17" s="161"/>
      <c r="FA17" s="161"/>
      <c r="FB17" s="161"/>
      <c r="FC17" s="161"/>
      <c r="FD17" s="161"/>
      <c r="FE17" s="161"/>
      <c r="FF17" s="161"/>
      <c r="FG17" s="161"/>
      <c r="FH17" s="161"/>
      <c r="FI17" s="161"/>
      <c r="FJ17" s="161"/>
      <c r="FK17" s="161"/>
      <c r="FL17" s="161"/>
      <c r="FM17" s="161"/>
      <c r="FN17" s="161"/>
      <c r="FO17" s="161"/>
      <c r="FP17" s="161"/>
      <c r="FQ17" s="161"/>
      <c r="FR17" s="161"/>
      <c r="FS17" s="161"/>
      <c r="FT17" s="161"/>
      <c r="FU17" s="161"/>
      <c r="FV17" s="161"/>
      <c r="FW17" s="161"/>
      <c r="FX17" s="161"/>
      <c r="FY17" s="161"/>
      <c r="FZ17" s="161"/>
      <c r="GA17" s="161"/>
      <c r="GB17" s="161"/>
      <c r="GC17" s="161"/>
      <c r="GD17" s="161"/>
      <c r="GE17" s="161"/>
      <c r="GF17" s="161"/>
      <c r="GG17" s="161"/>
      <c r="GH17" s="161"/>
      <c r="GI17" s="161"/>
      <c r="GJ17" s="161"/>
      <c r="GK17" s="161"/>
      <c r="GL17" s="161"/>
      <c r="GM17" s="161"/>
      <c r="GN17" s="161"/>
      <c r="GO17" s="161"/>
      <c r="GP17" s="161"/>
      <c r="GQ17" s="161"/>
      <c r="GR17" s="161"/>
      <c r="GS17" s="161"/>
      <c r="GT17" s="161"/>
      <c r="GU17" s="161"/>
      <c r="GV17" s="161"/>
      <c r="GW17" s="161"/>
      <c r="GX17" s="161"/>
      <c r="GY17" s="161"/>
      <c r="GZ17" s="161"/>
      <c r="HA17" s="161"/>
      <c r="HB17" s="161"/>
      <c r="HC17" s="161"/>
      <c r="HD17" s="162"/>
      <c r="HE17" s="161"/>
      <c r="HF17" s="162"/>
      <c r="HG17" s="161"/>
      <c r="HH17" s="161"/>
      <c r="HI17" s="161"/>
      <c r="HJ17" s="161"/>
      <c r="HK17" s="161"/>
      <c r="HL17" s="161"/>
      <c r="HM17" s="161"/>
      <c r="HN17" s="161"/>
      <c r="HO17" s="161"/>
      <c r="HP17" s="161"/>
      <c r="HQ17" s="161"/>
      <c r="HR17" s="161"/>
      <c r="HS17" s="161"/>
      <c r="HT17" s="161"/>
      <c r="HU17" s="161"/>
      <c r="HV17" s="161"/>
      <c r="HW17" s="161"/>
      <c r="HX17" s="161"/>
      <c r="HY17" s="161"/>
      <c r="HZ17" s="161"/>
      <c r="IA17" s="161"/>
      <c r="IB17" s="161"/>
      <c r="IC17" s="155">
        <v>1.0</v>
      </c>
      <c r="ID17" s="161"/>
      <c r="IE17" s="161"/>
      <c r="IF17" s="161"/>
      <c r="IG17" s="161"/>
      <c r="IH17" s="155"/>
      <c r="II17" s="155">
        <v>1.0</v>
      </c>
      <c r="IJ17" s="161"/>
      <c r="IK17" s="155">
        <v>1.0</v>
      </c>
      <c r="IL17" s="161"/>
      <c r="IM17" s="161"/>
      <c r="IN17" s="161"/>
      <c r="IO17" s="161"/>
      <c r="IP17" s="161"/>
      <c r="IQ17" s="161"/>
      <c r="IR17" s="155">
        <v>1.0</v>
      </c>
      <c r="IS17" s="161"/>
      <c r="IT17" s="161"/>
      <c r="IU17" s="161"/>
      <c r="IV17" s="161"/>
      <c r="IW17" s="161"/>
      <c r="IX17" s="161"/>
      <c r="IY17" s="161"/>
      <c r="IZ17" s="161"/>
      <c r="JA17" s="161"/>
      <c r="JB17" s="161"/>
      <c r="JC17" s="161"/>
      <c r="JD17" s="161"/>
      <c r="JE17" s="161"/>
      <c r="JF17" s="161"/>
      <c r="JG17" s="161"/>
      <c r="JH17" s="161"/>
      <c r="JI17" s="155">
        <v>1.0</v>
      </c>
      <c r="JJ17" s="161"/>
      <c r="JK17" s="161"/>
      <c r="JL17" s="161"/>
      <c r="JM17" s="161"/>
      <c r="JN17" s="161"/>
      <c r="JO17" s="161"/>
      <c r="JP17" s="155">
        <v>1.0</v>
      </c>
      <c r="JQ17" s="161"/>
      <c r="JR17" s="161"/>
      <c r="JS17" s="161"/>
      <c r="JT17" s="161"/>
      <c r="JU17" s="161"/>
      <c r="JV17" s="161"/>
      <c r="JW17" s="161"/>
      <c r="JX17" s="161"/>
      <c r="JY17" s="161"/>
      <c r="JZ17" s="161"/>
      <c r="KA17" s="161"/>
      <c r="KB17" s="161"/>
      <c r="KC17" s="161"/>
      <c r="KD17" s="161"/>
      <c r="KE17" s="161"/>
      <c r="KF17" s="161"/>
      <c r="KG17" s="161"/>
      <c r="KH17" s="161"/>
      <c r="KI17" s="161"/>
      <c r="KJ17" s="161"/>
      <c r="KK17" s="161"/>
      <c r="KL17" s="161"/>
      <c r="KM17" s="161"/>
      <c r="KN17" s="161"/>
      <c r="KO17" s="161"/>
      <c r="KP17" s="161"/>
      <c r="KQ17" s="161"/>
      <c r="KR17" s="162"/>
      <c r="KS17" s="161"/>
      <c r="KT17" s="161"/>
      <c r="KU17" s="161"/>
      <c r="KV17" s="161"/>
      <c r="KW17" s="161"/>
      <c r="KX17" s="129"/>
    </row>
    <row r="18">
      <c r="A18" s="158">
        <v>19.0</v>
      </c>
      <c r="B18" s="158">
        <f t="shared" si="1"/>
        <v>9</v>
      </c>
      <c r="C18" s="158" t="s">
        <v>2332</v>
      </c>
      <c r="D18" s="159" t="s">
        <v>2448</v>
      </c>
      <c r="E18" s="160"/>
      <c r="F18" s="159" t="s">
        <v>2449</v>
      </c>
      <c r="G18" s="160"/>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2"/>
      <c r="AK18" s="161"/>
      <c r="AL18" s="161"/>
      <c r="AM18" s="161"/>
      <c r="AN18" s="161"/>
      <c r="AO18" s="161"/>
      <c r="AP18" s="161"/>
      <c r="AQ18" s="155">
        <v>1.0</v>
      </c>
      <c r="AR18" s="161"/>
      <c r="AS18" s="161"/>
      <c r="AT18" s="161"/>
      <c r="AU18" s="161"/>
      <c r="AV18" s="161"/>
      <c r="AW18" s="162"/>
      <c r="AX18" s="162"/>
      <c r="AY18" s="161"/>
      <c r="AZ18" s="161"/>
      <c r="BA18" s="161"/>
      <c r="BB18" s="161"/>
      <c r="BC18" s="161"/>
      <c r="BD18" s="161"/>
      <c r="BE18" s="161"/>
      <c r="BF18" s="161"/>
      <c r="BG18" s="161"/>
      <c r="BH18" s="161"/>
      <c r="BI18" s="161"/>
      <c r="BJ18" s="161"/>
      <c r="BK18" s="161"/>
      <c r="BL18" s="161"/>
      <c r="BM18" s="161"/>
      <c r="BN18" s="161"/>
      <c r="BO18" s="161"/>
      <c r="BP18" s="161"/>
      <c r="BQ18" s="161"/>
      <c r="BR18" s="161"/>
      <c r="BS18" s="161"/>
      <c r="BT18" s="129"/>
      <c r="BU18" s="161"/>
      <c r="BV18" s="161"/>
      <c r="BW18" s="161"/>
      <c r="BX18" s="155">
        <v>1.0</v>
      </c>
      <c r="BY18" s="161"/>
      <c r="BZ18" s="161"/>
      <c r="CA18" s="161"/>
      <c r="CB18" s="161"/>
      <c r="CC18" s="161"/>
      <c r="CD18" s="161"/>
      <c r="CE18" s="161"/>
      <c r="CF18" s="161"/>
      <c r="CG18" s="161"/>
      <c r="CH18" s="161"/>
      <c r="CI18" s="161"/>
      <c r="CJ18" s="161"/>
      <c r="CK18" s="161"/>
      <c r="CL18" s="161"/>
      <c r="CM18" s="161"/>
      <c r="CN18" s="161"/>
      <c r="CO18" s="161"/>
      <c r="CP18" s="129"/>
      <c r="CQ18" s="161"/>
      <c r="CR18" s="161"/>
      <c r="CS18" s="129"/>
      <c r="CT18" s="161"/>
      <c r="CU18" s="129"/>
      <c r="CV18" s="161"/>
      <c r="CW18" s="161"/>
      <c r="CX18" s="161"/>
      <c r="CY18" s="161"/>
      <c r="CZ18" s="161"/>
      <c r="DA18" s="161"/>
      <c r="DB18" s="161"/>
      <c r="DC18" s="161"/>
      <c r="DD18" s="161"/>
      <c r="DE18" s="162"/>
      <c r="DF18" s="162"/>
      <c r="DG18" s="162"/>
      <c r="DH18" s="162"/>
      <c r="DI18" s="162"/>
      <c r="DJ18" s="162"/>
      <c r="DK18" s="162"/>
      <c r="DL18" s="161"/>
      <c r="DM18" s="161"/>
      <c r="DN18" s="162"/>
      <c r="DO18" s="161"/>
      <c r="DP18" s="161"/>
      <c r="DQ18" s="161"/>
      <c r="DR18" s="162"/>
      <c r="DS18" s="161"/>
      <c r="DT18" s="161"/>
      <c r="DU18" s="162"/>
      <c r="DV18" s="162"/>
      <c r="DW18" s="161"/>
      <c r="DX18" s="161"/>
      <c r="DY18" s="162"/>
      <c r="DZ18" s="162"/>
      <c r="EA18" s="161"/>
      <c r="EB18" s="162"/>
      <c r="EC18" s="161"/>
      <c r="ED18" s="162"/>
      <c r="EE18" s="162"/>
      <c r="EF18" s="161"/>
      <c r="EG18" s="161"/>
      <c r="EH18" s="161"/>
      <c r="EI18" s="161"/>
      <c r="EJ18" s="161"/>
      <c r="EK18" s="161"/>
      <c r="EL18" s="162"/>
      <c r="EM18" s="161"/>
      <c r="EN18" s="161"/>
      <c r="EO18" s="161"/>
      <c r="EP18" s="161"/>
      <c r="EQ18" s="161"/>
      <c r="ER18" s="161"/>
      <c r="ES18" s="161"/>
      <c r="ET18" s="162"/>
      <c r="EU18" s="161"/>
      <c r="EV18" s="161"/>
      <c r="EW18" s="161"/>
      <c r="EX18" s="161"/>
      <c r="EY18" s="161"/>
      <c r="EZ18" s="161"/>
      <c r="FA18" s="161"/>
      <c r="FB18" s="161"/>
      <c r="FC18" s="161"/>
      <c r="FD18" s="161"/>
      <c r="FE18" s="161"/>
      <c r="FF18" s="161"/>
      <c r="FG18" s="161"/>
      <c r="FH18" s="155">
        <v>1.0</v>
      </c>
      <c r="FI18" s="161"/>
      <c r="FJ18" s="161"/>
      <c r="FK18" s="161"/>
      <c r="FL18" s="161"/>
      <c r="FM18" s="161"/>
      <c r="FN18" s="161"/>
      <c r="FO18" s="155">
        <v>1.0</v>
      </c>
      <c r="FP18" s="161"/>
      <c r="FQ18" s="161"/>
      <c r="FR18" s="161"/>
      <c r="FS18" s="161"/>
      <c r="FT18" s="161"/>
      <c r="FU18" s="161"/>
      <c r="FV18" s="161"/>
      <c r="FW18" s="161"/>
      <c r="FX18" s="161"/>
      <c r="FY18" s="161"/>
      <c r="FZ18" s="161"/>
      <c r="GA18" s="161"/>
      <c r="GB18" s="161"/>
      <c r="GC18" s="161"/>
      <c r="GD18" s="161"/>
      <c r="GE18" s="161"/>
      <c r="GF18" s="155">
        <v>1.0</v>
      </c>
      <c r="GG18" s="161"/>
      <c r="GH18" s="161"/>
      <c r="GI18" s="161"/>
      <c r="GJ18" s="155">
        <v>1.0</v>
      </c>
      <c r="GK18" s="161"/>
      <c r="GL18" s="161"/>
      <c r="GM18" s="161"/>
      <c r="GN18" s="161"/>
      <c r="GO18" s="161"/>
      <c r="GP18" s="161"/>
      <c r="GQ18" s="161"/>
      <c r="GR18" s="161"/>
      <c r="GS18" s="161"/>
      <c r="GT18" s="161"/>
      <c r="GU18" s="161"/>
      <c r="GV18" s="161"/>
      <c r="GW18" s="161"/>
      <c r="GX18" s="161"/>
      <c r="GY18" s="161"/>
      <c r="GZ18" s="161"/>
      <c r="HA18" s="161"/>
      <c r="HB18" s="161"/>
      <c r="HC18" s="161"/>
      <c r="HD18" s="162"/>
      <c r="HE18" s="161"/>
      <c r="HF18" s="162"/>
      <c r="HG18" s="161"/>
      <c r="HH18" s="161"/>
      <c r="HI18" s="161"/>
      <c r="HJ18" s="161"/>
      <c r="HK18" s="161"/>
      <c r="HL18" s="161"/>
      <c r="HM18" s="161"/>
      <c r="HN18" s="161"/>
      <c r="HO18" s="161"/>
      <c r="HP18" s="161"/>
      <c r="HQ18" s="161"/>
      <c r="HR18" s="161"/>
      <c r="HS18" s="161"/>
      <c r="HT18" s="161"/>
      <c r="HU18" s="161"/>
      <c r="HV18" s="161"/>
      <c r="HW18" s="155">
        <v>1.0</v>
      </c>
      <c r="HX18" s="161"/>
      <c r="HY18" s="161"/>
      <c r="HZ18" s="161"/>
      <c r="IA18" s="161"/>
      <c r="IB18" s="155">
        <v>1.0</v>
      </c>
      <c r="IC18" s="161"/>
      <c r="ID18" s="161"/>
      <c r="IE18" s="161"/>
      <c r="IF18" s="161"/>
      <c r="IG18" s="161"/>
      <c r="IH18" s="161"/>
      <c r="II18" s="161"/>
      <c r="IJ18" s="161"/>
      <c r="IK18" s="161"/>
      <c r="IL18" s="161"/>
      <c r="IM18" s="161"/>
      <c r="IN18" s="161"/>
      <c r="IO18" s="161"/>
      <c r="IP18" s="161"/>
      <c r="IQ18" s="161"/>
      <c r="IR18" s="161"/>
      <c r="IS18" s="155">
        <v>1.0</v>
      </c>
      <c r="IT18" s="161"/>
      <c r="IU18" s="161"/>
      <c r="IV18" s="161"/>
      <c r="IW18" s="161"/>
      <c r="IX18" s="161"/>
      <c r="IY18" s="161"/>
      <c r="IZ18" s="161"/>
      <c r="JA18" s="161"/>
      <c r="JB18" s="161"/>
      <c r="JC18" s="161"/>
      <c r="JD18" s="161"/>
      <c r="JE18" s="161"/>
      <c r="JF18" s="161"/>
      <c r="JG18" s="161"/>
      <c r="JH18" s="161"/>
      <c r="JI18" s="161"/>
      <c r="JJ18" s="161"/>
      <c r="JK18" s="161"/>
      <c r="JL18" s="161"/>
      <c r="JM18" s="161"/>
      <c r="JN18" s="161"/>
      <c r="JO18" s="161"/>
      <c r="JP18" s="161"/>
      <c r="JQ18" s="161"/>
      <c r="JR18" s="161"/>
      <c r="JS18" s="161"/>
      <c r="JT18" s="161"/>
      <c r="JU18" s="161"/>
      <c r="JV18" s="161"/>
      <c r="JW18" s="161"/>
      <c r="JX18" s="161"/>
      <c r="JY18" s="161"/>
      <c r="JZ18" s="161"/>
      <c r="KA18" s="161"/>
      <c r="KB18" s="161"/>
      <c r="KC18" s="161"/>
      <c r="KD18" s="161"/>
      <c r="KE18" s="161"/>
      <c r="KF18" s="161"/>
      <c r="KG18" s="161"/>
      <c r="KH18" s="161"/>
      <c r="KI18" s="161"/>
      <c r="KJ18" s="161"/>
      <c r="KK18" s="161"/>
      <c r="KL18" s="161"/>
      <c r="KM18" s="161"/>
      <c r="KN18" s="161"/>
      <c r="KO18" s="161"/>
      <c r="KP18" s="161"/>
      <c r="KQ18" s="161"/>
      <c r="KR18" s="162"/>
      <c r="KS18" s="161"/>
      <c r="KT18" s="161"/>
      <c r="KU18" s="161"/>
      <c r="KV18" s="161"/>
      <c r="KW18" s="161"/>
      <c r="KX18" s="129"/>
    </row>
    <row r="19">
      <c r="A19" s="158">
        <v>20.0</v>
      </c>
      <c r="B19" s="158">
        <f t="shared" si="1"/>
        <v>15</v>
      </c>
      <c r="C19" s="158" t="s">
        <v>2342</v>
      </c>
      <c r="D19" s="159" t="s">
        <v>2454</v>
      </c>
      <c r="E19" s="160"/>
      <c r="F19" s="159" t="s">
        <v>2455</v>
      </c>
      <c r="G19" s="159" t="s">
        <v>1864</v>
      </c>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2"/>
      <c r="AK19" s="161"/>
      <c r="AL19" s="161"/>
      <c r="AM19" s="161"/>
      <c r="AN19" s="161"/>
      <c r="AO19" s="161"/>
      <c r="AP19" s="161"/>
      <c r="AQ19" s="161"/>
      <c r="AR19" s="161"/>
      <c r="AS19" s="161"/>
      <c r="AT19" s="161"/>
      <c r="AU19" s="161"/>
      <c r="AV19" s="161"/>
      <c r="AW19" s="162"/>
      <c r="AX19" s="162"/>
      <c r="AY19" s="161"/>
      <c r="AZ19" s="161"/>
      <c r="BA19" s="155">
        <v>1.0</v>
      </c>
      <c r="BB19" s="161"/>
      <c r="BC19" s="155"/>
      <c r="BD19" s="161"/>
      <c r="BE19" s="161"/>
      <c r="BF19" s="155">
        <v>1.0</v>
      </c>
      <c r="BG19" s="161"/>
      <c r="BH19" s="161"/>
      <c r="BI19" s="161"/>
      <c r="BJ19" s="161"/>
      <c r="BK19" s="161"/>
      <c r="BL19" s="161"/>
      <c r="BM19" s="161"/>
      <c r="BN19" s="161"/>
      <c r="BO19" s="161"/>
      <c r="BP19" s="161"/>
      <c r="BQ19" s="161"/>
      <c r="BR19" s="161"/>
      <c r="BS19" s="161"/>
      <c r="BT19" s="161"/>
      <c r="BU19" s="161"/>
      <c r="BV19" s="155">
        <v>1.0</v>
      </c>
      <c r="BW19" s="155">
        <v>1.0</v>
      </c>
      <c r="BX19" s="161"/>
      <c r="BY19" s="161"/>
      <c r="BZ19" s="161"/>
      <c r="CA19" s="161"/>
      <c r="CB19" s="161"/>
      <c r="CC19" s="161"/>
      <c r="CD19" s="161"/>
      <c r="CE19" s="161"/>
      <c r="CF19" s="155">
        <v>1.0</v>
      </c>
      <c r="CG19" s="161"/>
      <c r="CH19" s="161"/>
      <c r="CI19" s="161"/>
      <c r="CJ19" s="155">
        <v>1.0</v>
      </c>
      <c r="CK19" s="161"/>
      <c r="CL19" s="161"/>
      <c r="CM19" s="161"/>
      <c r="CN19" s="161"/>
      <c r="CO19" s="161"/>
      <c r="CP19" s="161"/>
      <c r="CQ19" s="161"/>
      <c r="CR19" s="161"/>
      <c r="CS19" s="129"/>
      <c r="CT19" s="161"/>
      <c r="CU19" s="129"/>
      <c r="CV19" s="161"/>
      <c r="CW19" s="161"/>
      <c r="CX19" s="161"/>
      <c r="CY19" s="161"/>
      <c r="CZ19" s="155">
        <v>1.0</v>
      </c>
      <c r="DA19" s="161"/>
      <c r="DB19" s="161"/>
      <c r="DC19" s="161"/>
      <c r="DD19" s="161"/>
      <c r="DE19" s="162"/>
      <c r="DF19" s="162"/>
      <c r="DG19" s="162"/>
      <c r="DH19" s="162"/>
      <c r="DI19" s="162"/>
      <c r="DJ19" s="162"/>
      <c r="DK19" s="162"/>
      <c r="DL19" s="161"/>
      <c r="DM19" s="161"/>
      <c r="DN19" s="162"/>
      <c r="DO19" s="161"/>
      <c r="DP19" s="161"/>
      <c r="DQ19" s="161"/>
      <c r="DR19" s="162"/>
      <c r="DS19" s="161"/>
      <c r="DT19" s="161"/>
      <c r="DU19" s="162"/>
      <c r="DV19" s="162"/>
      <c r="DW19" s="161"/>
      <c r="DX19" s="161"/>
      <c r="DY19" s="162"/>
      <c r="DZ19" s="162"/>
      <c r="EA19" s="161"/>
      <c r="EB19" s="162"/>
      <c r="EC19" s="161"/>
      <c r="ED19" s="162"/>
      <c r="EE19" s="162"/>
      <c r="EF19" s="161"/>
      <c r="EG19" s="161"/>
      <c r="EH19" s="161"/>
      <c r="EI19" s="161"/>
      <c r="EJ19" s="161"/>
      <c r="EK19" s="161"/>
      <c r="EL19" s="162"/>
      <c r="EM19" s="161"/>
      <c r="EN19" s="161"/>
      <c r="EO19" s="161"/>
      <c r="EP19" s="161"/>
      <c r="EQ19" s="161"/>
      <c r="ER19" s="161"/>
      <c r="ES19" s="161"/>
      <c r="ET19" s="162"/>
      <c r="EU19" s="161"/>
      <c r="EV19" s="161"/>
      <c r="EW19" s="161"/>
      <c r="EX19" s="161"/>
      <c r="EY19" s="161"/>
      <c r="EZ19" s="161"/>
      <c r="FA19" s="155">
        <v>1.0</v>
      </c>
      <c r="FB19" s="161"/>
      <c r="FC19" s="161"/>
      <c r="FD19" s="161"/>
      <c r="FE19" s="161"/>
      <c r="FF19" s="161"/>
      <c r="FG19" s="161"/>
      <c r="FH19" s="161"/>
      <c r="FI19" s="161"/>
      <c r="FJ19" s="161"/>
      <c r="FK19" s="161"/>
      <c r="FL19" s="161"/>
      <c r="FM19" s="161"/>
      <c r="FN19" s="161"/>
      <c r="FO19" s="161"/>
      <c r="FP19" s="161"/>
      <c r="FQ19" s="161"/>
      <c r="FR19" s="161"/>
      <c r="FS19" s="161"/>
      <c r="FT19" s="161"/>
      <c r="FU19" s="161"/>
      <c r="FV19" s="161"/>
      <c r="FW19" s="161"/>
      <c r="FX19" s="161"/>
      <c r="FY19" s="161"/>
      <c r="FZ19" s="161"/>
      <c r="GA19" s="161"/>
      <c r="GB19" s="161"/>
      <c r="GC19" s="161"/>
      <c r="GD19" s="161"/>
      <c r="GE19" s="161"/>
      <c r="GF19" s="161"/>
      <c r="GG19" s="161"/>
      <c r="GH19" s="161"/>
      <c r="GI19" s="161"/>
      <c r="GJ19" s="161"/>
      <c r="GK19" s="161"/>
      <c r="GL19" s="161"/>
      <c r="GM19" s="161"/>
      <c r="GN19" s="161"/>
      <c r="GO19" s="161"/>
      <c r="GP19" s="161"/>
      <c r="GQ19" s="161"/>
      <c r="GR19" s="161"/>
      <c r="GS19" s="161"/>
      <c r="GT19" s="161"/>
      <c r="GU19" s="161"/>
      <c r="GV19" s="161"/>
      <c r="GW19" s="161"/>
      <c r="GX19" s="155">
        <v>1.0</v>
      </c>
      <c r="GY19" s="161"/>
      <c r="GZ19" s="161"/>
      <c r="HA19" s="161"/>
      <c r="HB19" s="161"/>
      <c r="HC19" s="161"/>
      <c r="HD19" s="162"/>
      <c r="HE19" s="161"/>
      <c r="HF19" s="162"/>
      <c r="HG19" s="161"/>
      <c r="HH19" s="161"/>
      <c r="HI19" s="155"/>
      <c r="HJ19" s="155">
        <v>1.0</v>
      </c>
      <c r="HK19" s="161"/>
      <c r="HL19" s="161"/>
      <c r="HM19" s="161"/>
      <c r="HN19" s="161"/>
      <c r="HO19" s="161"/>
      <c r="HP19" s="161"/>
      <c r="HQ19" s="161"/>
      <c r="HR19" s="161"/>
      <c r="HS19" s="161"/>
      <c r="HT19" s="161"/>
      <c r="HU19" s="161"/>
      <c r="HV19" s="161"/>
      <c r="HW19" s="155">
        <v>1.0</v>
      </c>
      <c r="HX19" s="161"/>
      <c r="HY19" s="161"/>
      <c r="HZ19" s="161"/>
      <c r="IA19" s="161"/>
      <c r="IB19" s="161"/>
      <c r="IC19" s="161"/>
      <c r="ID19" s="161"/>
      <c r="IE19" s="161"/>
      <c r="IF19" s="161"/>
      <c r="IG19" s="161"/>
      <c r="IH19" s="161"/>
      <c r="II19" s="161"/>
      <c r="IJ19" s="161"/>
      <c r="IK19" s="161"/>
      <c r="IL19" s="161"/>
      <c r="IM19" s="155">
        <v>1.0</v>
      </c>
      <c r="IN19" s="161"/>
      <c r="IO19" s="161"/>
      <c r="IP19" s="161"/>
      <c r="IQ19" s="161"/>
      <c r="IR19" s="161"/>
      <c r="IS19" s="161"/>
      <c r="IT19" s="161"/>
      <c r="IU19" s="161"/>
      <c r="IV19" s="161"/>
      <c r="IW19" s="161"/>
      <c r="IX19" s="161"/>
      <c r="IY19" s="161"/>
      <c r="IZ19" s="155">
        <v>1.0</v>
      </c>
      <c r="JA19" s="161"/>
      <c r="JB19" s="161"/>
      <c r="JC19" s="161"/>
      <c r="JD19" s="161"/>
      <c r="JE19" s="161"/>
      <c r="JF19" s="161"/>
      <c r="JG19" s="161"/>
      <c r="JH19" s="161"/>
      <c r="JI19" s="161"/>
      <c r="JJ19" s="161"/>
      <c r="JK19" s="161"/>
      <c r="JL19" s="161"/>
      <c r="JM19" s="161"/>
      <c r="JN19" s="161"/>
      <c r="JO19" s="161"/>
      <c r="JP19" s="161"/>
      <c r="JQ19" s="161"/>
      <c r="JR19" s="161"/>
      <c r="JS19" s="161"/>
      <c r="JT19" s="161"/>
      <c r="JU19" s="161"/>
      <c r="JV19" s="161"/>
      <c r="JW19" s="161"/>
      <c r="JX19" s="161"/>
      <c r="JY19" s="161"/>
      <c r="JZ19" s="161"/>
      <c r="KA19" s="161"/>
      <c r="KB19" s="161"/>
      <c r="KC19" s="161"/>
      <c r="KD19" s="161"/>
      <c r="KE19" s="155">
        <v>1.0</v>
      </c>
      <c r="KF19" s="161"/>
      <c r="KG19" s="161"/>
      <c r="KH19" s="161"/>
      <c r="KI19" s="161"/>
      <c r="KJ19" s="161"/>
      <c r="KK19" s="161"/>
      <c r="KL19" s="161"/>
      <c r="KM19" s="161"/>
      <c r="KN19" s="161"/>
      <c r="KO19" s="161"/>
      <c r="KP19" s="155">
        <v>1.0</v>
      </c>
      <c r="KQ19" s="161"/>
      <c r="KR19" s="162"/>
      <c r="KS19" s="161"/>
      <c r="KT19" s="161"/>
      <c r="KU19" s="161"/>
      <c r="KV19" s="161"/>
      <c r="KW19" s="161"/>
      <c r="KX19" s="129"/>
    </row>
    <row r="20">
      <c r="A20" s="158">
        <v>21.0</v>
      </c>
      <c r="B20" s="158">
        <f t="shared" si="1"/>
        <v>6</v>
      </c>
      <c r="C20" s="158" t="s">
        <v>2342</v>
      </c>
      <c r="D20" s="164" t="s">
        <v>2461</v>
      </c>
      <c r="E20" s="160"/>
      <c r="F20" s="159" t="s">
        <v>2462</v>
      </c>
      <c r="G20" s="164" t="s">
        <v>1456</v>
      </c>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2"/>
      <c r="AK20" s="161"/>
      <c r="AL20" s="161"/>
      <c r="AM20" s="161"/>
      <c r="AN20" s="161"/>
      <c r="AO20" s="161"/>
      <c r="AP20" s="161"/>
      <c r="AQ20" s="161"/>
      <c r="AR20" s="161"/>
      <c r="AS20" s="161"/>
      <c r="AT20" s="161"/>
      <c r="AU20" s="161"/>
      <c r="AV20" s="161"/>
      <c r="AW20" s="162"/>
      <c r="AX20" s="162"/>
      <c r="AY20" s="161"/>
      <c r="AZ20" s="161"/>
      <c r="BA20" s="161"/>
      <c r="BB20" s="161"/>
      <c r="BC20" s="161"/>
      <c r="BD20" s="161"/>
      <c r="BE20" s="161"/>
      <c r="BF20" s="161"/>
      <c r="BG20" s="161"/>
      <c r="BH20" s="161"/>
      <c r="BI20" s="161"/>
      <c r="BJ20" s="161"/>
      <c r="BK20" s="161"/>
      <c r="BL20" s="161"/>
      <c r="BM20" s="161"/>
      <c r="BN20" s="161"/>
      <c r="BO20" s="161"/>
      <c r="BP20" s="161"/>
      <c r="BQ20" s="161"/>
      <c r="BR20" s="161"/>
      <c r="BS20" s="161"/>
      <c r="BT20" s="161"/>
      <c r="BU20" s="161"/>
      <c r="BV20" s="161"/>
      <c r="BW20" s="161"/>
      <c r="BX20" s="161"/>
      <c r="BY20" s="161"/>
      <c r="BZ20" s="161"/>
      <c r="CA20" s="161"/>
      <c r="CB20" s="161"/>
      <c r="CC20" s="161"/>
      <c r="CD20" s="161"/>
      <c r="CE20" s="161"/>
      <c r="CF20" s="161"/>
      <c r="CG20" s="161"/>
      <c r="CH20" s="161"/>
      <c r="CI20" s="161"/>
      <c r="CJ20" s="161"/>
      <c r="CK20" s="161"/>
      <c r="CL20" s="161"/>
      <c r="CM20" s="161"/>
      <c r="CN20" s="161"/>
      <c r="CO20" s="161"/>
      <c r="CP20" s="161"/>
      <c r="CQ20" s="161"/>
      <c r="CR20" s="161"/>
      <c r="CS20" s="129"/>
      <c r="CT20" s="161"/>
      <c r="CU20" s="129"/>
      <c r="CV20" s="161"/>
      <c r="CW20" s="161"/>
      <c r="CX20" s="161"/>
      <c r="CY20" s="161"/>
      <c r="CZ20" s="161"/>
      <c r="DA20" s="161"/>
      <c r="DB20" s="161"/>
      <c r="DC20" s="161"/>
      <c r="DD20" s="155"/>
      <c r="DE20" s="162"/>
      <c r="DF20" s="162"/>
      <c r="DG20" s="162"/>
      <c r="DH20" s="162"/>
      <c r="DI20" s="162"/>
      <c r="DJ20" s="162"/>
      <c r="DK20" s="162"/>
      <c r="DL20" s="161"/>
      <c r="DM20" s="161"/>
      <c r="DN20" s="162"/>
      <c r="DO20" s="161"/>
      <c r="DP20" s="161"/>
      <c r="DQ20" s="161"/>
      <c r="DR20" s="162"/>
      <c r="DS20" s="161"/>
      <c r="DT20" s="161"/>
      <c r="DU20" s="162"/>
      <c r="DV20" s="162"/>
      <c r="DW20" s="161"/>
      <c r="DX20" s="161"/>
      <c r="DY20" s="162"/>
      <c r="DZ20" s="162"/>
      <c r="EA20" s="161"/>
      <c r="EB20" s="162"/>
      <c r="EC20" s="161"/>
      <c r="ED20" s="162"/>
      <c r="EE20" s="162"/>
      <c r="EF20" s="161"/>
      <c r="EG20" s="161"/>
      <c r="EH20" s="161"/>
      <c r="EI20" s="161"/>
      <c r="EJ20" s="161"/>
      <c r="EK20" s="161"/>
      <c r="EL20" s="162"/>
      <c r="EM20" s="161"/>
      <c r="EN20" s="161"/>
      <c r="EO20" s="161"/>
      <c r="EP20" s="161"/>
      <c r="EQ20" s="161"/>
      <c r="ER20" s="161"/>
      <c r="ES20" s="161"/>
      <c r="ET20" s="162"/>
      <c r="EU20" s="161"/>
      <c r="EV20" s="161"/>
      <c r="EW20" s="161"/>
      <c r="EX20" s="161"/>
      <c r="EY20" s="161"/>
      <c r="EZ20" s="161"/>
      <c r="FA20" s="161"/>
      <c r="FB20" s="161"/>
      <c r="FC20" s="161"/>
      <c r="FD20" s="161"/>
      <c r="FE20" s="161"/>
      <c r="FF20" s="161"/>
      <c r="FG20" s="161"/>
      <c r="FH20" s="161"/>
      <c r="FI20" s="161"/>
      <c r="FJ20" s="155">
        <v>1.0</v>
      </c>
      <c r="FK20" s="161"/>
      <c r="FL20" s="161"/>
      <c r="FM20" s="161"/>
      <c r="FN20" s="155">
        <v>1.0</v>
      </c>
      <c r="FO20" s="161"/>
      <c r="FP20" s="161"/>
      <c r="FQ20" s="161"/>
      <c r="FR20" s="161"/>
      <c r="FS20" s="161"/>
      <c r="FT20" s="161"/>
      <c r="FU20" s="161"/>
      <c r="FV20" s="161"/>
      <c r="FW20" s="155">
        <v>1.0</v>
      </c>
      <c r="FX20" s="161"/>
      <c r="FY20" s="161"/>
      <c r="FZ20" s="161"/>
      <c r="GA20" s="161"/>
      <c r="GB20" s="161"/>
      <c r="GC20" s="161"/>
      <c r="GD20" s="161"/>
      <c r="GE20" s="161"/>
      <c r="GF20" s="161"/>
      <c r="GG20" s="161"/>
      <c r="GH20" s="161"/>
      <c r="GI20" s="161"/>
      <c r="GJ20" s="161"/>
      <c r="GK20" s="161"/>
      <c r="GL20" s="161"/>
      <c r="GM20" s="161"/>
      <c r="GN20" s="161"/>
      <c r="GO20" s="161"/>
      <c r="GP20" s="161"/>
      <c r="GQ20" s="161"/>
      <c r="GR20" s="161"/>
      <c r="GS20" s="161"/>
      <c r="GT20" s="161"/>
      <c r="GU20" s="161"/>
      <c r="GV20" s="161"/>
      <c r="GW20" s="161"/>
      <c r="GX20" s="161"/>
      <c r="GY20" s="161"/>
      <c r="GZ20" s="161"/>
      <c r="HA20" s="161"/>
      <c r="HB20" s="161"/>
      <c r="HC20" s="161"/>
      <c r="HD20" s="162"/>
      <c r="HE20" s="161"/>
      <c r="HF20" s="162"/>
      <c r="HG20" s="161"/>
      <c r="HH20" s="161"/>
      <c r="HI20" s="161"/>
      <c r="HJ20" s="161"/>
      <c r="HK20" s="161"/>
      <c r="HL20" s="161"/>
      <c r="HM20" s="161"/>
      <c r="HN20" s="161"/>
      <c r="HO20" s="161"/>
      <c r="HP20" s="161"/>
      <c r="HQ20" s="161"/>
      <c r="HR20" s="155">
        <v>1.0</v>
      </c>
      <c r="HS20" s="161"/>
      <c r="HT20" s="161"/>
      <c r="HU20" s="161"/>
      <c r="HV20" s="161"/>
      <c r="HW20" s="161"/>
      <c r="HX20" s="161"/>
      <c r="HY20" s="161"/>
      <c r="HZ20" s="161"/>
      <c r="IA20" s="161"/>
      <c r="IB20" s="161"/>
      <c r="IC20" s="161"/>
      <c r="ID20" s="161"/>
      <c r="IE20" s="161"/>
      <c r="IF20" s="161"/>
      <c r="IG20" s="161"/>
      <c r="IH20" s="161"/>
      <c r="II20" s="161"/>
      <c r="IJ20" s="161"/>
      <c r="IK20" s="161"/>
      <c r="IL20" s="161"/>
      <c r="IM20" s="161"/>
      <c r="IN20" s="161"/>
      <c r="IO20" s="161"/>
      <c r="IP20" s="161"/>
      <c r="IQ20" s="161"/>
      <c r="IR20" s="161"/>
      <c r="IS20" s="161"/>
      <c r="IT20" s="161"/>
      <c r="IU20" s="161"/>
      <c r="IV20" s="161"/>
      <c r="IW20" s="161"/>
      <c r="IX20" s="161"/>
      <c r="IY20" s="161"/>
      <c r="IZ20" s="161"/>
      <c r="JA20" s="161"/>
      <c r="JB20" s="161"/>
      <c r="JC20" s="161"/>
      <c r="JD20" s="161"/>
      <c r="JE20" s="161"/>
      <c r="JF20" s="161"/>
      <c r="JG20" s="161"/>
      <c r="JH20" s="161"/>
      <c r="JI20" s="161"/>
      <c r="JJ20" s="161"/>
      <c r="JK20" s="161"/>
      <c r="JL20" s="161"/>
      <c r="JM20" s="161"/>
      <c r="JN20" s="161"/>
      <c r="JO20" s="161"/>
      <c r="JP20" s="161"/>
      <c r="JQ20" s="161"/>
      <c r="JR20" s="155">
        <v>1.0</v>
      </c>
      <c r="JS20" s="161"/>
      <c r="JT20" s="161"/>
      <c r="JU20" s="161"/>
      <c r="JV20" s="161"/>
      <c r="JW20" s="161"/>
      <c r="JX20" s="161"/>
      <c r="JY20" s="161"/>
      <c r="JZ20" s="161"/>
      <c r="KA20" s="161"/>
      <c r="KB20" s="161"/>
      <c r="KC20" s="161"/>
      <c r="KD20" s="161"/>
      <c r="KE20" s="161"/>
      <c r="KF20" s="155"/>
      <c r="KG20" s="161"/>
      <c r="KH20" s="155">
        <v>1.0</v>
      </c>
      <c r="KI20" s="161"/>
      <c r="KJ20" s="161"/>
      <c r="KK20" s="161"/>
      <c r="KL20" s="161"/>
      <c r="KM20" s="161"/>
      <c r="KN20" s="161"/>
      <c r="KO20" s="161"/>
      <c r="KP20" s="161"/>
      <c r="KQ20" s="161"/>
      <c r="KR20" s="162"/>
      <c r="KS20" s="161"/>
      <c r="KT20" s="161"/>
      <c r="KU20" s="161"/>
      <c r="KV20" s="161"/>
      <c r="KW20" s="161"/>
      <c r="KX20" s="129"/>
    </row>
    <row r="21">
      <c r="A21" s="158">
        <v>22.0</v>
      </c>
      <c r="B21" s="158">
        <f t="shared" si="1"/>
        <v>12</v>
      </c>
      <c r="C21" s="158" t="s">
        <v>2342</v>
      </c>
      <c r="D21" s="164" t="s">
        <v>2465</v>
      </c>
      <c r="E21" s="160"/>
      <c r="F21" s="164" t="s">
        <v>2466</v>
      </c>
      <c r="G21" s="159" t="s">
        <v>2467</v>
      </c>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2"/>
      <c r="AK21" s="161"/>
      <c r="AL21" s="161"/>
      <c r="AM21" s="161"/>
      <c r="AN21" s="161"/>
      <c r="AO21" s="161"/>
      <c r="AP21" s="161"/>
      <c r="AQ21" s="161"/>
      <c r="AR21" s="161"/>
      <c r="AS21" s="161"/>
      <c r="AT21" s="161"/>
      <c r="AU21" s="161"/>
      <c r="AV21" s="161"/>
      <c r="AW21" s="162"/>
      <c r="AX21" s="162"/>
      <c r="AY21" s="161"/>
      <c r="AZ21" s="161"/>
      <c r="BA21" s="161"/>
      <c r="BB21" s="161"/>
      <c r="BC21" s="161"/>
      <c r="BD21" s="161"/>
      <c r="BE21" s="161"/>
      <c r="BF21" s="161"/>
      <c r="BG21" s="161"/>
      <c r="BH21" s="161"/>
      <c r="BI21" s="161"/>
      <c r="BJ21" s="161"/>
      <c r="BK21" s="161"/>
      <c r="BL21" s="161"/>
      <c r="BM21" s="155">
        <v>1.0</v>
      </c>
      <c r="BN21" s="161"/>
      <c r="BO21" s="161"/>
      <c r="BP21" s="161"/>
      <c r="BQ21" s="161"/>
      <c r="BR21" s="161"/>
      <c r="BS21" s="161"/>
      <c r="BT21" s="161"/>
      <c r="BU21" s="161"/>
      <c r="BV21" s="161"/>
      <c r="BW21" s="161"/>
      <c r="BX21" s="161"/>
      <c r="BY21" s="161"/>
      <c r="BZ21" s="161"/>
      <c r="CA21" s="161"/>
      <c r="CB21" s="161"/>
      <c r="CC21" s="161"/>
      <c r="CD21" s="161"/>
      <c r="CE21" s="161"/>
      <c r="CF21" s="161"/>
      <c r="CG21" s="161"/>
      <c r="CH21" s="161"/>
      <c r="CI21" s="161"/>
      <c r="CJ21" s="161"/>
      <c r="CK21" s="161"/>
      <c r="CL21" s="161"/>
      <c r="CM21" s="161"/>
      <c r="CN21" s="161"/>
      <c r="CO21" s="161"/>
      <c r="CP21" s="161"/>
      <c r="CQ21" s="161"/>
      <c r="CR21" s="161"/>
      <c r="CS21" s="129"/>
      <c r="CT21" s="161"/>
      <c r="CU21" s="129"/>
      <c r="CV21" s="161"/>
      <c r="CW21" s="161"/>
      <c r="CX21" s="155">
        <v>1.0</v>
      </c>
      <c r="CY21" s="161"/>
      <c r="CZ21" s="161"/>
      <c r="DA21" s="161"/>
      <c r="DB21" s="161"/>
      <c r="DC21" s="161"/>
      <c r="DD21" s="161"/>
      <c r="DE21" s="162"/>
      <c r="DF21" s="162"/>
      <c r="DG21" s="162"/>
      <c r="DH21" s="162"/>
      <c r="DI21" s="162"/>
      <c r="DJ21" s="162"/>
      <c r="DK21" s="162"/>
      <c r="DL21" s="161"/>
      <c r="DM21" s="161"/>
      <c r="DN21" s="162"/>
      <c r="DO21" s="155">
        <v>1.0</v>
      </c>
      <c r="DP21" s="161"/>
      <c r="DQ21" s="161"/>
      <c r="DR21" s="162"/>
      <c r="DS21" s="161"/>
      <c r="DT21" s="161"/>
      <c r="DU21" s="162"/>
      <c r="DV21" s="162"/>
      <c r="DW21" s="161"/>
      <c r="DX21" s="161"/>
      <c r="DY21" s="162"/>
      <c r="DZ21" s="162"/>
      <c r="EA21" s="161"/>
      <c r="EB21" s="162"/>
      <c r="EC21" s="161"/>
      <c r="ED21" s="162"/>
      <c r="EE21" s="162"/>
      <c r="EF21" s="161"/>
      <c r="EG21" s="155">
        <v>1.0</v>
      </c>
      <c r="EH21" s="161"/>
      <c r="EI21" s="161"/>
      <c r="EJ21" s="161"/>
      <c r="EK21" s="161"/>
      <c r="EL21" s="162"/>
      <c r="EM21" s="161"/>
      <c r="EN21" s="155">
        <v>1.0</v>
      </c>
      <c r="EO21" s="161"/>
      <c r="EP21" s="161"/>
      <c r="EQ21" s="161"/>
      <c r="ER21" s="155">
        <v>1.0</v>
      </c>
      <c r="ES21" s="161"/>
      <c r="ET21" s="162"/>
      <c r="EU21" s="161"/>
      <c r="EV21" s="161"/>
      <c r="EW21" s="161"/>
      <c r="EX21" s="161"/>
      <c r="EY21" s="161"/>
      <c r="EZ21" s="161"/>
      <c r="FA21" s="155">
        <v>1.0</v>
      </c>
      <c r="FB21" s="161"/>
      <c r="FC21" s="161"/>
      <c r="FD21" s="155">
        <v>1.0</v>
      </c>
      <c r="FE21" s="161"/>
      <c r="FF21" s="161"/>
      <c r="FG21" s="161"/>
      <c r="FH21" s="161"/>
      <c r="FI21" s="155">
        <v>1.0</v>
      </c>
      <c r="FJ21" s="161"/>
      <c r="FK21" s="161"/>
      <c r="FL21" s="161"/>
      <c r="FM21" s="161"/>
      <c r="FN21" s="161"/>
      <c r="FO21" s="161"/>
      <c r="FP21" s="129"/>
      <c r="FQ21" s="161"/>
      <c r="FR21" s="155">
        <v>1.0</v>
      </c>
      <c r="FS21" s="161"/>
      <c r="FT21" s="161"/>
      <c r="FU21" s="161"/>
      <c r="FV21" s="161"/>
      <c r="FW21" s="161"/>
      <c r="FX21" s="161"/>
      <c r="FY21" s="161"/>
      <c r="FZ21" s="161"/>
      <c r="GA21" s="161"/>
      <c r="GB21" s="161"/>
      <c r="GC21" s="161"/>
      <c r="GD21" s="161"/>
      <c r="GE21" s="161"/>
      <c r="GF21" s="161"/>
      <c r="GG21" s="161"/>
      <c r="GH21" s="161"/>
      <c r="GI21" s="161"/>
      <c r="GJ21" s="161"/>
      <c r="GK21" s="161"/>
      <c r="GL21" s="161"/>
      <c r="GM21" s="161"/>
      <c r="GN21" s="161"/>
      <c r="GO21" s="161"/>
      <c r="GP21" s="161"/>
      <c r="GQ21" s="161"/>
      <c r="GR21" s="161"/>
      <c r="GS21" s="161"/>
      <c r="GT21" s="161"/>
      <c r="GU21" s="161"/>
      <c r="GV21" s="161"/>
      <c r="GW21" s="161"/>
      <c r="GX21" s="161"/>
      <c r="GY21" s="161"/>
      <c r="GZ21" s="161"/>
      <c r="HA21" s="161"/>
      <c r="HB21" s="161"/>
      <c r="HC21" s="161"/>
      <c r="HD21" s="162"/>
      <c r="HE21" s="161"/>
      <c r="HF21" s="162"/>
      <c r="HG21" s="161"/>
      <c r="HH21" s="161"/>
      <c r="HI21" s="161"/>
      <c r="HJ21" s="161"/>
      <c r="HK21" s="161"/>
      <c r="HL21" s="161"/>
      <c r="HM21" s="161"/>
      <c r="HN21" s="161"/>
      <c r="HO21" s="161"/>
      <c r="HP21" s="161"/>
      <c r="HQ21" s="155"/>
      <c r="HR21" s="161"/>
      <c r="HS21" s="161"/>
      <c r="HT21" s="161"/>
      <c r="HU21" s="161"/>
      <c r="HV21" s="161"/>
      <c r="HW21" s="161"/>
      <c r="HX21" s="161"/>
      <c r="HY21" s="161"/>
      <c r="HZ21" s="161"/>
      <c r="IA21" s="161"/>
      <c r="IB21" s="161"/>
      <c r="IC21" s="161"/>
      <c r="ID21" s="161"/>
      <c r="IE21" s="161"/>
      <c r="IF21" s="161"/>
      <c r="IG21" s="155">
        <v>1.0</v>
      </c>
      <c r="IH21" s="161"/>
      <c r="II21" s="161"/>
      <c r="IJ21" s="161"/>
      <c r="IK21" s="161"/>
      <c r="IL21" s="161"/>
      <c r="IM21" s="161"/>
      <c r="IN21" s="161"/>
      <c r="IO21" s="161"/>
      <c r="IP21" s="161"/>
      <c r="IQ21" s="161"/>
      <c r="IR21" s="161"/>
      <c r="IS21" s="161"/>
      <c r="IT21" s="155">
        <v>1.0</v>
      </c>
      <c r="IU21" s="161"/>
      <c r="IV21" s="161"/>
      <c r="IW21" s="161"/>
      <c r="IX21" s="161"/>
      <c r="IY21" s="161"/>
      <c r="IZ21" s="161"/>
      <c r="JA21" s="161"/>
      <c r="JB21" s="161"/>
      <c r="JC21" s="161"/>
      <c r="JD21" s="161"/>
      <c r="JE21" s="161"/>
      <c r="JF21" s="161"/>
      <c r="JG21" s="161"/>
      <c r="JH21" s="161"/>
      <c r="JI21" s="161"/>
      <c r="JJ21" s="161"/>
      <c r="JK21" s="161"/>
      <c r="JL21" s="161"/>
      <c r="JM21" s="161"/>
      <c r="JN21" s="161"/>
      <c r="JO21" s="161"/>
      <c r="JP21" s="161"/>
      <c r="JQ21" s="161"/>
      <c r="JR21" s="161"/>
      <c r="JS21" s="161"/>
      <c r="JT21" s="161"/>
      <c r="JU21" s="161"/>
      <c r="JV21" s="161"/>
      <c r="JW21" s="161"/>
      <c r="JX21" s="161"/>
      <c r="JY21" s="161"/>
      <c r="JZ21" s="161"/>
      <c r="KA21" s="161"/>
      <c r="KB21" s="161"/>
      <c r="KC21" s="161"/>
      <c r="KD21" s="161"/>
      <c r="KE21" s="161"/>
      <c r="KF21" s="161"/>
      <c r="KG21" s="161"/>
      <c r="KH21" s="161"/>
      <c r="KI21" s="161"/>
      <c r="KJ21" s="161"/>
      <c r="KK21" s="161"/>
      <c r="KL21" s="161"/>
      <c r="KM21" s="161"/>
      <c r="KN21" s="161"/>
      <c r="KO21" s="161"/>
      <c r="KP21" s="161"/>
      <c r="KQ21" s="161"/>
      <c r="KR21" s="162"/>
      <c r="KS21" s="161"/>
      <c r="KT21" s="161"/>
      <c r="KU21" s="161"/>
      <c r="KV21" s="161"/>
      <c r="KW21" s="161"/>
      <c r="KX21" s="129"/>
    </row>
    <row r="22">
      <c r="A22" s="158">
        <v>23.0</v>
      </c>
      <c r="B22" s="158">
        <f t="shared" si="1"/>
        <v>11</v>
      </c>
      <c r="C22" s="158" t="s">
        <v>2342</v>
      </c>
      <c r="D22" s="159" t="s">
        <v>2472</v>
      </c>
      <c r="E22" s="160"/>
      <c r="F22" s="164" t="s">
        <v>2473</v>
      </c>
      <c r="G22" s="159" t="s">
        <v>2474</v>
      </c>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1"/>
      <c r="AJ22" s="162"/>
      <c r="AK22" s="161"/>
      <c r="AL22" s="161"/>
      <c r="AM22" s="161"/>
      <c r="AN22" s="161"/>
      <c r="AO22" s="161"/>
      <c r="AP22" s="161"/>
      <c r="AQ22" s="161"/>
      <c r="AR22" s="161"/>
      <c r="AS22" s="161"/>
      <c r="AT22" s="161"/>
      <c r="AU22" s="161"/>
      <c r="AV22" s="161"/>
      <c r="AW22" s="162"/>
      <c r="AX22" s="162"/>
      <c r="AY22" s="161"/>
      <c r="AZ22" s="161"/>
      <c r="BA22" s="161"/>
      <c r="BB22" s="161"/>
      <c r="BC22" s="161"/>
      <c r="BD22" s="161"/>
      <c r="BE22" s="161"/>
      <c r="BF22" s="161"/>
      <c r="BG22" s="161"/>
      <c r="BH22" s="161"/>
      <c r="BI22" s="155">
        <v>1.0</v>
      </c>
      <c r="BJ22" s="155"/>
      <c r="BK22" s="155">
        <v>1.0</v>
      </c>
      <c r="BL22" s="161"/>
      <c r="BM22" s="161"/>
      <c r="BN22" s="161"/>
      <c r="BO22" s="161"/>
      <c r="BP22" s="161"/>
      <c r="BQ22" s="161"/>
      <c r="BR22" s="161"/>
      <c r="BS22" s="161"/>
      <c r="BT22" s="161"/>
      <c r="BU22" s="161"/>
      <c r="BV22" s="161"/>
      <c r="BW22" s="161"/>
      <c r="BX22" s="161"/>
      <c r="BY22" s="161"/>
      <c r="BZ22" s="161"/>
      <c r="CA22" s="161"/>
      <c r="CB22" s="161"/>
      <c r="CC22" s="161"/>
      <c r="CD22" s="161"/>
      <c r="CE22" s="161"/>
      <c r="CF22" s="161"/>
      <c r="CG22" s="161"/>
      <c r="CH22" s="161"/>
      <c r="CI22" s="161"/>
      <c r="CJ22" s="161"/>
      <c r="CK22" s="161"/>
      <c r="CL22" s="161"/>
      <c r="CM22" s="161"/>
      <c r="CN22" s="161"/>
      <c r="CO22" s="161"/>
      <c r="CP22" s="161"/>
      <c r="CQ22" s="161"/>
      <c r="CR22" s="161"/>
      <c r="CS22" s="129"/>
      <c r="CT22" s="161"/>
      <c r="CU22" s="129"/>
      <c r="CV22" s="161"/>
      <c r="CW22" s="161"/>
      <c r="CX22" s="161"/>
      <c r="CY22" s="161"/>
      <c r="CZ22" s="161"/>
      <c r="DA22" s="161"/>
      <c r="DB22" s="161"/>
      <c r="DC22" s="161"/>
      <c r="DD22" s="161"/>
      <c r="DE22" s="162"/>
      <c r="DF22" s="162"/>
      <c r="DG22" s="162"/>
      <c r="DH22" s="162"/>
      <c r="DI22" s="162"/>
      <c r="DJ22" s="162"/>
      <c r="DK22" s="162"/>
      <c r="DL22" s="161"/>
      <c r="DM22" s="161"/>
      <c r="DN22" s="162"/>
      <c r="DO22" s="161"/>
      <c r="DP22" s="161"/>
      <c r="DQ22" s="161"/>
      <c r="DR22" s="162"/>
      <c r="DS22" s="161"/>
      <c r="DT22" s="161"/>
      <c r="DU22" s="162"/>
      <c r="DV22" s="162"/>
      <c r="DW22" s="161"/>
      <c r="DX22" s="161"/>
      <c r="DY22" s="162"/>
      <c r="DZ22" s="162"/>
      <c r="EA22" s="161"/>
      <c r="EB22" s="162"/>
      <c r="EC22" s="161"/>
      <c r="ED22" s="162"/>
      <c r="EE22" s="162"/>
      <c r="EF22" s="161"/>
      <c r="EG22" s="161"/>
      <c r="EH22" s="161"/>
      <c r="EI22" s="161"/>
      <c r="EJ22" s="161"/>
      <c r="EK22" s="161"/>
      <c r="EL22" s="162"/>
      <c r="EM22" s="161"/>
      <c r="EN22" s="161"/>
      <c r="EO22" s="161"/>
      <c r="EP22" s="161"/>
      <c r="EQ22" s="161"/>
      <c r="ER22" s="161"/>
      <c r="ES22" s="161"/>
      <c r="ET22" s="162"/>
      <c r="EU22" s="161"/>
      <c r="EV22" s="161"/>
      <c r="EW22" s="161"/>
      <c r="EX22" s="161"/>
      <c r="EY22" s="161"/>
      <c r="EZ22" s="161"/>
      <c r="FA22" s="161"/>
      <c r="FB22" s="161"/>
      <c r="FC22" s="161"/>
      <c r="FD22" s="161"/>
      <c r="FE22" s="161"/>
      <c r="FF22" s="155">
        <v>1.0</v>
      </c>
      <c r="FG22" s="161"/>
      <c r="FH22" s="161"/>
      <c r="FI22" s="161"/>
      <c r="FJ22" s="161"/>
      <c r="FK22" s="161"/>
      <c r="FL22" s="161"/>
      <c r="FM22" s="161"/>
      <c r="FN22" s="161"/>
      <c r="FO22" s="161"/>
      <c r="FP22" s="129"/>
      <c r="FQ22" s="161"/>
      <c r="FR22" s="155">
        <v>1.0</v>
      </c>
      <c r="FS22" s="161"/>
      <c r="FT22" s="161"/>
      <c r="FU22" s="161"/>
      <c r="FV22" s="161"/>
      <c r="FW22" s="161"/>
      <c r="FX22" s="161"/>
      <c r="FY22" s="161"/>
      <c r="FZ22" s="161"/>
      <c r="GA22" s="161"/>
      <c r="GB22" s="161"/>
      <c r="GC22" s="161"/>
      <c r="GD22" s="161"/>
      <c r="GE22" s="161"/>
      <c r="GF22" s="155">
        <v>1.0</v>
      </c>
      <c r="GG22" s="161"/>
      <c r="GH22" s="161"/>
      <c r="GI22" s="155">
        <v>1.0</v>
      </c>
      <c r="GJ22" s="161"/>
      <c r="GK22" s="161"/>
      <c r="GL22" s="155">
        <v>1.0</v>
      </c>
      <c r="GM22" s="161"/>
      <c r="GN22" s="161"/>
      <c r="GO22" s="161"/>
      <c r="GP22" s="161"/>
      <c r="GQ22" s="161"/>
      <c r="GR22" s="161"/>
      <c r="GS22" s="161"/>
      <c r="GT22" s="161"/>
      <c r="GU22" s="161"/>
      <c r="GV22" s="161"/>
      <c r="GW22" s="161"/>
      <c r="GX22" s="161"/>
      <c r="GY22" s="161"/>
      <c r="GZ22" s="161"/>
      <c r="HA22" s="161"/>
      <c r="HB22" s="161"/>
      <c r="HC22" s="161"/>
      <c r="HD22" s="162"/>
      <c r="HE22" s="161"/>
      <c r="HF22" s="162"/>
      <c r="HG22" s="161"/>
      <c r="HH22" s="161"/>
      <c r="HI22" s="161"/>
      <c r="HJ22" s="161"/>
      <c r="HK22" s="161"/>
      <c r="HL22" s="161"/>
      <c r="HM22" s="161"/>
      <c r="HN22" s="161"/>
      <c r="HO22" s="161"/>
      <c r="HP22" s="161"/>
      <c r="HQ22" s="161"/>
      <c r="HR22" s="161"/>
      <c r="HS22" s="161"/>
      <c r="HT22" s="161"/>
      <c r="HU22" s="161"/>
      <c r="HV22" s="161"/>
      <c r="HW22" s="161"/>
      <c r="HX22" s="161"/>
      <c r="HY22" s="161"/>
      <c r="HZ22" s="161"/>
      <c r="IA22" s="155">
        <v>1.0</v>
      </c>
      <c r="IB22" s="161"/>
      <c r="IC22" s="161"/>
      <c r="ID22" s="161"/>
      <c r="IE22" s="161"/>
      <c r="IF22" s="161"/>
      <c r="IG22" s="161"/>
      <c r="IH22" s="161"/>
      <c r="II22" s="161"/>
      <c r="IJ22" s="161"/>
      <c r="IK22" s="161"/>
      <c r="IL22" s="161"/>
      <c r="IM22" s="155">
        <v>1.0</v>
      </c>
      <c r="IN22" s="161"/>
      <c r="IO22" s="161"/>
      <c r="IP22" s="161"/>
      <c r="IQ22" s="161"/>
      <c r="IR22" s="161"/>
      <c r="IS22" s="161"/>
      <c r="IT22" s="161"/>
      <c r="IU22" s="161"/>
      <c r="IV22" s="161"/>
      <c r="IW22" s="161"/>
      <c r="IX22" s="161"/>
      <c r="IY22" s="161"/>
      <c r="IZ22" s="161"/>
      <c r="JA22" s="161"/>
      <c r="JB22" s="161"/>
      <c r="JC22" s="161"/>
      <c r="JD22" s="161"/>
      <c r="JE22" s="161"/>
      <c r="JF22" s="161"/>
      <c r="JG22" s="161"/>
      <c r="JH22" s="161"/>
      <c r="JI22" s="161"/>
      <c r="JJ22" s="161"/>
      <c r="JK22" s="161"/>
      <c r="JL22" s="161"/>
      <c r="JM22" s="161"/>
      <c r="JN22" s="161"/>
      <c r="JO22" s="161"/>
      <c r="JP22" s="161"/>
      <c r="JQ22" s="155">
        <v>1.0</v>
      </c>
      <c r="JR22" s="161"/>
      <c r="JS22" s="161"/>
      <c r="JT22" s="161"/>
      <c r="JU22" s="161"/>
      <c r="JV22" s="161"/>
      <c r="JW22" s="161"/>
      <c r="JX22" s="161"/>
      <c r="JY22" s="161"/>
      <c r="JZ22" s="161"/>
      <c r="KA22" s="161"/>
      <c r="KB22" s="161"/>
      <c r="KC22" s="161"/>
      <c r="KD22" s="161"/>
      <c r="KE22" s="161"/>
      <c r="KF22" s="161"/>
      <c r="KG22" s="161"/>
      <c r="KH22" s="161"/>
      <c r="KI22" s="161"/>
      <c r="KJ22" s="161"/>
      <c r="KK22" s="155"/>
      <c r="KL22" s="155">
        <v>1.0</v>
      </c>
      <c r="KM22" s="161"/>
      <c r="KN22" s="161"/>
      <c r="KO22" s="161"/>
      <c r="KP22" s="161"/>
      <c r="KQ22" s="161"/>
      <c r="KR22" s="162"/>
      <c r="KS22" s="161"/>
      <c r="KT22" s="161"/>
      <c r="KU22" s="161"/>
      <c r="KV22" s="161"/>
      <c r="KW22" s="161"/>
      <c r="KX22" s="129"/>
    </row>
    <row r="23">
      <c r="A23" s="158">
        <v>24.0</v>
      </c>
      <c r="B23" s="158">
        <f t="shared" si="1"/>
        <v>8</v>
      </c>
      <c r="C23" s="158" t="s">
        <v>2342</v>
      </c>
      <c r="D23" s="164" t="s">
        <v>2478</v>
      </c>
      <c r="E23" s="160"/>
      <c r="F23" s="159" t="s">
        <v>2479</v>
      </c>
      <c r="G23" s="164" t="s">
        <v>2480</v>
      </c>
      <c r="H23" s="161"/>
      <c r="I23" s="161"/>
      <c r="J23" s="161"/>
      <c r="K23" s="161"/>
      <c r="L23" s="155"/>
      <c r="M23" s="161"/>
      <c r="N23" s="161"/>
      <c r="O23" s="161"/>
      <c r="P23" s="161"/>
      <c r="Q23" s="161"/>
      <c r="R23" s="161"/>
      <c r="S23" s="161"/>
      <c r="T23" s="161"/>
      <c r="U23" s="161"/>
      <c r="V23" s="161"/>
      <c r="W23" s="161"/>
      <c r="X23" s="161"/>
      <c r="Y23" s="161"/>
      <c r="Z23" s="161"/>
      <c r="AA23" s="161"/>
      <c r="AB23" s="161"/>
      <c r="AC23" s="161"/>
      <c r="AD23" s="161"/>
      <c r="AE23" s="161"/>
      <c r="AF23" s="161"/>
      <c r="AG23" s="161"/>
      <c r="AH23" s="161"/>
      <c r="AI23" s="161"/>
      <c r="AJ23" s="162"/>
      <c r="AK23" s="161"/>
      <c r="AL23" s="161"/>
      <c r="AM23" s="161"/>
      <c r="AN23" s="161"/>
      <c r="AO23" s="161"/>
      <c r="AP23" s="161"/>
      <c r="AQ23" s="161"/>
      <c r="AR23" s="161"/>
      <c r="AS23" s="161"/>
      <c r="AT23" s="161"/>
      <c r="AU23" s="161"/>
      <c r="AV23" s="161"/>
      <c r="AW23" s="162"/>
      <c r="AX23" s="162"/>
      <c r="AY23" s="161"/>
      <c r="AZ23" s="161"/>
      <c r="BA23" s="161"/>
      <c r="BB23" s="161"/>
      <c r="BC23" s="161"/>
      <c r="BD23" s="161"/>
      <c r="BE23" s="161"/>
      <c r="BF23" s="161"/>
      <c r="BG23" s="161"/>
      <c r="BH23" s="161"/>
      <c r="BI23" s="161"/>
      <c r="BJ23" s="161"/>
      <c r="BK23" s="161"/>
      <c r="BL23" s="161"/>
      <c r="BM23" s="161"/>
      <c r="BN23" s="161"/>
      <c r="BO23" s="161"/>
      <c r="BP23" s="161"/>
      <c r="BQ23" s="161"/>
      <c r="BR23" s="161"/>
      <c r="BS23" s="161"/>
      <c r="BT23" s="161"/>
      <c r="BU23" s="161"/>
      <c r="BV23" s="161"/>
      <c r="BW23" s="161"/>
      <c r="BX23" s="161"/>
      <c r="BY23" s="161"/>
      <c r="BZ23" s="161"/>
      <c r="CA23" s="161"/>
      <c r="CB23" s="161"/>
      <c r="CC23" s="161"/>
      <c r="CD23" s="155">
        <v>1.0</v>
      </c>
      <c r="CE23" s="161"/>
      <c r="CF23" s="161"/>
      <c r="CG23" s="161"/>
      <c r="CH23" s="161"/>
      <c r="CI23" s="161"/>
      <c r="CJ23" s="161"/>
      <c r="CK23" s="161"/>
      <c r="CL23" s="161"/>
      <c r="CM23" s="161"/>
      <c r="CN23" s="161"/>
      <c r="CO23" s="161"/>
      <c r="CP23" s="161"/>
      <c r="CQ23" s="161"/>
      <c r="CR23" s="161"/>
      <c r="CS23" s="129"/>
      <c r="CT23" s="161"/>
      <c r="CU23" s="129"/>
      <c r="CV23" s="161"/>
      <c r="CW23" s="161"/>
      <c r="CX23" s="161"/>
      <c r="CY23" s="161"/>
      <c r="CZ23" s="161"/>
      <c r="DA23" s="161"/>
      <c r="DB23" s="161"/>
      <c r="DC23" s="155">
        <v>1.0</v>
      </c>
      <c r="DD23" s="161"/>
      <c r="DE23" s="162"/>
      <c r="DF23" s="162"/>
      <c r="DG23" s="162"/>
      <c r="DH23" s="162"/>
      <c r="DI23" s="162"/>
      <c r="DJ23" s="162"/>
      <c r="DK23" s="162"/>
      <c r="DL23" s="161"/>
      <c r="DM23" s="161"/>
      <c r="DN23" s="162"/>
      <c r="DO23" s="161"/>
      <c r="DP23" s="161"/>
      <c r="DQ23" s="161"/>
      <c r="DR23" s="162"/>
      <c r="DS23" s="161"/>
      <c r="DT23" s="161"/>
      <c r="DU23" s="162"/>
      <c r="DV23" s="162"/>
      <c r="DW23" s="161"/>
      <c r="DX23" s="155">
        <v>1.0</v>
      </c>
      <c r="DY23" s="162"/>
      <c r="DZ23" s="162"/>
      <c r="EA23" s="161"/>
      <c r="EB23" s="162"/>
      <c r="EC23" s="161"/>
      <c r="ED23" s="162"/>
      <c r="EE23" s="162"/>
      <c r="EF23" s="161"/>
      <c r="EG23" s="161"/>
      <c r="EH23" s="161"/>
      <c r="EI23" s="161"/>
      <c r="EJ23" s="161"/>
      <c r="EK23" s="161"/>
      <c r="EL23" s="162"/>
      <c r="EM23" s="161"/>
      <c r="EN23" s="161"/>
      <c r="EO23" s="161"/>
      <c r="EP23" s="161"/>
      <c r="EQ23" s="161"/>
      <c r="ER23" s="161"/>
      <c r="ES23" s="161"/>
      <c r="ET23" s="162"/>
      <c r="EU23" s="161"/>
      <c r="EV23" s="161"/>
      <c r="EW23" s="161"/>
      <c r="EX23" s="161"/>
      <c r="EY23" s="161"/>
      <c r="EZ23" s="161"/>
      <c r="FA23" s="161"/>
      <c r="FB23" s="161"/>
      <c r="FC23" s="161"/>
      <c r="FD23" s="161"/>
      <c r="FE23" s="161"/>
      <c r="FF23" s="161"/>
      <c r="FG23" s="161"/>
      <c r="FH23" s="161"/>
      <c r="FI23" s="161"/>
      <c r="FJ23" s="161"/>
      <c r="FK23" s="161"/>
      <c r="FL23" s="161"/>
      <c r="FM23" s="161"/>
      <c r="FN23" s="161"/>
      <c r="FO23" s="161"/>
      <c r="FP23" s="161"/>
      <c r="FQ23" s="161"/>
      <c r="FR23" s="161"/>
      <c r="FS23" s="161"/>
      <c r="FT23" s="161"/>
      <c r="FU23" s="161"/>
      <c r="FV23" s="161"/>
      <c r="FW23" s="161"/>
      <c r="FX23" s="161"/>
      <c r="FY23" s="161"/>
      <c r="FZ23" s="161"/>
      <c r="GA23" s="161"/>
      <c r="GB23" s="161"/>
      <c r="GC23" s="161"/>
      <c r="GD23" s="161"/>
      <c r="GE23" s="161"/>
      <c r="GF23" s="161"/>
      <c r="GG23" s="161"/>
      <c r="GH23" s="161"/>
      <c r="GI23" s="161"/>
      <c r="GJ23" s="161"/>
      <c r="GK23" s="161"/>
      <c r="GL23" s="161"/>
      <c r="GM23" s="161"/>
      <c r="GN23" s="161"/>
      <c r="GO23" s="161"/>
      <c r="GP23" s="161"/>
      <c r="GQ23" s="161"/>
      <c r="GR23" s="161"/>
      <c r="GS23" s="161"/>
      <c r="GT23" s="155">
        <v>1.0</v>
      </c>
      <c r="GU23" s="161"/>
      <c r="GV23" s="161"/>
      <c r="GW23" s="161"/>
      <c r="GX23" s="161"/>
      <c r="GY23" s="161"/>
      <c r="GZ23" s="161"/>
      <c r="HA23" s="161"/>
      <c r="HB23" s="161"/>
      <c r="HC23" s="161"/>
      <c r="HD23" s="162"/>
      <c r="HE23" s="161"/>
      <c r="HF23" s="162"/>
      <c r="HG23" s="161"/>
      <c r="HH23" s="161"/>
      <c r="HI23" s="161"/>
      <c r="HJ23" s="161"/>
      <c r="HK23" s="161"/>
      <c r="HL23" s="161"/>
      <c r="HM23" s="161"/>
      <c r="HN23" s="161"/>
      <c r="HO23" s="161"/>
      <c r="HP23" s="161"/>
      <c r="HQ23" s="161"/>
      <c r="HR23" s="161"/>
      <c r="HS23" s="161"/>
      <c r="HT23" s="161"/>
      <c r="HU23" s="161"/>
      <c r="HV23" s="161"/>
      <c r="HW23" s="161"/>
      <c r="HX23" s="161"/>
      <c r="HY23" s="155">
        <v>1.0</v>
      </c>
      <c r="HZ23" s="161"/>
      <c r="IA23" s="161"/>
      <c r="IB23" s="161"/>
      <c r="IC23" s="161"/>
      <c r="ID23" s="161"/>
      <c r="IE23" s="161"/>
      <c r="IF23" s="161"/>
      <c r="IG23" s="161"/>
      <c r="IH23" s="161"/>
      <c r="II23" s="161"/>
      <c r="IJ23" s="161"/>
      <c r="IK23" s="161"/>
      <c r="IL23" s="161"/>
      <c r="IM23" s="161"/>
      <c r="IN23" s="161"/>
      <c r="IO23" s="161"/>
      <c r="IP23" s="161"/>
      <c r="IQ23" s="161"/>
      <c r="IR23" s="161"/>
      <c r="IS23" s="161"/>
      <c r="IT23" s="161"/>
      <c r="IU23" s="161"/>
      <c r="IV23" s="161"/>
      <c r="IW23" s="155">
        <v>1.0</v>
      </c>
      <c r="IX23" s="161"/>
      <c r="IY23" s="161"/>
      <c r="IZ23" s="161"/>
      <c r="JA23" s="161"/>
      <c r="JB23" s="161"/>
      <c r="JC23" s="161"/>
      <c r="JD23" s="161"/>
      <c r="JE23" s="161"/>
      <c r="JF23" s="161"/>
      <c r="JG23" s="161"/>
      <c r="JH23" s="161"/>
      <c r="JI23" s="161"/>
      <c r="JJ23" s="161"/>
      <c r="JK23" s="161"/>
      <c r="JL23" s="161"/>
      <c r="JM23" s="161"/>
      <c r="JN23" s="161"/>
      <c r="JO23" s="161"/>
      <c r="JP23" s="161"/>
      <c r="JQ23" s="161"/>
      <c r="JR23" s="161"/>
      <c r="JS23" s="155">
        <v>1.0</v>
      </c>
      <c r="JT23" s="161"/>
      <c r="JU23" s="155">
        <v>1.0</v>
      </c>
      <c r="JV23" s="161"/>
      <c r="JW23" s="161"/>
      <c r="JX23" s="161"/>
      <c r="JY23" s="161"/>
      <c r="JZ23" s="161"/>
      <c r="KA23" s="161"/>
      <c r="KB23" s="161"/>
      <c r="KC23" s="161"/>
      <c r="KD23" s="161"/>
      <c r="KE23" s="161"/>
      <c r="KF23" s="161"/>
      <c r="KG23" s="161"/>
      <c r="KH23" s="161"/>
      <c r="KI23" s="161"/>
      <c r="KJ23" s="161"/>
      <c r="KK23" s="161"/>
      <c r="KL23" s="161"/>
      <c r="KM23" s="161"/>
      <c r="KN23" s="161"/>
      <c r="KO23" s="161"/>
      <c r="KP23" s="161"/>
      <c r="KQ23" s="161"/>
      <c r="KR23" s="162"/>
      <c r="KS23" s="161"/>
      <c r="KT23" s="161"/>
      <c r="KU23" s="161"/>
      <c r="KV23" s="161"/>
      <c r="KW23" s="161"/>
      <c r="KX23" s="129"/>
    </row>
    <row r="24">
      <c r="A24" s="158">
        <v>25.0</v>
      </c>
      <c r="B24" s="158">
        <f t="shared" si="1"/>
        <v>4</v>
      </c>
      <c r="C24" s="158" t="s">
        <v>2342</v>
      </c>
      <c r="D24" s="159" t="s">
        <v>2485</v>
      </c>
      <c r="E24" s="159" t="s">
        <v>2486</v>
      </c>
      <c r="F24" s="159" t="s">
        <v>2487</v>
      </c>
      <c r="G24" s="159" t="s">
        <v>2488</v>
      </c>
      <c r="H24" s="161"/>
      <c r="I24" s="161"/>
      <c r="J24" s="161"/>
      <c r="K24" s="161"/>
      <c r="L24" s="155">
        <v>1.0</v>
      </c>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2"/>
      <c r="AK24" s="161"/>
      <c r="AL24" s="161"/>
      <c r="AM24" s="161"/>
      <c r="AN24" s="161"/>
      <c r="AO24" s="161"/>
      <c r="AP24" s="161"/>
      <c r="AQ24" s="161"/>
      <c r="AR24" s="161"/>
      <c r="AS24" s="161"/>
      <c r="AT24" s="161"/>
      <c r="AU24" s="161"/>
      <c r="AV24" s="161"/>
      <c r="AW24" s="162"/>
      <c r="AX24" s="162"/>
      <c r="AY24" s="161"/>
      <c r="AZ24" s="161"/>
      <c r="BA24" s="161"/>
      <c r="BB24" s="161"/>
      <c r="BC24" s="161"/>
      <c r="BD24" s="161"/>
      <c r="BE24" s="161"/>
      <c r="BF24" s="161"/>
      <c r="BG24" s="161"/>
      <c r="BH24" s="161"/>
      <c r="BI24" s="161"/>
      <c r="BJ24" s="161"/>
      <c r="BK24" s="161"/>
      <c r="BL24" s="161"/>
      <c r="BM24" s="161"/>
      <c r="BN24" s="161"/>
      <c r="BO24" s="161"/>
      <c r="BP24" s="161"/>
      <c r="BQ24" s="161"/>
      <c r="BR24" s="161"/>
      <c r="BS24" s="161"/>
      <c r="BT24" s="161"/>
      <c r="BU24" s="161"/>
      <c r="BV24" s="161"/>
      <c r="BW24" s="161"/>
      <c r="BX24" s="161"/>
      <c r="BY24" s="161"/>
      <c r="BZ24" s="161"/>
      <c r="CA24" s="161"/>
      <c r="CB24" s="161"/>
      <c r="CC24" s="161"/>
      <c r="CD24" s="161"/>
      <c r="CE24" s="161"/>
      <c r="CF24" s="161"/>
      <c r="CG24" s="161"/>
      <c r="CH24" s="161"/>
      <c r="CI24" s="161"/>
      <c r="CJ24" s="161"/>
      <c r="CK24" s="161"/>
      <c r="CL24" s="161"/>
      <c r="CM24" s="161"/>
      <c r="CN24" s="161"/>
      <c r="CO24" s="161"/>
      <c r="CP24" s="161"/>
      <c r="CQ24" s="161"/>
      <c r="CR24" s="161"/>
      <c r="CS24" s="129"/>
      <c r="CT24" s="161"/>
      <c r="CU24" s="129"/>
      <c r="CV24" s="161"/>
      <c r="CW24" s="161"/>
      <c r="CX24" s="155">
        <v>1.0</v>
      </c>
      <c r="CY24" s="161"/>
      <c r="CZ24" s="161"/>
      <c r="DA24" s="161"/>
      <c r="DB24" s="161"/>
      <c r="DC24" s="161"/>
      <c r="DD24" s="161"/>
      <c r="DE24" s="162"/>
      <c r="DF24" s="162"/>
      <c r="DG24" s="162"/>
      <c r="DH24" s="162"/>
      <c r="DI24" s="162"/>
      <c r="DJ24" s="162"/>
      <c r="DK24" s="162"/>
      <c r="DL24" s="161"/>
      <c r="DM24" s="161"/>
      <c r="DN24" s="162"/>
      <c r="DO24" s="161"/>
      <c r="DP24" s="161"/>
      <c r="DQ24" s="161"/>
      <c r="DR24" s="162"/>
      <c r="DS24" s="161"/>
      <c r="DT24" s="161"/>
      <c r="DU24" s="162"/>
      <c r="DV24" s="162"/>
      <c r="DW24" s="161"/>
      <c r="DX24" s="161"/>
      <c r="DY24" s="162"/>
      <c r="DZ24" s="162"/>
      <c r="EA24" s="161"/>
      <c r="EB24" s="162"/>
      <c r="EC24" s="161"/>
      <c r="ED24" s="162"/>
      <c r="EE24" s="162"/>
      <c r="EF24" s="161"/>
      <c r="EG24" s="161"/>
      <c r="EH24" s="161"/>
      <c r="EI24" s="161"/>
      <c r="EJ24" s="161"/>
      <c r="EK24" s="161"/>
      <c r="EL24" s="162"/>
      <c r="EM24" s="161"/>
      <c r="EN24" s="161"/>
      <c r="EO24" s="161"/>
      <c r="EP24" s="161"/>
      <c r="EQ24" s="161"/>
      <c r="ER24" s="161"/>
      <c r="ES24" s="161"/>
      <c r="ET24" s="162"/>
      <c r="EU24" s="161"/>
      <c r="EV24" s="161"/>
      <c r="EW24" s="161"/>
      <c r="EX24" s="161"/>
      <c r="EY24" s="161"/>
      <c r="EZ24" s="161"/>
      <c r="FA24" s="161"/>
      <c r="FB24" s="161"/>
      <c r="FC24" s="161"/>
      <c r="FD24" s="161"/>
      <c r="FE24" s="161"/>
      <c r="FF24" s="161"/>
      <c r="FG24" s="161"/>
      <c r="FH24" s="161"/>
      <c r="FI24" s="161"/>
      <c r="FJ24" s="161"/>
      <c r="FK24" s="161"/>
      <c r="FL24" s="161"/>
      <c r="FM24" s="161"/>
      <c r="FN24" s="161"/>
      <c r="FO24" s="161"/>
      <c r="FP24" s="161"/>
      <c r="FQ24" s="161"/>
      <c r="FR24" s="161"/>
      <c r="FS24" s="161"/>
      <c r="FT24" s="161"/>
      <c r="FU24" s="161"/>
      <c r="FV24" s="161"/>
      <c r="FW24" s="161"/>
      <c r="FX24" s="161"/>
      <c r="FY24" s="161"/>
      <c r="FZ24" s="161"/>
      <c r="GA24" s="161"/>
      <c r="GB24" s="161"/>
      <c r="GC24" s="161"/>
      <c r="GD24" s="161"/>
      <c r="GE24" s="161"/>
      <c r="GF24" s="161"/>
      <c r="GG24" s="161"/>
      <c r="GH24" s="161"/>
      <c r="GI24" s="161"/>
      <c r="GJ24" s="161"/>
      <c r="GK24" s="161"/>
      <c r="GL24" s="161"/>
      <c r="GM24" s="161"/>
      <c r="GN24" s="161"/>
      <c r="GO24" s="161"/>
      <c r="GP24" s="161"/>
      <c r="GQ24" s="161"/>
      <c r="GR24" s="161"/>
      <c r="GS24" s="161"/>
      <c r="GT24" s="161"/>
      <c r="GU24" s="161"/>
      <c r="GV24" s="161"/>
      <c r="GW24" s="161"/>
      <c r="GX24" s="161"/>
      <c r="GY24" s="161"/>
      <c r="GZ24" s="161"/>
      <c r="HA24" s="161"/>
      <c r="HB24" s="161"/>
      <c r="HC24" s="161"/>
      <c r="HD24" s="162"/>
      <c r="HE24" s="161"/>
      <c r="HF24" s="162"/>
      <c r="HG24" s="161"/>
      <c r="HH24" s="161"/>
      <c r="HI24" s="161"/>
      <c r="HJ24" s="161"/>
      <c r="HK24" s="161"/>
      <c r="HL24" s="161"/>
      <c r="HM24" s="161"/>
      <c r="HN24" s="161"/>
      <c r="HO24" s="161"/>
      <c r="HP24" s="161"/>
      <c r="HQ24" s="161"/>
      <c r="HR24" s="161"/>
      <c r="HS24" s="161"/>
      <c r="HT24" s="161"/>
      <c r="HU24" s="161"/>
      <c r="HV24" s="161"/>
      <c r="HW24" s="161"/>
      <c r="HX24" s="161"/>
      <c r="HY24" s="161"/>
      <c r="HZ24" s="161"/>
      <c r="IA24" s="161"/>
      <c r="IB24" s="161"/>
      <c r="IC24" s="161"/>
      <c r="ID24" s="161"/>
      <c r="IE24" s="155">
        <v>1.0</v>
      </c>
      <c r="IF24" s="161"/>
      <c r="IG24" s="161"/>
      <c r="IH24" s="161"/>
      <c r="II24" s="161"/>
      <c r="IJ24" s="161"/>
      <c r="IK24" s="161"/>
      <c r="IL24" s="161"/>
      <c r="IM24" s="161"/>
      <c r="IN24" s="161"/>
      <c r="IO24" s="161"/>
      <c r="IP24" s="161"/>
      <c r="IQ24" s="161"/>
      <c r="IR24" s="161"/>
      <c r="IS24" s="161"/>
      <c r="IT24" s="161"/>
      <c r="IU24" s="161"/>
      <c r="IV24" s="161"/>
      <c r="IW24" s="161"/>
      <c r="IX24" s="161"/>
      <c r="IY24" s="161"/>
      <c r="IZ24" s="161"/>
      <c r="JA24" s="161"/>
      <c r="JB24" s="161"/>
      <c r="JC24" s="161"/>
      <c r="JD24" s="161"/>
      <c r="JE24" s="161"/>
      <c r="JF24" s="161"/>
      <c r="JG24" s="161"/>
      <c r="JH24" s="161"/>
      <c r="JI24" s="161"/>
      <c r="JJ24" s="161"/>
      <c r="JK24" s="161"/>
      <c r="JL24" s="161"/>
      <c r="JM24" s="161"/>
      <c r="JN24" s="161"/>
      <c r="JO24" s="161"/>
      <c r="JP24" s="161"/>
      <c r="JQ24" s="161"/>
      <c r="JR24" s="161"/>
      <c r="JS24" s="155">
        <v>1.0</v>
      </c>
      <c r="JT24" s="161"/>
      <c r="JU24" s="161"/>
      <c r="JV24" s="161"/>
      <c r="JW24" s="161"/>
      <c r="JX24" s="161"/>
      <c r="JY24" s="161"/>
      <c r="JZ24" s="161"/>
      <c r="KA24" s="161"/>
      <c r="KB24" s="161"/>
      <c r="KC24" s="161"/>
      <c r="KD24" s="161"/>
      <c r="KE24" s="161"/>
      <c r="KF24" s="161"/>
      <c r="KG24" s="161"/>
      <c r="KH24" s="161"/>
      <c r="KI24" s="161"/>
      <c r="KJ24" s="161"/>
      <c r="KK24" s="161"/>
      <c r="KL24" s="161"/>
      <c r="KM24" s="161"/>
      <c r="KN24" s="161"/>
      <c r="KO24" s="161"/>
      <c r="KP24" s="161"/>
      <c r="KQ24" s="161"/>
      <c r="KR24" s="162"/>
      <c r="KS24" s="161"/>
      <c r="KT24" s="161"/>
      <c r="KU24" s="161"/>
      <c r="KV24" s="161"/>
      <c r="KW24" s="161"/>
      <c r="KX24" s="129"/>
    </row>
    <row r="25">
      <c r="A25" s="158">
        <v>26.0</v>
      </c>
      <c r="B25" s="158">
        <f t="shared" si="1"/>
        <v>12</v>
      </c>
      <c r="C25" s="158" t="s">
        <v>2342</v>
      </c>
      <c r="D25" s="164" t="s">
        <v>2493</v>
      </c>
      <c r="E25" s="164" t="s">
        <v>2494</v>
      </c>
      <c r="F25" s="159" t="s">
        <v>2495</v>
      </c>
      <c r="G25" s="159" t="s">
        <v>2474</v>
      </c>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2"/>
      <c r="AK25" s="161"/>
      <c r="AL25" s="161"/>
      <c r="AM25" s="161"/>
      <c r="AN25" s="161"/>
      <c r="AO25" s="161"/>
      <c r="AP25" s="161"/>
      <c r="AQ25" s="161"/>
      <c r="AR25" s="161"/>
      <c r="AS25" s="161"/>
      <c r="AT25" s="161"/>
      <c r="AU25" s="155">
        <v>1.0</v>
      </c>
      <c r="AV25" s="161"/>
      <c r="AW25" s="162"/>
      <c r="AX25" s="162"/>
      <c r="AY25" s="161"/>
      <c r="AZ25" s="161"/>
      <c r="BA25" s="161"/>
      <c r="BB25" s="161"/>
      <c r="BC25" s="155">
        <v>1.0</v>
      </c>
      <c r="BD25" s="161"/>
      <c r="BE25" s="161"/>
      <c r="BF25" s="161"/>
      <c r="BG25" s="161"/>
      <c r="BH25" s="161"/>
      <c r="BI25" s="161"/>
      <c r="BJ25" s="161"/>
      <c r="BK25" s="161"/>
      <c r="BL25" s="161"/>
      <c r="BM25" s="161"/>
      <c r="BN25" s="161"/>
      <c r="BO25" s="161"/>
      <c r="BP25" s="161"/>
      <c r="BQ25" s="155">
        <v>1.0</v>
      </c>
      <c r="BR25" s="161"/>
      <c r="BS25" s="161"/>
      <c r="BT25" s="161"/>
      <c r="BU25" s="161"/>
      <c r="BV25" s="161"/>
      <c r="BW25" s="161"/>
      <c r="BX25" s="161"/>
      <c r="BY25" s="161"/>
      <c r="BZ25" s="161"/>
      <c r="CA25" s="161"/>
      <c r="CB25" s="161"/>
      <c r="CC25" s="161"/>
      <c r="CD25" s="155">
        <v>1.0</v>
      </c>
      <c r="CE25" s="161"/>
      <c r="CF25" s="161"/>
      <c r="CG25" s="161"/>
      <c r="CH25" s="161"/>
      <c r="CI25" s="161"/>
      <c r="CJ25" s="161"/>
      <c r="CK25" s="161"/>
      <c r="CL25" s="161"/>
      <c r="CM25" s="161"/>
      <c r="CN25" s="161"/>
      <c r="CO25" s="161"/>
      <c r="CP25" s="161"/>
      <c r="CQ25" s="161"/>
      <c r="CR25" s="161"/>
      <c r="CS25" s="129"/>
      <c r="CT25" s="161"/>
      <c r="CU25" s="129"/>
      <c r="CV25" s="161"/>
      <c r="CW25" s="161"/>
      <c r="CX25" s="161"/>
      <c r="CY25" s="161"/>
      <c r="CZ25" s="161"/>
      <c r="DA25" s="161"/>
      <c r="DB25" s="161"/>
      <c r="DC25" s="155">
        <v>1.0</v>
      </c>
      <c r="DD25" s="161"/>
      <c r="DE25" s="162"/>
      <c r="DF25" s="162"/>
      <c r="DG25" s="162"/>
      <c r="DH25" s="162"/>
      <c r="DI25" s="162"/>
      <c r="DJ25" s="162"/>
      <c r="DK25" s="162"/>
      <c r="DL25" s="161"/>
      <c r="DM25" s="161"/>
      <c r="DN25" s="162"/>
      <c r="DO25" s="161"/>
      <c r="DP25" s="161"/>
      <c r="DQ25" s="161"/>
      <c r="DR25" s="162"/>
      <c r="DS25" s="161"/>
      <c r="DT25" s="161"/>
      <c r="DU25" s="162"/>
      <c r="DV25" s="162"/>
      <c r="DW25" s="161"/>
      <c r="DX25" s="161"/>
      <c r="DY25" s="162"/>
      <c r="DZ25" s="162"/>
      <c r="EA25" s="161"/>
      <c r="EB25" s="162"/>
      <c r="EC25" s="161"/>
      <c r="ED25" s="162"/>
      <c r="EE25" s="162"/>
      <c r="EF25" s="161"/>
      <c r="EG25" s="161"/>
      <c r="EH25" s="161"/>
      <c r="EI25" s="161"/>
      <c r="EJ25" s="161"/>
      <c r="EK25" s="161"/>
      <c r="EL25" s="162"/>
      <c r="EM25" s="161"/>
      <c r="EN25" s="161"/>
      <c r="EO25" s="161"/>
      <c r="EP25" s="161"/>
      <c r="EQ25" s="161"/>
      <c r="ER25" s="161"/>
      <c r="ES25" s="161"/>
      <c r="ET25" s="162"/>
      <c r="EU25" s="161"/>
      <c r="EV25" s="161"/>
      <c r="EW25" s="161"/>
      <c r="EX25" s="161"/>
      <c r="EY25" s="161"/>
      <c r="EZ25" s="161"/>
      <c r="FA25" s="161"/>
      <c r="FB25" s="161"/>
      <c r="FC25" s="161"/>
      <c r="FD25" s="161"/>
      <c r="FE25" s="161"/>
      <c r="FF25" s="161"/>
      <c r="FG25" s="161"/>
      <c r="FH25" s="161"/>
      <c r="FI25" s="161"/>
      <c r="FJ25" s="161"/>
      <c r="FK25" s="161"/>
      <c r="FL25" s="161"/>
      <c r="FM25" s="161"/>
      <c r="FN25" s="161"/>
      <c r="FO25" s="161"/>
      <c r="FP25" s="161"/>
      <c r="FQ25" s="161"/>
      <c r="FR25" s="161"/>
      <c r="FS25" s="161"/>
      <c r="FT25" s="161"/>
      <c r="FU25" s="161"/>
      <c r="FV25" s="161"/>
      <c r="FW25" s="161"/>
      <c r="FX25" s="155">
        <v>1.0</v>
      </c>
      <c r="FY25" s="161"/>
      <c r="FZ25" s="161"/>
      <c r="GA25" s="155">
        <v>1.0</v>
      </c>
      <c r="GB25" s="161"/>
      <c r="GC25" s="161"/>
      <c r="GD25" s="161"/>
      <c r="GE25" s="161"/>
      <c r="GF25" s="161"/>
      <c r="GG25" s="161"/>
      <c r="GH25" s="161"/>
      <c r="GI25" s="161"/>
      <c r="GJ25" s="161"/>
      <c r="GK25" s="161"/>
      <c r="GL25" s="161"/>
      <c r="GM25" s="161"/>
      <c r="GN25" s="161"/>
      <c r="GO25" s="161"/>
      <c r="GP25" s="161"/>
      <c r="GQ25" s="161"/>
      <c r="GR25" s="161"/>
      <c r="GS25" s="161"/>
      <c r="GT25" s="161"/>
      <c r="GU25" s="161"/>
      <c r="GV25" s="161"/>
      <c r="GW25" s="161"/>
      <c r="GX25" s="161"/>
      <c r="GY25" s="155">
        <v>1.0</v>
      </c>
      <c r="GZ25" s="161"/>
      <c r="HA25" s="161"/>
      <c r="HB25" s="161"/>
      <c r="HC25" s="161"/>
      <c r="HD25" s="162"/>
      <c r="HE25" s="161"/>
      <c r="HF25" s="162"/>
      <c r="HG25" s="161"/>
      <c r="HH25" s="161"/>
      <c r="HI25" s="161"/>
      <c r="HJ25" s="161"/>
      <c r="HK25" s="161"/>
      <c r="HL25" s="161"/>
      <c r="HM25" s="161"/>
      <c r="HN25" s="161"/>
      <c r="HO25" s="161"/>
      <c r="HP25" s="161"/>
      <c r="HQ25" s="161"/>
      <c r="HR25" s="161"/>
      <c r="HS25" s="161"/>
      <c r="HT25" s="161"/>
      <c r="HU25" s="161"/>
      <c r="HV25" s="161"/>
      <c r="HW25" s="161"/>
      <c r="HX25" s="161"/>
      <c r="HY25" s="155">
        <v>1.0</v>
      </c>
      <c r="HZ25" s="161"/>
      <c r="IA25" s="161"/>
      <c r="IB25" s="161"/>
      <c r="IC25" s="161"/>
      <c r="ID25" s="161"/>
      <c r="IE25" s="161"/>
      <c r="IF25" s="161"/>
      <c r="IG25" s="161"/>
      <c r="IH25" s="161"/>
      <c r="II25" s="161"/>
      <c r="IJ25" s="161"/>
      <c r="IK25" s="161"/>
      <c r="IL25" s="161"/>
      <c r="IM25" s="161"/>
      <c r="IN25" s="161"/>
      <c r="IO25" s="161"/>
      <c r="IP25" s="161"/>
      <c r="IQ25" s="161"/>
      <c r="IR25" s="155">
        <v>1.0</v>
      </c>
      <c r="IS25" s="161"/>
      <c r="IT25" s="161"/>
      <c r="IU25" s="161"/>
      <c r="IV25" s="161"/>
      <c r="IW25" s="161"/>
      <c r="IX25" s="161"/>
      <c r="IY25" s="161"/>
      <c r="IZ25" s="161"/>
      <c r="JA25" s="155">
        <v>1.0</v>
      </c>
      <c r="JB25" s="161"/>
      <c r="JC25" s="161"/>
      <c r="JD25" s="161"/>
      <c r="JE25" s="161"/>
      <c r="JF25" s="161"/>
      <c r="JG25" s="161"/>
      <c r="JH25" s="161"/>
      <c r="JI25" s="161"/>
      <c r="JJ25" s="161"/>
      <c r="JK25" s="161"/>
      <c r="JL25" s="161"/>
      <c r="JM25" s="161"/>
      <c r="JN25" s="161"/>
      <c r="JO25" s="161"/>
      <c r="JP25" s="161"/>
      <c r="JQ25" s="161"/>
      <c r="JR25" s="161"/>
      <c r="JS25" s="161"/>
      <c r="JT25" s="161"/>
      <c r="JU25" s="155">
        <v>1.0</v>
      </c>
      <c r="JV25" s="161"/>
      <c r="JW25" s="161"/>
      <c r="JX25" s="161"/>
      <c r="JY25" s="161"/>
      <c r="JZ25" s="161"/>
      <c r="KA25" s="161"/>
      <c r="KB25" s="161"/>
      <c r="KC25" s="161"/>
      <c r="KD25" s="161"/>
      <c r="KE25" s="161"/>
      <c r="KF25" s="161"/>
      <c r="KG25" s="161"/>
      <c r="KH25" s="161"/>
      <c r="KI25" s="161"/>
      <c r="KJ25" s="161"/>
      <c r="KK25" s="161"/>
      <c r="KL25" s="161"/>
      <c r="KM25" s="161"/>
      <c r="KN25" s="161"/>
      <c r="KO25" s="161"/>
      <c r="KP25" s="161"/>
      <c r="KQ25" s="161"/>
      <c r="KR25" s="162"/>
      <c r="KS25" s="161"/>
      <c r="KT25" s="161"/>
      <c r="KU25" s="161"/>
      <c r="KV25" s="161"/>
      <c r="KW25" s="161"/>
      <c r="KX25" s="129"/>
    </row>
    <row r="26">
      <c r="A26" s="158">
        <v>27.0</v>
      </c>
      <c r="B26" s="158">
        <f t="shared" si="1"/>
        <v>17</v>
      </c>
      <c r="C26" s="158" t="s">
        <v>2342</v>
      </c>
      <c r="D26" s="159" t="s">
        <v>2501</v>
      </c>
      <c r="E26" s="160"/>
      <c r="F26" s="159" t="s">
        <v>2502</v>
      </c>
      <c r="G26" s="164" t="s">
        <v>1088</v>
      </c>
      <c r="H26" s="161"/>
      <c r="I26" s="161"/>
      <c r="J26" s="161"/>
      <c r="K26" s="161"/>
      <c r="L26" s="161"/>
      <c r="M26" s="161"/>
      <c r="N26" s="161"/>
      <c r="O26" s="161"/>
      <c r="P26" s="161"/>
      <c r="Q26" s="155">
        <v>1.0</v>
      </c>
      <c r="R26" s="161"/>
      <c r="S26" s="161"/>
      <c r="T26" s="155">
        <v>1.0</v>
      </c>
      <c r="U26" s="161"/>
      <c r="V26" s="161"/>
      <c r="W26" s="161"/>
      <c r="X26" s="161"/>
      <c r="Y26" s="161"/>
      <c r="Z26" s="161"/>
      <c r="AA26" s="161"/>
      <c r="AB26" s="161"/>
      <c r="AC26" s="161"/>
      <c r="AD26" s="161"/>
      <c r="AE26" s="161"/>
      <c r="AF26" s="161"/>
      <c r="AG26" s="161"/>
      <c r="AH26" s="161"/>
      <c r="AI26" s="161"/>
      <c r="AJ26" s="162"/>
      <c r="AK26" s="161"/>
      <c r="AL26" s="161"/>
      <c r="AM26" s="155">
        <v>1.0</v>
      </c>
      <c r="AN26" s="161"/>
      <c r="AO26" s="155">
        <v>1.0</v>
      </c>
      <c r="AP26" s="161"/>
      <c r="AQ26" s="161"/>
      <c r="AR26" s="161"/>
      <c r="AS26" s="161"/>
      <c r="AT26" s="161"/>
      <c r="AU26" s="161"/>
      <c r="AV26" s="155">
        <v>1.0</v>
      </c>
      <c r="AW26" s="162"/>
      <c r="AX26" s="162"/>
      <c r="AY26" s="161"/>
      <c r="AZ26" s="161"/>
      <c r="BA26" s="161"/>
      <c r="BB26" s="161"/>
      <c r="BC26" s="161"/>
      <c r="BD26" s="161"/>
      <c r="BE26" s="161"/>
      <c r="BF26" s="161"/>
      <c r="BG26" s="161"/>
      <c r="BH26" s="161"/>
      <c r="BI26" s="161"/>
      <c r="BJ26" s="161"/>
      <c r="BK26" s="161"/>
      <c r="BL26" s="161"/>
      <c r="BM26" s="161"/>
      <c r="BN26" s="161"/>
      <c r="BO26" s="161"/>
      <c r="BP26" s="155">
        <v>1.0</v>
      </c>
      <c r="BQ26" s="161"/>
      <c r="BR26" s="155">
        <v>1.0</v>
      </c>
      <c r="BS26" s="161"/>
      <c r="BT26" s="161"/>
      <c r="BU26" s="161"/>
      <c r="BV26" s="161"/>
      <c r="BW26" s="161"/>
      <c r="BX26" s="161"/>
      <c r="BY26" s="161"/>
      <c r="BZ26" s="161"/>
      <c r="CA26" s="161"/>
      <c r="CB26" s="161"/>
      <c r="CC26" s="161"/>
      <c r="CD26" s="161"/>
      <c r="CE26" s="161"/>
      <c r="CF26" s="161"/>
      <c r="CG26" s="161"/>
      <c r="CH26" s="161"/>
      <c r="CI26" s="161"/>
      <c r="CJ26" s="161"/>
      <c r="CK26" s="161"/>
      <c r="CL26" s="161"/>
      <c r="CM26" s="161"/>
      <c r="CN26" s="161"/>
      <c r="CO26" s="161"/>
      <c r="CP26" s="161"/>
      <c r="CQ26" s="161"/>
      <c r="CR26" s="161"/>
      <c r="CS26" s="129"/>
      <c r="CT26" s="161"/>
      <c r="CU26" s="129"/>
      <c r="CV26" s="161"/>
      <c r="CW26" s="161"/>
      <c r="CX26" s="161"/>
      <c r="CY26" s="161"/>
      <c r="CZ26" s="161"/>
      <c r="DA26" s="161"/>
      <c r="DB26" s="161"/>
      <c r="DC26" s="161"/>
      <c r="DD26" s="161"/>
      <c r="DE26" s="162"/>
      <c r="DF26" s="162"/>
      <c r="DG26" s="162"/>
      <c r="DH26" s="162"/>
      <c r="DI26" s="162"/>
      <c r="DJ26" s="162"/>
      <c r="DK26" s="162"/>
      <c r="DL26" s="161"/>
      <c r="DM26" s="161"/>
      <c r="DN26" s="162"/>
      <c r="DO26" s="161"/>
      <c r="DP26" s="161"/>
      <c r="DQ26" s="161"/>
      <c r="DR26" s="162"/>
      <c r="DS26" s="161"/>
      <c r="DT26" s="161"/>
      <c r="DU26" s="162"/>
      <c r="DV26" s="162"/>
      <c r="DW26" s="155">
        <v>1.0</v>
      </c>
      <c r="DX26" s="161"/>
      <c r="DY26" s="162"/>
      <c r="DZ26" s="162"/>
      <c r="EA26" s="155">
        <v>1.0</v>
      </c>
      <c r="EB26" s="162"/>
      <c r="EC26" s="161"/>
      <c r="ED26" s="162"/>
      <c r="EE26" s="162"/>
      <c r="EF26" s="161"/>
      <c r="EG26" s="161"/>
      <c r="EH26" s="161"/>
      <c r="EI26" s="161"/>
      <c r="EJ26" s="161"/>
      <c r="EK26" s="155">
        <v>1.0</v>
      </c>
      <c r="EL26" s="162"/>
      <c r="EM26" s="161"/>
      <c r="EN26" s="161"/>
      <c r="EO26" s="161"/>
      <c r="EP26" s="161"/>
      <c r="EQ26" s="161"/>
      <c r="ER26" s="161"/>
      <c r="ES26" s="161"/>
      <c r="ET26" s="162"/>
      <c r="EU26" s="161"/>
      <c r="EV26" s="161"/>
      <c r="EW26" s="161"/>
      <c r="EX26" s="161"/>
      <c r="EY26" s="161"/>
      <c r="EZ26" s="161"/>
      <c r="FA26" s="161"/>
      <c r="FB26" s="161"/>
      <c r="FC26" s="161"/>
      <c r="FD26" s="161"/>
      <c r="FE26" s="161"/>
      <c r="FF26" s="161"/>
      <c r="FG26" s="161"/>
      <c r="FH26" s="161"/>
      <c r="FI26" s="161"/>
      <c r="FJ26" s="161"/>
      <c r="FK26" s="161"/>
      <c r="FL26" s="161"/>
      <c r="FM26" s="161"/>
      <c r="FN26" s="161"/>
      <c r="FO26" s="161"/>
      <c r="FP26" s="161"/>
      <c r="FQ26" s="161"/>
      <c r="FR26" s="161"/>
      <c r="FS26" s="161"/>
      <c r="FT26" s="161"/>
      <c r="FU26" s="161"/>
      <c r="FV26" s="161"/>
      <c r="FW26" s="161"/>
      <c r="FX26" s="161"/>
      <c r="FY26" s="161"/>
      <c r="FZ26" s="161"/>
      <c r="GA26" s="161"/>
      <c r="GB26" s="161"/>
      <c r="GC26" s="161"/>
      <c r="GD26" s="161"/>
      <c r="GE26" s="155">
        <v>1.0</v>
      </c>
      <c r="GF26" s="161"/>
      <c r="GG26" s="161"/>
      <c r="GH26" s="155">
        <v>1.0</v>
      </c>
      <c r="GI26" s="161"/>
      <c r="GJ26" s="161"/>
      <c r="GK26" s="161"/>
      <c r="GL26" s="161"/>
      <c r="GM26" s="161"/>
      <c r="GN26" s="161"/>
      <c r="GO26" s="161"/>
      <c r="GP26" s="161"/>
      <c r="GQ26" s="161"/>
      <c r="GR26" s="155">
        <v>1.0</v>
      </c>
      <c r="GS26" s="161"/>
      <c r="GT26" s="161"/>
      <c r="GU26" s="155">
        <v>1.0</v>
      </c>
      <c r="GV26" s="161"/>
      <c r="GW26" s="155">
        <v>1.0</v>
      </c>
      <c r="GX26" s="161"/>
      <c r="GY26" s="161"/>
      <c r="GZ26" s="161"/>
      <c r="HA26" s="161"/>
      <c r="HB26" s="161"/>
      <c r="HC26" s="161"/>
      <c r="HD26" s="162"/>
      <c r="HE26" s="161"/>
      <c r="HF26" s="162"/>
      <c r="HG26" s="161"/>
      <c r="HH26" s="155">
        <v>1.0</v>
      </c>
      <c r="HI26" s="161"/>
      <c r="HJ26" s="161"/>
      <c r="HK26" s="161"/>
      <c r="HL26" s="161"/>
      <c r="HM26" s="161"/>
      <c r="HN26" s="155"/>
      <c r="HO26" s="155">
        <v>1.0</v>
      </c>
      <c r="HP26" s="161"/>
      <c r="HQ26" s="161"/>
      <c r="HR26" s="161"/>
      <c r="HS26" s="161"/>
      <c r="HT26" s="161"/>
      <c r="HU26" s="161"/>
      <c r="HV26" s="161"/>
      <c r="HW26" s="161"/>
      <c r="HX26" s="161"/>
      <c r="HY26" s="161"/>
      <c r="HZ26" s="161"/>
      <c r="IA26" s="161"/>
      <c r="IB26" s="161"/>
      <c r="IC26" s="161"/>
      <c r="ID26" s="161"/>
      <c r="IE26" s="161"/>
      <c r="IF26" s="161"/>
      <c r="IG26" s="161"/>
      <c r="IH26" s="161"/>
      <c r="II26" s="161"/>
      <c r="IJ26" s="161"/>
      <c r="IK26" s="161"/>
      <c r="IL26" s="161"/>
      <c r="IM26" s="161"/>
      <c r="IN26" s="161"/>
      <c r="IO26" s="161"/>
      <c r="IP26" s="161"/>
      <c r="IQ26" s="161"/>
      <c r="IR26" s="161"/>
      <c r="IS26" s="161"/>
      <c r="IT26" s="161"/>
      <c r="IU26" s="161"/>
      <c r="IV26" s="161"/>
      <c r="IW26" s="161"/>
      <c r="IX26" s="161"/>
      <c r="IY26" s="161"/>
      <c r="IZ26" s="161"/>
      <c r="JA26" s="161"/>
      <c r="JB26" s="161"/>
      <c r="JC26" s="161"/>
      <c r="JD26" s="161"/>
      <c r="JE26" s="161"/>
      <c r="JF26" s="161"/>
      <c r="JG26" s="161"/>
      <c r="JH26" s="161"/>
      <c r="JI26" s="161"/>
      <c r="JJ26" s="161"/>
      <c r="JK26" s="161"/>
      <c r="JL26" s="161"/>
      <c r="JM26" s="161"/>
      <c r="JN26" s="161"/>
      <c r="JO26" s="161"/>
      <c r="JP26" s="161"/>
      <c r="JQ26" s="161"/>
      <c r="JR26" s="161"/>
      <c r="JS26" s="161"/>
      <c r="JT26" s="161"/>
      <c r="JU26" s="161"/>
      <c r="JV26" s="161"/>
      <c r="JW26" s="161"/>
      <c r="JX26" s="161"/>
      <c r="JY26" s="161"/>
      <c r="JZ26" s="161"/>
      <c r="KA26" s="161"/>
      <c r="KB26" s="161"/>
      <c r="KC26" s="161"/>
      <c r="KD26" s="161"/>
      <c r="KE26" s="161"/>
      <c r="KF26" s="161"/>
      <c r="KG26" s="161"/>
      <c r="KH26" s="161"/>
      <c r="KI26" s="161"/>
      <c r="KJ26" s="161"/>
      <c r="KK26" s="161"/>
      <c r="KL26" s="161"/>
      <c r="KM26" s="161"/>
      <c r="KN26" s="161"/>
      <c r="KO26" s="161"/>
      <c r="KP26" s="161"/>
      <c r="KQ26" s="161"/>
      <c r="KR26" s="162"/>
      <c r="KS26" s="161"/>
      <c r="KT26" s="161"/>
      <c r="KU26" s="161"/>
      <c r="KV26" s="161"/>
      <c r="KW26" s="161"/>
      <c r="KX26" s="129"/>
    </row>
    <row r="27">
      <c r="A27" s="158">
        <v>28.0</v>
      </c>
      <c r="B27" s="158">
        <f t="shared" si="1"/>
        <v>19</v>
      </c>
      <c r="C27" s="158" t="s">
        <v>2332</v>
      </c>
      <c r="D27" s="159" t="s">
        <v>2507</v>
      </c>
      <c r="E27" s="160"/>
      <c r="F27" s="159" t="s">
        <v>2508</v>
      </c>
      <c r="G27" s="164" t="s">
        <v>2509</v>
      </c>
      <c r="H27" s="161"/>
      <c r="I27" s="161"/>
      <c r="J27" s="161"/>
      <c r="K27" s="155">
        <v>1.0</v>
      </c>
      <c r="L27" s="161"/>
      <c r="M27" s="161"/>
      <c r="N27" s="161"/>
      <c r="O27" s="161"/>
      <c r="P27" s="161"/>
      <c r="Q27" s="161"/>
      <c r="R27" s="161"/>
      <c r="S27" s="161"/>
      <c r="T27" s="161"/>
      <c r="U27" s="161"/>
      <c r="V27" s="161"/>
      <c r="W27" s="161"/>
      <c r="X27" s="161"/>
      <c r="Y27" s="161"/>
      <c r="Z27" s="161"/>
      <c r="AA27" s="161"/>
      <c r="AB27" s="161"/>
      <c r="AC27" s="155">
        <v>1.0</v>
      </c>
      <c r="AD27" s="161"/>
      <c r="AE27" s="161"/>
      <c r="AF27" s="161"/>
      <c r="AG27" s="161"/>
      <c r="AH27" s="155">
        <v>1.0</v>
      </c>
      <c r="AI27" s="161"/>
      <c r="AJ27" s="162"/>
      <c r="AK27" s="161"/>
      <c r="AL27" s="161"/>
      <c r="AM27" s="161"/>
      <c r="AN27" s="161"/>
      <c r="AO27" s="161"/>
      <c r="AP27" s="161"/>
      <c r="AQ27" s="161"/>
      <c r="AR27" s="161"/>
      <c r="AS27" s="161"/>
      <c r="AT27" s="161"/>
      <c r="AU27" s="161"/>
      <c r="AV27" s="161"/>
      <c r="AW27" s="162"/>
      <c r="AX27" s="162"/>
      <c r="AY27" s="161"/>
      <c r="AZ27" s="161"/>
      <c r="BA27" s="161"/>
      <c r="BB27" s="161"/>
      <c r="BC27" s="161"/>
      <c r="BD27" s="155">
        <v>1.0</v>
      </c>
      <c r="BE27" s="161"/>
      <c r="BF27" s="161"/>
      <c r="BG27" s="161"/>
      <c r="BH27" s="161"/>
      <c r="BI27" s="161"/>
      <c r="BJ27" s="161"/>
      <c r="BK27" s="161"/>
      <c r="BL27" s="161"/>
      <c r="BM27" s="161"/>
      <c r="BN27" s="161"/>
      <c r="BO27" s="161"/>
      <c r="BP27" s="161"/>
      <c r="BQ27" s="161"/>
      <c r="BR27" s="161"/>
      <c r="BS27" s="161"/>
      <c r="BT27" s="161"/>
      <c r="BU27" s="161"/>
      <c r="BV27" s="161"/>
      <c r="BW27" s="161"/>
      <c r="BX27" s="161"/>
      <c r="BY27" s="161"/>
      <c r="BZ27" s="161"/>
      <c r="CA27" s="161"/>
      <c r="CB27" s="161"/>
      <c r="CC27" s="161"/>
      <c r="CD27" s="161"/>
      <c r="CE27" s="161"/>
      <c r="CF27" s="161"/>
      <c r="CG27" s="161"/>
      <c r="CH27" s="161"/>
      <c r="CI27" s="161"/>
      <c r="CJ27" s="161"/>
      <c r="CK27" s="161"/>
      <c r="CL27" s="161"/>
      <c r="CM27" s="161"/>
      <c r="CN27" s="161"/>
      <c r="CO27" s="161"/>
      <c r="CP27" s="161"/>
      <c r="CQ27" s="161"/>
      <c r="CR27" s="161"/>
      <c r="CS27" s="129"/>
      <c r="CT27" s="161"/>
      <c r="CU27" s="129"/>
      <c r="CV27" s="161"/>
      <c r="CW27" s="161"/>
      <c r="CX27" s="161"/>
      <c r="CY27" s="161"/>
      <c r="CZ27" s="161"/>
      <c r="DA27" s="155">
        <v>1.0</v>
      </c>
      <c r="DB27" s="161"/>
      <c r="DC27" s="161"/>
      <c r="DD27" s="161"/>
      <c r="DE27" s="162"/>
      <c r="DF27" s="162"/>
      <c r="DG27" s="162"/>
      <c r="DH27" s="162"/>
      <c r="DI27" s="162"/>
      <c r="DJ27" s="162"/>
      <c r="DK27" s="162"/>
      <c r="DL27" s="161"/>
      <c r="DM27" s="155">
        <v>1.0</v>
      </c>
      <c r="DN27" s="162"/>
      <c r="DO27" s="161"/>
      <c r="DP27" s="155">
        <v>1.0</v>
      </c>
      <c r="DQ27" s="161"/>
      <c r="DR27" s="162"/>
      <c r="DS27" s="161"/>
      <c r="DT27" s="161"/>
      <c r="DU27" s="162"/>
      <c r="DV27" s="162"/>
      <c r="DW27" s="161"/>
      <c r="DX27" s="161"/>
      <c r="DY27" s="162"/>
      <c r="DZ27" s="162"/>
      <c r="EA27" s="161"/>
      <c r="EB27" s="162"/>
      <c r="EC27" s="161"/>
      <c r="ED27" s="162"/>
      <c r="EE27" s="162"/>
      <c r="EF27" s="161"/>
      <c r="EG27" s="161"/>
      <c r="EH27" s="161"/>
      <c r="EI27" s="161"/>
      <c r="EJ27" s="161"/>
      <c r="EK27" s="161"/>
      <c r="EL27" s="162"/>
      <c r="EM27" s="161"/>
      <c r="EN27" s="161"/>
      <c r="EO27" s="161"/>
      <c r="EP27" s="155">
        <v>1.0</v>
      </c>
      <c r="EQ27" s="161"/>
      <c r="ER27" s="161"/>
      <c r="ES27" s="161"/>
      <c r="ET27" s="162"/>
      <c r="EU27" s="161"/>
      <c r="EV27" s="155">
        <v>1.0</v>
      </c>
      <c r="EW27" s="161"/>
      <c r="EX27" s="161"/>
      <c r="EY27" s="161"/>
      <c r="EZ27" s="161"/>
      <c r="FA27" s="161"/>
      <c r="FB27" s="161"/>
      <c r="FC27" s="161"/>
      <c r="FD27" s="161"/>
      <c r="FE27" s="155">
        <v>1.0</v>
      </c>
      <c r="FF27" s="161"/>
      <c r="FG27" s="161"/>
      <c r="FH27" s="161"/>
      <c r="FI27" s="161"/>
      <c r="FJ27" s="161"/>
      <c r="FK27" s="161"/>
      <c r="FL27" s="161"/>
      <c r="FM27" s="161"/>
      <c r="FN27" s="161"/>
      <c r="FO27" s="161"/>
      <c r="FP27" s="161"/>
      <c r="FQ27" s="161"/>
      <c r="FR27" s="161"/>
      <c r="FS27" s="155">
        <v>1.0</v>
      </c>
      <c r="FT27" s="161"/>
      <c r="FU27" s="161"/>
      <c r="FV27" s="161"/>
      <c r="FW27" s="161"/>
      <c r="FX27" s="161"/>
      <c r="FY27" s="161"/>
      <c r="FZ27" s="161"/>
      <c r="GA27" s="161"/>
      <c r="GB27" s="161"/>
      <c r="GC27" s="161"/>
      <c r="GD27" s="161"/>
      <c r="GE27" s="161"/>
      <c r="GF27" s="161"/>
      <c r="GG27" s="161"/>
      <c r="GH27" s="161"/>
      <c r="GI27" s="161"/>
      <c r="GJ27" s="161"/>
      <c r="GK27" s="155">
        <v>1.0</v>
      </c>
      <c r="GL27" s="161"/>
      <c r="GM27" s="161"/>
      <c r="GN27" s="161"/>
      <c r="GO27" s="161"/>
      <c r="GP27" s="155">
        <v>1.0</v>
      </c>
      <c r="GQ27" s="161"/>
      <c r="GR27" s="161"/>
      <c r="GS27" s="161"/>
      <c r="GT27" s="161"/>
      <c r="GU27" s="161"/>
      <c r="GV27" s="161"/>
      <c r="GW27" s="161"/>
      <c r="GX27" s="161"/>
      <c r="GY27" s="161"/>
      <c r="GZ27" s="161"/>
      <c r="HA27" s="161"/>
      <c r="HB27" s="161"/>
      <c r="HC27" s="161"/>
      <c r="HD27" s="162"/>
      <c r="HE27" s="161"/>
      <c r="HF27" s="162"/>
      <c r="HG27" s="155">
        <v>1.0</v>
      </c>
      <c r="HH27" s="161"/>
      <c r="HI27" s="161"/>
      <c r="HJ27" s="161"/>
      <c r="HK27" s="161"/>
      <c r="HL27" s="161"/>
      <c r="HM27" s="161"/>
      <c r="HN27" s="161"/>
      <c r="HO27" s="161"/>
      <c r="HP27" s="161"/>
      <c r="HQ27" s="161"/>
      <c r="HR27" s="161"/>
      <c r="HS27" s="161"/>
      <c r="HT27" s="161"/>
      <c r="HU27" s="155">
        <v>1.0</v>
      </c>
      <c r="HV27" s="155">
        <v>1.0</v>
      </c>
      <c r="HW27" s="161"/>
      <c r="HX27" s="161"/>
      <c r="HY27" s="161"/>
      <c r="HZ27" s="161"/>
      <c r="IA27" s="161"/>
      <c r="IB27" s="161"/>
      <c r="IC27" s="161"/>
      <c r="ID27" s="161"/>
      <c r="IE27" s="161"/>
      <c r="IF27" s="161"/>
      <c r="IG27" s="161"/>
      <c r="IH27" s="161"/>
      <c r="II27" s="161"/>
      <c r="IJ27" s="161"/>
      <c r="IK27" s="161"/>
      <c r="IL27" s="161"/>
      <c r="IM27" s="161"/>
      <c r="IN27" s="161"/>
      <c r="IO27" s="161"/>
      <c r="IP27" s="161"/>
      <c r="IQ27" s="161"/>
      <c r="IR27" s="161"/>
      <c r="IS27" s="161"/>
      <c r="IT27" s="161"/>
      <c r="IU27" s="161"/>
      <c r="IV27" s="161"/>
      <c r="IW27" s="161"/>
      <c r="IX27" s="161"/>
      <c r="IY27" s="161"/>
      <c r="IZ27" s="161"/>
      <c r="JA27" s="161"/>
      <c r="JB27" s="161"/>
      <c r="JC27" s="161"/>
      <c r="JD27" s="161"/>
      <c r="JE27" s="161"/>
      <c r="JF27" s="161"/>
      <c r="JG27" s="161"/>
      <c r="JH27" s="161"/>
      <c r="JI27" s="161"/>
      <c r="JJ27" s="161"/>
      <c r="JK27" s="155">
        <v>1.0</v>
      </c>
      <c r="JL27" s="161"/>
      <c r="JM27" s="161"/>
      <c r="JN27" s="161"/>
      <c r="JO27" s="161"/>
      <c r="JP27" s="161"/>
      <c r="JQ27" s="161"/>
      <c r="JR27" s="161"/>
      <c r="JS27" s="161"/>
      <c r="JT27" s="161"/>
      <c r="JU27" s="161"/>
      <c r="JV27" s="161"/>
      <c r="JW27" s="161"/>
      <c r="JX27" s="161"/>
      <c r="JY27" s="161"/>
      <c r="JZ27" s="161"/>
      <c r="KA27" s="161"/>
      <c r="KB27" s="161"/>
      <c r="KC27" s="161"/>
      <c r="KD27" s="161"/>
      <c r="KE27" s="161"/>
      <c r="KF27" s="161"/>
      <c r="KG27" s="161"/>
      <c r="KH27" s="161"/>
      <c r="KI27" s="161"/>
      <c r="KJ27" s="161"/>
      <c r="KK27" s="161"/>
      <c r="KL27" s="161"/>
      <c r="KM27" s="161"/>
      <c r="KN27" s="155">
        <v>1.0</v>
      </c>
      <c r="KO27" s="161"/>
      <c r="KP27" s="155">
        <v>1.0</v>
      </c>
      <c r="KQ27" s="161"/>
      <c r="KR27" s="162"/>
      <c r="KS27" s="161"/>
      <c r="KT27" s="161"/>
      <c r="KU27" s="161"/>
      <c r="KV27" s="161"/>
      <c r="KW27" s="161"/>
      <c r="KX27" s="129"/>
    </row>
    <row r="28">
      <c r="A28" s="158">
        <v>29.0</v>
      </c>
      <c r="B28" s="158">
        <f t="shared" si="1"/>
        <v>10</v>
      </c>
      <c r="C28" s="158" t="s">
        <v>2342</v>
      </c>
      <c r="D28" s="159" t="s">
        <v>2431</v>
      </c>
      <c r="E28" s="160"/>
      <c r="F28" s="159" t="s">
        <v>2514</v>
      </c>
      <c r="G28" s="159" t="s">
        <v>2515</v>
      </c>
      <c r="H28" s="161"/>
      <c r="I28" s="161"/>
      <c r="J28" s="161"/>
      <c r="K28" s="161"/>
      <c r="L28" s="155">
        <v>1.0</v>
      </c>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2"/>
      <c r="AK28" s="161"/>
      <c r="AL28" s="161"/>
      <c r="AM28" s="161"/>
      <c r="AN28" s="161"/>
      <c r="AO28" s="161"/>
      <c r="AP28" s="161"/>
      <c r="AQ28" s="161"/>
      <c r="AR28" s="161"/>
      <c r="AS28" s="161"/>
      <c r="AT28" s="161"/>
      <c r="AU28" s="161"/>
      <c r="AV28" s="161"/>
      <c r="AW28" s="162"/>
      <c r="AX28" s="162"/>
      <c r="AY28" s="161"/>
      <c r="AZ28" s="161"/>
      <c r="BA28" s="161"/>
      <c r="BB28" s="161"/>
      <c r="BC28" s="161"/>
      <c r="BD28" s="161"/>
      <c r="BE28" s="161"/>
      <c r="BF28" s="161"/>
      <c r="BG28" s="161"/>
      <c r="BH28" s="155"/>
      <c r="BI28" s="161"/>
      <c r="BJ28" s="161"/>
      <c r="BK28" s="161"/>
      <c r="BL28" s="161"/>
      <c r="BM28" s="161"/>
      <c r="BN28" s="155"/>
      <c r="BO28" s="161"/>
      <c r="BP28" s="161"/>
      <c r="BQ28" s="161"/>
      <c r="BR28" s="161"/>
      <c r="BS28" s="161"/>
      <c r="BT28" s="161"/>
      <c r="BU28" s="161"/>
      <c r="BV28" s="161"/>
      <c r="BW28" s="161"/>
      <c r="BX28" s="161"/>
      <c r="BY28" s="161"/>
      <c r="BZ28" s="161"/>
      <c r="CA28" s="161"/>
      <c r="CB28" s="161"/>
      <c r="CC28" s="161"/>
      <c r="CD28" s="155"/>
      <c r="CE28" s="161"/>
      <c r="CF28" s="161"/>
      <c r="CG28" s="161"/>
      <c r="CH28" s="161"/>
      <c r="CI28" s="161"/>
      <c r="CJ28" s="161"/>
      <c r="CK28" s="161"/>
      <c r="CL28" s="161"/>
      <c r="CM28" s="161"/>
      <c r="CN28" s="161"/>
      <c r="CO28" s="161"/>
      <c r="CP28" s="161"/>
      <c r="CQ28" s="161"/>
      <c r="CR28" s="161"/>
      <c r="CS28" s="129"/>
      <c r="CT28" s="161"/>
      <c r="CU28" s="129"/>
      <c r="CV28" s="161"/>
      <c r="CW28" s="161"/>
      <c r="CX28" s="161"/>
      <c r="CY28" s="161"/>
      <c r="CZ28" s="161"/>
      <c r="DA28" s="161"/>
      <c r="DB28" s="161"/>
      <c r="DC28" s="161"/>
      <c r="DD28" s="161"/>
      <c r="DE28" s="162"/>
      <c r="DF28" s="162"/>
      <c r="DG28" s="162"/>
      <c r="DH28" s="162"/>
      <c r="DI28" s="162"/>
      <c r="DJ28" s="162"/>
      <c r="DK28" s="162"/>
      <c r="DL28" s="161"/>
      <c r="DM28" s="161"/>
      <c r="DN28" s="162"/>
      <c r="DO28" s="161"/>
      <c r="DP28" s="161"/>
      <c r="DQ28" s="161"/>
      <c r="DR28" s="162"/>
      <c r="DS28" s="161"/>
      <c r="DT28" s="161"/>
      <c r="DU28" s="162"/>
      <c r="DV28" s="162"/>
      <c r="DW28" s="161"/>
      <c r="DX28" s="155">
        <v>1.0</v>
      </c>
      <c r="DY28" s="162"/>
      <c r="DZ28" s="162"/>
      <c r="EA28" s="161"/>
      <c r="EB28" s="162"/>
      <c r="EC28" s="161"/>
      <c r="ED28" s="162"/>
      <c r="EE28" s="162"/>
      <c r="EF28" s="161"/>
      <c r="EG28" s="161"/>
      <c r="EH28" s="161"/>
      <c r="EI28" s="161"/>
      <c r="EJ28" s="161"/>
      <c r="EK28" s="161"/>
      <c r="EL28" s="162"/>
      <c r="EM28" s="161"/>
      <c r="EN28" s="161"/>
      <c r="EO28" s="161"/>
      <c r="EP28" s="161"/>
      <c r="EQ28" s="161"/>
      <c r="ER28" s="161"/>
      <c r="ES28" s="161"/>
      <c r="ET28" s="162"/>
      <c r="EU28" s="161"/>
      <c r="EV28" s="161"/>
      <c r="EW28" s="161"/>
      <c r="EX28" s="161"/>
      <c r="EY28" s="161"/>
      <c r="EZ28" s="161"/>
      <c r="FA28" s="161"/>
      <c r="FB28" s="161"/>
      <c r="FC28" s="161"/>
      <c r="FD28" s="161"/>
      <c r="FE28" s="161"/>
      <c r="FF28" s="161"/>
      <c r="FG28" s="161"/>
      <c r="FH28" s="161"/>
      <c r="FI28" s="161"/>
      <c r="FJ28" s="161"/>
      <c r="FK28" s="161"/>
      <c r="FL28" s="161"/>
      <c r="FM28" s="161"/>
      <c r="FN28" s="161"/>
      <c r="FO28" s="161"/>
      <c r="FP28" s="161"/>
      <c r="FQ28" s="161"/>
      <c r="FR28" s="161"/>
      <c r="FS28" s="161"/>
      <c r="FT28" s="161"/>
      <c r="FU28" s="161"/>
      <c r="FV28" s="161"/>
      <c r="FW28" s="161"/>
      <c r="FX28" s="161"/>
      <c r="FY28" s="161"/>
      <c r="FZ28" s="161"/>
      <c r="GA28" s="161"/>
      <c r="GB28" s="161"/>
      <c r="GC28" s="161"/>
      <c r="GD28" s="161"/>
      <c r="GE28" s="161"/>
      <c r="GF28" s="161"/>
      <c r="GG28" s="161"/>
      <c r="GH28" s="161"/>
      <c r="GI28" s="161"/>
      <c r="GJ28" s="161"/>
      <c r="GK28" s="161"/>
      <c r="GL28" s="161"/>
      <c r="GM28" s="155">
        <v>1.0</v>
      </c>
      <c r="GN28" s="161"/>
      <c r="GO28" s="161"/>
      <c r="GP28" s="161"/>
      <c r="GQ28" s="161"/>
      <c r="GR28" s="161"/>
      <c r="GS28" s="155">
        <v>1.0</v>
      </c>
      <c r="GT28" s="161"/>
      <c r="GU28" s="161"/>
      <c r="GV28" s="161"/>
      <c r="GW28" s="161"/>
      <c r="GX28" s="161"/>
      <c r="GY28" s="155">
        <v>1.0</v>
      </c>
      <c r="GZ28" s="161"/>
      <c r="HA28" s="161"/>
      <c r="HB28" s="161"/>
      <c r="HC28" s="161"/>
      <c r="HD28" s="162"/>
      <c r="HE28" s="161"/>
      <c r="HF28" s="162"/>
      <c r="HG28" s="161"/>
      <c r="HH28" s="161"/>
      <c r="HI28" s="161"/>
      <c r="HJ28" s="161"/>
      <c r="HK28" s="161"/>
      <c r="HL28" s="161"/>
      <c r="HM28" s="161"/>
      <c r="HN28" s="161"/>
      <c r="HO28" s="161"/>
      <c r="HP28" s="161"/>
      <c r="HQ28" s="155">
        <v>1.0</v>
      </c>
      <c r="HR28" s="161"/>
      <c r="HS28" s="161"/>
      <c r="HT28" s="161"/>
      <c r="HU28" s="161"/>
      <c r="HV28" s="161"/>
      <c r="HW28" s="161"/>
      <c r="HX28" s="161"/>
      <c r="HY28" s="161"/>
      <c r="HZ28" s="161"/>
      <c r="IA28" s="161"/>
      <c r="IB28" s="161"/>
      <c r="IC28" s="161"/>
      <c r="ID28" s="155">
        <v>1.0</v>
      </c>
      <c r="IE28" s="161"/>
      <c r="IF28" s="161"/>
      <c r="IG28" s="161"/>
      <c r="IH28" s="161"/>
      <c r="II28" s="161"/>
      <c r="IJ28" s="161"/>
      <c r="IK28" s="161"/>
      <c r="IL28" s="161"/>
      <c r="IM28" s="161"/>
      <c r="IN28" s="161"/>
      <c r="IO28" s="161"/>
      <c r="IP28" s="161"/>
      <c r="IQ28" s="161"/>
      <c r="IR28" s="161"/>
      <c r="IS28" s="161"/>
      <c r="IT28" s="161"/>
      <c r="IU28" s="161"/>
      <c r="IV28" s="161"/>
      <c r="IW28" s="161"/>
      <c r="IX28" s="155">
        <v>1.0</v>
      </c>
      <c r="IY28" s="161"/>
      <c r="IZ28" s="161"/>
      <c r="JA28" s="161"/>
      <c r="JB28" s="161"/>
      <c r="JC28" s="161"/>
      <c r="JD28" s="161"/>
      <c r="JE28" s="161"/>
      <c r="JF28" s="161"/>
      <c r="JG28" s="161"/>
      <c r="JH28" s="161"/>
      <c r="JI28" s="161"/>
      <c r="JJ28" s="161"/>
      <c r="JK28" s="161"/>
      <c r="JL28" s="161"/>
      <c r="JM28" s="161"/>
      <c r="JN28" s="161"/>
      <c r="JO28" s="161"/>
      <c r="JP28" s="155">
        <v>1.0</v>
      </c>
      <c r="JQ28" s="161"/>
      <c r="JR28" s="161"/>
      <c r="JS28" s="161"/>
      <c r="JT28" s="161"/>
      <c r="JU28" s="161"/>
      <c r="JV28" s="161"/>
      <c r="JW28" s="161"/>
      <c r="JX28" s="161"/>
      <c r="JY28" s="161"/>
      <c r="JZ28" s="161"/>
      <c r="KA28" s="161"/>
      <c r="KB28" s="161"/>
      <c r="KC28" s="161"/>
      <c r="KD28" s="161"/>
      <c r="KE28" s="161"/>
      <c r="KF28" s="161"/>
      <c r="KG28" s="161"/>
      <c r="KH28" s="161"/>
      <c r="KI28" s="161"/>
      <c r="KJ28" s="161"/>
      <c r="KK28" s="161"/>
      <c r="KL28" s="161"/>
      <c r="KM28" s="161"/>
      <c r="KN28" s="161"/>
      <c r="KO28" s="155">
        <v>1.0</v>
      </c>
      <c r="KP28" s="161"/>
      <c r="KQ28" s="161"/>
      <c r="KR28" s="162"/>
      <c r="KS28" s="161"/>
      <c r="KT28" s="161"/>
      <c r="KU28" s="161"/>
      <c r="KV28" s="161"/>
      <c r="KW28" s="161"/>
      <c r="KX28" s="129"/>
    </row>
    <row r="29">
      <c r="A29" s="158">
        <v>30.0</v>
      </c>
      <c r="B29" s="158">
        <f t="shared" si="1"/>
        <v>18</v>
      </c>
      <c r="C29" s="158" t="s">
        <v>2342</v>
      </c>
      <c r="D29" s="164" t="s">
        <v>2519</v>
      </c>
      <c r="E29" s="160"/>
      <c r="F29" s="163" t="s">
        <v>2520</v>
      </c>
      <c r="G29" s="159" t="s">
        <v>2474</v>
      </c>
      <c r="H29" s="155">
        <v>1.0</v>
      </c>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55">
        <v>1.0</v>
      </c>
      <c r="AH29" s="161"/>
      <c r="AI29" s="161"/>
      <c r="AJ29" s="162"/>
      <c r="AK29" s="161"/>
      <c r="AL29" s="161"/>
      <c r="AM29" s="161"/>
      <c r="AN29" s="161"/>
      <c r="AO29" s="161"/>
      <c r="AP29" s="161"/>
      <c r="AQ29" s="161"/>
      <c r="AR29" s="161"/>
      <c r="AS29" s="161"/>
      <c r="AT29" s="161"/>
      <c r="AU29" s="161"/>
      <c r="AV29" s="161"/>
      <c r="AW29" s="162"/>
      <c r="AX29" s="162"/>
      <c r="AY29" s="161"/>
      <c r="AZ29" s="161"/>
      <c r="BA29" s="155">
        <v>1.0</v>
      </c>
      <c r="BB29" s="161"/>
      <c r="BC29" s="161"/>
      <c r="BD29" s="161"/>
      <c r="BE29" s="161"/>
      <c r="BF29" s="161"/>
      <c r="BG29" s="161"/>
      <c r="BH29" s="161"/>
      <c r="BI29" s="161"/>
      <c r="BJ29" s="161"/>
      <c r="BK29" s="161"/>
      <c r="BL29" s="161"/>
      <c r="BM29" s="161"/>
      <c r="BN29" s="161"/>
      <c r="BO29" s="161"/>
      <c r="BP29" s="161"/>
      <c r="BQ29" s="161"/>
      <c r="BR29" s="161"/>
      <c r="BS29" s="161"/>
      <c r="BT29" s="161"/>
      <c r="BU29" s="161"/>
      <c r="BV29" s="161"/>
      <c r="BW29" s="161"/>
      <c r="BX29" s="161"/>
      <c r="BY29" s="161"/>
      <c r="BZ29" s="161"/>
      <c r="CA29" s="161"/>
      <c r="CB29" s="161"/>
      <c r="CC29" s="161"/>
      <c r="CD29" s="161"/>
      <c r="CE29" s="161"/>
      <c r="CF29" s="161"/>
      <c r="CG29" s="161"/>
      <c r="CH29" s="161"/>
      <c r="CI29" s="161"/>
      <c r="CJ29" s="161"/>
      <c r="CK29" s="161"/>
      <c r="CL29" s="161"/>
      <c r="CM29" s="161"/>
      <c r="CN29" s="155">
        <v>1.0</v>
      </c>
      <c r="CO29" s="161"/>
      <c r="CP29" s="161"/>
      <c r="CQ29" s="161"/>
      <c r="CR29" s="161"/>
      <c r="CS29" s="129"/>
      <c r="CT29" s="161"/>
      <c r="CU29" s="129"/>
      <c r="CV29" s="161"/>
      <c r="CW29" s="161"/>
      <c r="CX29" s="161"/>
      <c r="CY29" s="155">
        <v>1.0</v>
      </c>
      <c r="CZ29" s="161"/>
      <c r="DA29" s="161"/>
      <c r="DB29" s="161"/>
      <c r="DC29" s="161"/>
      <c r="DD29" s="161"/>
      <c r="DE29" s="162"/>
      <c r="DF29" s="162"/>
      <c r="DG29" s="162"/>
      <c r="DH29" s="162"/>
      <c r="DI29" s="162"/>
      <c r="DJ29" s="162"/>
      <c r="DK29" s="162"/>
      <c r="DL29" s="161"/>
      <c r="DM29" s="161"/>
      <c r="DN29" s="162"/>
      <c r="DO29" s="161"/>
      <c r="DP29" s="155">
        <v>1.0</v>
      </c>
      <c r="DQ29" s="161"/>
      <c r="DR29" s="162"/>
      <c r="DS29" s="161"/>
      <c r="DT29" s="161"/>
      <c r="DU29" s="162"/>
      <c r="DV29" s="162"/>
      <c r="DW29" s="161"/>
      <c r="DX29" s="161"/>
      <c r="DY29" s="162"/>
      <c r="DZ29" s="162"/>
      <c r="EA29" s="161"/>
      <c r="EB29" s="162"/>
      <c r="EC29" s="161"/>
      <c r="ED29" s="162"/>
      <c r="EE29" s="162"/>
      <c r="EF29" s="161"/>
      <c r="EG29" s="161"/>
      <c r="EH29" s="161"/>
      <c r="EI29" s="161"/>
      <c r="EJ29" s="161"/>
      <c r="EK29" s="161"/>
      <c r="EL29" s="162"/>
      <c r="EM29" s="161"/>
      <c r="EN29" s="161"/>
      <c r="EO29" s="161"/>
      <c r="EP29" s="161"/>
      <c r="EQ29" s="161"/>
      <c r="ER29" s="161"/>
      <c r="ES29" s="155">
        <v>1.0</v>
      </c>
      <c r="ET29" s="162"/>
      <c r="EU29" s="161"/>
      <c r="EV29" s="161"/>
      <c r="EW29" s="161"/>
      <c r="EX29" s="161"/>
      <c r="EY29" s="155">
        <v>1.0</v>
      </c>
      <c r="EZ29" s="161"/>
      <c r="FA29" s="161"/>
      <c r="FB29" s="161"/>
      <c r="FC29" s="161"/>
      <c r="FD29" s="161"/>
      <c r="FE29" s="161"/>
      <c r="FF29" s="161"/>
      <c r="FG29" s="161"/>
      <c r="FH29" s="161"/>
      <c r="FI29" s="161"/>
      <c r="FJ29" s="161"/>
      <c r="FK29" s="161"/>
      <c r="FL29" s="161"/>
      <c r="FM29" s="161"/>
      <c r="FN29" s="161"/>
      <c r="FO29" s="161"/>
      <c r="FP29" s="161"/>
      <c r="FQ29" s="161"/>
      <c r="FR29" s="161"/>
      <c r="FS29" s="161"/>
      <c r="FT29" s="161"/>
      <c r="FU29" s="161"/>
      <c r="FV29" s="161"/>
      <c r="FW29" s="161"/>
      <c r="FX29" s="161"/>
      <c r="FY29" s="161"/>
      <c r="FZ29" s="161"/>
      <c r="GA29" s="161"/>
      <c r="GB29" s="161"/>
      <c r="GC29" s="161"/>
      <c r="GD29" s="161"/>
      <c r="GE29" s="161"/>
      <c r="GF29" s="161"/>
      <c r="GG29" s="161"/>
      <c r="GH29" s="161"/>
      <c r="GI29" s="161"/>
      <c r="GJ29" s="155">
        <v>1.0</v>
      </c>
      <c r="GK29" s="161"/>
      <c r="GL29" s="155">
        <v>1.0</v>
      </c>
      <c r="GM29" s="161"/>
      <c r="GN29" s="161"/>
      <c r="GO29" s="161"/>
      <c r="GP29" s="161"/>
      <c r="GQ29" s="155">
        <v>1.0</v>
      </c>
      <c r="GR29" s="129"/>
      <c r="GS29" s="161"/>
      <c r="GT29" s="161"/>
      <c r="GU29" s="161"/>
      <c r="GV29" s="161"/>
      <c r="GW29" s="161"/>
      <c r="GX29" s="161"/>
      <c r="GY29" s="161"/>
      <c r="GZ29" s="161"/>
      <c r="HA29" s="161"/>
      <c r="HB29" s="161"/>
      <c r="HC29" s="161"/>
      <c r="HD29" s="162"/>
      <c r="HE29" s="161"/>
      <c r="HF29" s="162"/>
      <c r="HG29" s="161"/>
      <c r="HH29" s="161"/>
      <c r="HI29" s="161"/>
      <c r="HJ29" s="161"/>
      <c r="HK29" s="161"/>
      <c r="HL29" s="161"/>
      <c r="HM29" s="161"/>
      <c r="HN29" s="161"/>
      <c r="HO29" s="161"/>
      <c r="HP29" s="161"/>
      <c r="HQ29" s="161"/>
      <c r="HR29" s="161"/>
      <c r="HS29" s="161"/>
      <c r="HT29" s="161"/>
      <c r="HU29" s="161"/>
      <c r="HV29" s="161"/>
      <c r="HW29" s="161"/>
      <c r="HX29" s="155">
        <v>1.0</v>
      </c>
      <c r="HY29" s="161"/>
      <c r="HZ29" s="161"/>
      <c r="IA29" s="161"/>
      <c r="IB29" s="161"/>
      <c r="IC29" s="161"/>
      <c r="ID29" s="161"/>
      <c r="IE29" s="161"/>
      <c r="IF29" s="161"/>
      <c r="IG29" s="161"/>
      <c r="IH29" s="161"/>
      <c r="II29" s="161"/>
      <c r="IJ29" s="161"/>
      <c r="IK29" s="161"/>
      <c r="IL29" s="161"/>
      <c r="IM29" s="161"/>
      <c r="IN29" s="161"/>
      <c r="IO29" s="161"/>
      <c r="IP29" s="161"/>
      <c r="IQ29" s="161"/>
      <c r="IR29" s="161"/>
      <c r="IS29" s="161"/>
      <c r="IT29" s="161"/>
      <c r="IU29" s="161"/>
      <c r="IV29" s="161"/>
      <c r="IW29" s="161"/>
      <c r="IX29" s="161"/>
      <c r="IY29" s="155">
        <v>1.0</v>
      </c>
      <c r="IZ29" s="161"/>
      <c r="JA29" s="155">
        <v>1.0</v>
      </c>
      <c r="JB29" s="161"/>
      <c r="JC29" s="161"/>
      <c r="JD29" s="155">
        <v>1.0</v>
      </c>
      <c r="JE29" s="161"/>
      <c r="JF29" s="161"/>
      <c r="JG29" s="155">
        <v>1.0</v>
      </c>
      <c r="JH29" s="161"/>
      <c r="JI29" s="161"/>
      <c r="JJ29" s="161"/>
      <c r="JK29" s="161"/>
      <c r="JL29" s="161"/>
      <c r="JM29" s="161"/>
      <c r="JN29" s="161"/>
      <c r="JO29" s="161"/>
      <c r="JP29" s="161"/>
      <c r="JQ29" s="161"/>
      <c r="JR29" s="161"/>
      <c r="JS29" s="161"/>
      <c r="JT29" s="161"/>
      <c r="JU29" s="161"/>
      <c r="JV29" s="161"/>
      <c r="JW29" s="155">
        <v>1.0</v>
      </c>
      <c r="JX29" s="161"/>
      <c r="JY29" s="155">
        <v>1.0</v>
      </c>
      <c r="JZ29" s="161"/>
      <c r="KA29" s="161"/>
      <c r="KB29" s="161"/>
      <c r="KC29" s="161"/>
      <c r="KD29" s="161"/>
      <c r="KE29" s="161"/>
      <c r="KF29" s="161"/>
      <c r="KG29" s="161"/>
      <c r="KH29" s="161"/>
      <c r="KI29" s="161"/>
      <c r="KJ29" s="161"/>
      <c r="KK29" s="161"/>
      <c r="KL29" s="161"/>
      <c r="KM29" s="161"/>
      <c r="KN29" s="161"/>
      <c r="KO29" s="161"/>
      <c r="KP29" s="161"/>
      <c r="KQ29" s="161"/>
      <c r="KR29" s="162"/>
      <c r="KS29" s="161"/>
      <c r="KT29" s="161"/>
      <c r="KU29" s="161"/>
      <c r="KV29" s="161"/>
      <c r="KW29" s="161"/>
      <c r="KX29" s="129"/>
    </row>
    <row r="30">
      <c r="A30" s="158">
        <v>31.0</v>
      </c>
      <c r="B30" s="158">
        <f t="shared" si="1"/>
        <v>0</v>
      </c>
      <c r="C30" s="158" t="s">
        <v>2342</v>
      </c>
      <c r="D30" s="159" t="s">
        <v>2524</v>
      </c>
      <c r="E30" s="160"/>
      <c r="F30" s="159" t="s">
        <v>2525</v>
      </c>
      <c r="G30" s="164" t="s">
        <v>2265</v>
      </c>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c r="AH30" s="161"/>
      <c r="AI30" s="161"/>
      <c r="AJ30" s="162"/>
      <c r="AK30" s="161"/>
      <c r="AL30" s="161"/>
      <c r="AM30" s="161"/>
      <c r="AN30" s="161"/>
      <c r="AO30" s="161"/>
      <c r="AP30" s="161"/>
      <c r="AQ30" s="161"/>
      <c r="AR30" s="161"/>
      <c r="AS30" s="161"/>
      <c r="AT30" s="161"/>
      <c r="AU30" s="161"/>
      <c r="AV30" s="161"/>
      <c r="AW30" s="162"/>
      <c r="AX30" s="162"/>
      <c r="AY30" s="161"/>
      <c r="AZ30" s="161"/>
      <c r="BA30" s="161"/>
      <c r="BB30" s="161"/>
      <c r="BC30" s="161"/>
      <c r="BD30" s="161"/>
      <c r="BE30" s="161"/>
      <c r="BF30" s="161"/>
      <c r="BG30" s="161"/>
      <c r="BH30" s="161"/>
      <c r="BI30" s="161"/>
      <c r="BJ30" s="161"/>
      <c r="BK30" s="161"/>
      <c r="BL30" s="161"/>
      <c r="BM30" s="161"/>
      <c r="BN30" s="161"/>
      <c r="BO30" s="161"/>
      <c r="BP30" s="161"/>
      <c r="BQ30" s="161"/>
      <c r="BR30" s="161"/>
      <c r="BS30" s="161"/>
      <c r="BT30" s="161"/>
      <c r="BU30" s="161"/>
      <c r="BV30" s="161"/>
      <c r="BW30" s="161"/>
      <c r="BX30" s="161"/>
      <c r="BY30" s="161"/>
      <c r="BZ30" s="161"/>
      <c r="CA30" s="161"/>
      <c r="CB30" s="161"/>
      <c r="CC30" s="161"/>
      <c r="CD30" s="161"/>
      <c r="CE30" s="161"/>
      <c r="CF30" s="161"/>
      <c r="CG30" s="161"/>
      <c r="CH30" s="161"/>
      <c r="CI30" s="161"/>
      <c r="CJ30" s="161"/>
      <c r="CK30" s="161"/>
      <c r="CL30" s="161"/>
      <c r="CM30" s="161"/>
      <c r="CN30" s="161"/>
      <c r="CO30" s="161"/>
      <c r="CP30" s="161"/>
      <c r="CQ30" s="161"/>
      <c r="CR30" s="161"/>
      <c r="CS30" s="129"/>
      <c r="CT30" s="161"/>
      <c r="CU30" s="129"/>
      <c r="CV30" s="161"/>
      <c r="CW30" s="161"/>
      <c r="CX30" s="161"/>
      <c r="CY30" s="161"/>
      <c r="CZ30" s="161"/>
      <c r="DA30" s="161"/>
      <c r="DB30" s="161"/>
      <c r="DC30" s="161"/>
      <c r="DD30" s="161"/>
      <c r="DE30" s="162"/>
      <c r="DF30" s="162"/>
      <c r="DG30" s="162"/>
      <c r="DH30" s="162"/>
      <c r="DI30" s="162"/>
      <c r="DJ30" s="162"/>
      <c r="DK30" s="162"/>
      <c r="DL30" s="161"/>
      <c r="DM30" s="161"/>
      <c r="DN30" s="162"/>
      <c r="DO30" s="161"/>
      <c r="DP30" s="161"/>
      <c r="DQ30" s="161"/>
      <c r="DR30" s="162"/>
      <c r="DS30" s="161"/>
      <c r="DT30" s="161"/>
      <c r="DU30" s="162"/>
      <c r="DV30" s="162"/>
      <c r="DW30" s="161"/>
      <c r="DX30" s="161"/>
      <c r="DY30" s="162"/>
      <c r="DZ30" s="162"/>
      <c r="EA30" s="161"/>
      <c r="EB30" s="162"/>
      <c r="EC30" s="161"/>
      <c r="ED30" s="162"/>
      <c r="EE30" s="162"/>
      <c r="EF30" s="161"/>
      <c r="EG30" s="161"/>
      <c r="EH30" s="161"/>
      <c r="EI30" s="161"/>
      <c r="EJ30" s="161"/>
      <c r="EK30" s="161"/>
      <c r="EL30" s="162"/>
      <c r="EM30" s="161"/>
      <c r="EN30" s="161"/>
      <c r="EO30" s="161"/>
      <c r="EP30" s="161"/>
      <c r="EQ30" s="161"/>
      <c r="ER30" s="161"/>
      <c r="ES30" s="161"/>
      <c r="ET30" s="162"/>
      <c r="EU30" s="161"/>
      <c r="EV30" s="161"/>
      <c r="EW30" s="161"/>
      <c r="EX30" s="161"/>
      <c r="EY30" s="161"/>
      <c r="EZ30" s="161"/>
      <c r="FA30" s="161"/>
      <c r="FB30" s="161"/>
      <c r="FC30" s="161"/>
      <c r="FD30" s="161"/>
      <c r="FE30" s="161"/>
      <c r="FF30" s="161"/>
      <c r="FG30" s="161"/>
      <c r="FH30" s="161"/>
      <c r="FI30" s="161"/>
      <c r="FJ30" s="161"/>
      <c r="FK30" s="161"/>
      <c r="FL30" s="161"/>
      <c r="FM30" s="161"/>
      <c r="FN30" s="161"/>
      <c r="FO30" s="161"/>
      <c r="FP30" s="161"/>
      <c r="FQ30" s="161"/>
      <c r="FR30" s="161"/>
      <c r="FS30" s="161"/>
      <c r="FT30" s="161"/>
      <c r="FU30" s="161"/>
      <c r="FV30" s="161"/>
      <c r="FW30" s="161"/>
      <c r="FX30" s="161"/>
      <c r="FY30" s="161"/>
      <c r="FZ30" s="161"/>
      <c r="GA30" s="161"/>
      <c r="GB30" s="161"/>
      <c r="GC30" s="161"/>
      <c r="GD30" s="161"/>
      <c r="GE30" s="161"/>
      <c r="GF30" s="161"/>
      <c r="GG30" s="161"/>
      <c r="GH30" s="161"/>
      <c r="GI30" s="161"/>
      <c r="GJ30" s="161"/>
      <c r="GK30" s="161"/>
      <c r="GL30" s="161"/>
      <c r="GM30" s="161"/>
      <c r="GN30" s="161"/>
      <c r="GO30" s="161"/>
      <c r="GP30" s="161"/>
      <c r="GQ30" s="161"/>
      <c r="GR30" s="161"/>
      <c r="GS30" s="161"/>
      <c r="GT30" s="161"/>
      <c r="GU30" s="161"/>
      <c r="GV30" s="161"/>
      <c r="GW30" s="161"/>
      <c r="GX30" s="161"/>
      <c r="GY30" s="161"/>
      <c r="GZ30" s="161"/>
      <c r="HA30" s="161"/>
      <c r="HB30" s="161"/>
      <c r="HC30" s="161"/>
      <c r="HD30" s="162"/>
      <c r="HE30" s="161"/>
      <c r="HF30" s="162"/>
      <c r="HG30" s="161"/>
      <c r="HH30" s="161"/>
      <c r="HI30" s="161"/>
      <c r="HJ30" s="161"/>
      <c r="HK30" s="161"/>
      <c r="HL30" s="161"/>
      <c r="HM30" s="161"/>
      <c r="HN30" s="161"/>
      <c r="HO30" s="161"/>
      <c r="HP30" s="161"/>
      <c r="HQ30" s="161"/>
      <c r="HR30" s="161"/>
      <c r="HS30" s="161"/>
      <c r="HT30" s="161"/>
      <c r="HU30" s="161"/>
      <c r="HV30" s="161"/>
      <c r="HW30" s="161"/>
      <c r="HX30" s="161"/>
      <c r="HY30" s="161"/>
      <c r="HZ30" s="161"/>
      <c r="IA30" s="161"/>
      <c r="IB30" s="161"/>
      <c r="IC30" s="161"/>
      <c r="ID30" s="161"/>
      <c r="IE30" s="161"/>
      <c r="IF30" s="161"/>
      <c r="IG30" s="161"/>
      <c r="IH30" s="161"/>
      <c r="II30" s="161"/>
      <c r="IJ30" s="161"/>
      <c r="IK30" s="161"/>
      <c r="IL30" s="161"/>
      <c r="IM30" s="161"/>
      <c r="IN30" s="161"/>
      <c r="IO30" s="161"/>
      <c r="IP30" s="161"/>
      <c r="IQ30" s="161"/>
      <c r="IR30" s="161"/>
      <c r="IS30" s="161"/>
      <c r="IT30" s="161"/>
      <c r="IU30" s="161"/>
      <c r="IV30" s="161"/>
      <c r="IW30" s="161"/>
      <c r="IX30" s="161"/>
      <c r="IY30" s="161"/>
      <c r="IZ30" s="161"/>
      <c r="JA30" s="161"/>
      <c r="JB30" s="161"/>
      <c r="JC30" s="161"/>
      <c r="JD30" s="161"/>
      <c r="JE30" s="161"/>
      <c r="JF30" s="161"/>
      <c r="JG30" s="161"/>
      <c r="JH30" s="161"/>
      <c r="JI30" s="161"/>
      <c r="JJ30" s="161"/>
      <c r="JK30" s="161"/>
      <c r="JL30" s="161"/>
      <c r="JM30" s="161"/>
      <c r="JN30" s="161"/>
      <c r="JO30" s="161"/>
      <c r="JP30" s="161"/>
      <c r="JQ30" s="161"/>
      <c r="JR30" s="161"/>
      <c r="JS30" s="161"/>
      <c r="JT30" s="161"/>
      <c r="JU30" s="161"/>
      <c r="JV30" s="161"/>
      <c r="JW30" s="161"/>
      <c r="JX30" s="161"/>
      <c r="JY30" s="161"/>
      <c r="JZ30" s="161"/>
      <c r="KA30" s="161"/>
      <c r="KB30" s="161"/>
      <c r="KC30" s="161"/>
      <c r="KD30" s="161"/>
      <c r="KE30" s="161"/>
      <c r="KF30" s="161"/>
      <c r="KG30" s="161"/>
      <c r="KH30" s="161"/>
      <c r="KI30" s="161"/>
      <c r="KJ30" s="161"/>
      <c r="KK30" s="161"/>
      <c r="KL30" s="161"/>
      <c r="KM30" s="161"/>
      <c r="KN30" s="161"/>
      <c r="KO30" s="161"/>
      <c r="KP30" s="161"/>
      <c r="KQ30" s="161"/>
      <c r="KR30" s="162"/>
      <c r="KS30" s="161"/>
      <c r="KT30" s="161"/>
      <c r="KU30" s="161"/>
      <c r="KV30" s="161"/>
      <c r="KW30" s="161"/>
      <c r="KX30" s="129"/>
    </row>
    <row r="31">
      <c r="A31" s="158">
        <v>32.0</v>
      </c>
      <c r="B31" s="158">
        <f t="shared" si="1"/>
        <v>10</v>
      </c>
      <c r="C31" s="158" t="s">
        <v>2342</v>
      </c>
      <c r="D31" s="159" t="s">
        <v>2528</v>
      </c>
      <c r="E31" s="160"/>
      <c r="F31" s="159" t="s">
        <v>2529</v>
      </c>
      <c r="G31" s="164" t="s">
        <v>2530</v>
      </c>
      <c r="H31" s="161"/>
      <c r="I31" s="161"/>
      <c r="J31" s="161"/>
      <c r="K31" s="161"/>
      <c r="L31" s="161"/>
      <c r="M31" s="161"/>
      <c r="N31" s="161"/>
      <c r="O31" s="161"/>
      <c r="P31" s="161"/>
      <c r="Q31" s="161"/>
      <c r="R31" s="155">
        <v>1.0</v>
      </c>
      <c r="S31" s="161"/>
      <c r="T31" s="161"/>
      <c r="U31" s="161"/>
      <c r="V31" s="161"/>
      <c r="W31" s="161"/>
      <c r="X31" s="161"/>
      <c r="Y31" s="161"/>
      <c r="Z31" s="161"/>
      <c r="AA31" s="155">
        <v>1.0</v>
      </c>
      <c r="AB31" s="161"/>
      <c r="AC31" s="161"/>
      <c r="AD31" s="161"/>
      <c r="AE31" s="161"/>
      <c r="AF31" s="161"/>
      <c r="AG31" s="161"/>
      <c r="AH31" s="161"/>
      <c r="AI31" s="161"/>
      <c r="AJ31" s="162"/>
      <c r="AK31" s="161"/>
      <c r="AL31" s="161"/>
      <c r="AM31" s="161"/>
      <c r="AN31" s="161"/>
      <c r="AO31" s="161"/>
      <c r="AP31" s="161"/>
      <c r="AQ31" s="155">
        <v>1.0</v>
      </c>
      <c r="AR31" s="161"/>
      <c r="AS31" s="161"/>
      <c r="AT31" s="161"/>
      <c r="AU31" s="161"/>
      <c r="AV31" s="161"/>
      <c r="AW31" s="162"/>
      <c r="AX31" s="162"/>
      <c r="AY31" s="161"/>
      <c r="AZ31" s="161"/>
      <c r="BA31" s="161"/>
      <c r="BB31" s="161"/>
      <c r="BC31" s="161"/>
      <c r="BD31" s="161"/>
      <c r="BE31" s="161"/>
      <c r="BF31" s="161"/>
      <c r="BG31" s="161"/>
      <c r="BH31" s="161"/>
      <c r="BI31" s="161"/>
      <c r="BJ31" s="161"/>
      <c r="BK31" s="161"/>
      <c r="BL31" s="161"/>
      <c r="BM31" s="161"/>
      <c r="BN31" s="161"/>
      <c r="BO31" s="161"/>
      <c r="BP31" s="161"/>
      <c r="BQ31" s="161"/>
      <c r="BR31" s="161"/>
      <c r="BS31" s="161"/>
      <c r="BT31" s="155">
        <v>1.0</v>
      </c>
      <c r="BU31" s="161"/>
      <c r="BV31" s="161"/>
      <c r="BW31" s="161"/>
      <c r="BX31" s="161"/>
      <c r="BY31" s="161"/>
      <c r="BZ31" s="161"/>
      <c r="CA31" s="161"/>
      <c r="CB31" s="161"/>
      <c r="CC31" s="161"/>
      <c r="CD31" s="161"/>
      <c r="CE31" s="161"/>
      <c r="CF31" s="161"/>
      <c r="CG31" s="161"/>
      <c r="CH31" s="161"/>
      <c r="CI31" s="161"/>
      <c r="CJ31" s="161"/>
      <c r="CK31" s="161"/>
      <c r="CL31" s="161"/>
      <c r="CM31" s="161"/>
      <c r="CN31" s="161"/>
      <c r="CO31" s="161"/>
      <c r="CP31" s="155">
        <v>1.0</v>
      </c>
      <c r="CQ31" s="161"/>
      <c r="CR31" s="161"/>
      <c r="CS31" s="129"/>
      <c r="CT31" s="161"/>
      <c r="CU31" s="129"/>
      <c r="CV31" s="161"/>
      <c r="CW31" s="161"/>
      <c r="CX31" s="161"/>
      <c r="CY31" s="161"/>
      <c r="CZ31" s="161"/>
      <c r="DA31" s="161"/>
      <c r="DB31" s="161"/>
      <c r="DC31" s="161"/>
      <c r="DD31" s="161"/>
      <c r="DE31" s="162"/>
      <c r="DF31" s="162"/>
      <c r="DG31" s="162"/>
      <c r="DH31" s="162"/>
      <c r="DI31" s="162"/>
      <c r="DJ31" s="162"/>
      <c r="DK31" s="162"/>
      <c r="DL31" s="161"/>
      <c r="DM31" s="161"/>
      <c r="DN31" s="162"/>
      <c r="DO31" s="161"/>
      <c r="DP31" s="161"/>
      <c r="DQ31" s="161"/>
      <c r="DR31" s="162"/>
      <c r="DS31" s="161"/>
      <c r="DT31" s="161"/>
      <c r="DU31" s="162"/>
      <c r="DV31" s="162"/>
      <c r="DW31" s="161"/>
      <c r="DX31" s="161"/>
      <c r="DY31" s="162"/>
      <c r="DZ31" s="162"/>
      <c r="EA31" s="161"/>
      <c r="EB31" s="162"/>
      <c r="EC31" s="161"/>
      <c r="ED31" s="162"/>
      <c r="EE31" s="162"/>
      <c r="EF31" s="161"/>
      <c r="EG31" s="161"/>
      <c r="EH31" s="161"/>
      <c r="EI31" s="161"/>
      <c r="EJ31" s="161"/>
      <c r="EK31" s="161"/>
      <c r="EL31" s="162"/>
      <c r="EM31" s="161"/>
      <c r="EN31" s="161"/>
      <c r="EO31" s="161"/>
      <c r="EP31" s="161"/>
      <c r="EQ31" s="161"/>
      <c r="ER31" s="161"/>
      <c r="ES31" s="161"/>
      <c r="ET31" s="162"/>
      <c r="EU31" s="161"/>
      <c r="EV31" s="161"/>
      <c r="EW31" s="161"/>
      <c r="EX31" s="161"/>
      <c r="EY31" s="161"/>
      <c r="EZ31" s="161"/>
      <c r="FA31" s="161"/>
      <c r="FB31" s="161"/>
      <c r="FC31" s="161"/>
      <c r="FD31" s="161"/>
      <c r="FE31" s="161"/>
      <c r="FF31" s="161"/>
      <c r="FG31" s="161"/>
      <c r="FH31" s="161"/>
      <c r="FI31" s="161"/>
      <c r="FJ31" s="155">
        <v>1.0</v>
      </c>
      <c r="FK31" s="161"/>
      <c r="FL31" s="161"/>
      <c r="FM31" s="161"/>
      <c r="FN31" s="161"/>
      <c r="FO31" s="161"/>
      <c r="FP31" s="161"/>
      <c r="FQ31" s="161"/>
      <c r="FR31" s="161"/>
      <c r="FS31" s="155">
        <v>1.0</v>
      </c>
      <c r="FT31" s="161"/>
      <c r="FU31" s="161"/>
      <c r="FV31" s="161"/>
      <c r="FW31" s="161"/>
      <c r="FX31" s="161"/>
      <c r="FY31" s="161"/>
      <c r="FZ31" s="161"/>
      <c r="GA31" s="161"/>
      <c r="GB31" s="161"/>
      <c r="GC31" s="161"/>
      <c r="GD31" s="155">
        <v>1.0</v>
      </c>
      <c r="GE31" s="161"/>
      <c r="GF31" s="161"/>
      <c r="GG31" s="161"/>
      <c r="GH31" s="161"/>
      <c r="GI31" s="161"/>
      <c r="GJ31" s="161"/>
      <c r="GK31" s="161"/>
      <c r="GL31" s="161"/>
      <c r="GM31" s="161"/>
      <c r="GN31" s="161"/>
      <c r="GO31" s="161"/>
      <c r="GP31" s="161"/>
      <c r="GQ31" s="161"/>
      <c r="GR31" s="161"/>
      <c r="GS31" s="161"/>
      <c r="GT31" s="161"/>
      <c r="GU31" s="161"/>
      <c r="GV31" s="161"/>
      <c r="GW31" s="161"/>
      <c r="GX31" s="161"/>
      <c r="GY31" s="161"/>
      <c r="GZ31" s="161"/>
      <c r="HA31" s="161"/>
      <c r="HB31" s="161"/>
      <c r="HC31" s="161"/>
      <c r="HD31" s="162"/>
      <c r="HE31" s="161"/>
      <c r="HF31" s="162"/>
      <c r="HG31" s="161"/>
      <c r="HH31" s="161"/>
      <c r="HI31" s="161"/>
      <c r="HJ31" s="161"/>
      <c r="HK31" s="161"/>
      <c r="HL31" s="161"/>
      <c r="HM31" s="161"/>
      <c r="HN31" s="161"/>
      <c r="HO31" s="161"/>
      <c r="HP31" s="161"/>
      <c r="HQ31" s="161"/>
      <c r="HR31" s="161"/>
      <c r="HS31" s="161"/>
      <c r="HT31" s="161"/>
      <c r="HU31" s="161"/>
      <c r="HV31" s="155">
        <v>1.0</v>
      </c>
      <c r="HW31" s="161"/>
      <c r="HX31" s="161"/>
      <c r="HY31" s="161"/>
      <c r="HZ31" s="161"/>
      <c r="IA31" s="161"/>
      <c r="IB31" s="161"/>
      <c r="IC31" s="161"/>
      <c r="ID31" s="161"/>
      <c r="IE31" s="161"/>
      <c r="IF31" s="161"/>
      <c r="IG31" s="161"/>
      <c r="IH31" s="161"/>
      <c r="II31" s="161"/>
      <c r="IJ31" s="161"/>
      <c r="IK31" s="161"/>
      <c r="IL31" s="161"/>
      <c r="IM31" s="161"/>
      <c r="IN31" s="161"/>
      <c r="IO31" s="161"/>
      <c r="IP31" s="161"/>
      <c r="IQ31" s="161"/>
      <c r="IR31" s="161"/>
      <c r="IS31" s="155">
        <v>1.0</v>
      </c>
      <c r="IT31" s="161"/>
      <c r="IU31" s="161"/>
      <c r="IV31" s="161"/>
      <c r="IW31" s="161"/>
      <c r="IX31" s="161"/>
      <c r="IY31" s="161"/>
      <c r="IZ31" s="161"/>
      <c r="JA31" s="161"/>
      <c r="JB31" s="161"/>
      <c r="JC31" s="161"/>
      <c r="JD31" s="161"/>
      <c r="JE31" s="161"/>
      <c r="JF31" s="161"/>
      <c r="JG31" s="161"/>
      <c r="JH31" s="161"/>
      <c r="JI31" s="161"/>
      <c r="JJ31" s="161"/>
      <c r="JK31" s="161"/>
      <c r="JL31" s="161"/>
      <c r="JM31" s="161"/>
      <c r="JN31" s="161"/>
      <c r="JO31" s="161"/>
      <c r="JP31" s="161"/>
      <c r="JQ31" s="161"/>
      <c r="JR31" s="161"/>
      <c r="JS31" s="161"/>
      <c r="JT31" s="161"/>
      <c r="JU31" s="161"/>
      <c r="JV31" s="161"/>
      <c r="JW31" s="161"/>
      <c r="JX31" s="161"/>
      <c r="JY31" s="161"/>
      <c r="JZ31" s="161"/>
      <c r="KA31" s="161"/>
      <c r="KB31" s="161"/>
      <c r="KC31" s="161"/>
      <c r="KD31" s="161"/>
      <c r="KE31" s="161"/>
      <c r="KF31" s="161"/>
      <c r="KG31" s="161"/>
      <c r="KH31" s="161"/>
      <c r="KI31" s="161"/>
      <c r="KJ31" s="161"/>
      <c r="KK31" s="161"/>
      <c r="KL31" s="161"/>
      <c r="KM31" s="161"/>
      <c r="KN31" s="161"/>
      <c r="KO31" s="161"/>
      <c r="KP31" s="161"/>
      <c r="KQ31" s="161"/>
      <c r="KR31" s="162"/>
      <c r="KS31" s="161"/>
      <c r="KT31" s="161"/>
      <c r="KU31" s="161"/>
      <c r="KV31" s="161"/>
      <c r="KW31" s="161"/>
      <c r="KX31" s="129"/>
    </row>
    <row r="32">
      <c r="A32" s="158">
        <v>33.0</v>
      </c>
      <c r="B32" s="158">
        <f t="shared" si="1"/>
        <v>7</v>
      </c>
      <c r="C32" s="158" t="s">
        <v>2342</v>
      </c>
      <c r="D32" s="159" t="s">
        <v>2535</v>
      </c>
      <c r="E32" s="160"/>
      <c r="F32" s="159" t="s">
        <v>2536</v>
      </c>
      <c r="G32" s="164" t="s">
        <v>2537</v>
      </c>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2"/>
      <c r="AK32" s="161"/>
      <c r="AL32" s="161"/>
      <c r="AM32" s="161"/>
      <c r="AN32" s="161"/>
      <c r="AO32" s="161"/>
      <c r="AP32" s="161"/>
      <c r="AQ32" s="161"/>
      <c r="AR32" s="161"/>
      <c r="AS32" s="161"/>
      <c r="AT32" s="161"/>
      <c r="AU32" s="161"/>
      <c r="AV32" s="161"/>
      <c r="AW32" s="162"/>
      <c r="AX32" s="162"/>
      <c r="AY32" s="161"/>
      <c r="AZ32" s="161"/>
      <c r="BA32" s="161"/>
      <c r="BB32" s="161"/>
      <c r="BC32" s="161"/>
      <c r="BD32" s="161"/>
      <c r="BE32" s="161"/>
      <c r="BF32" s="161"/>
      <c r="BG32" s="161"/>
      <c r="BH32" s="161"/>
      <c r="BI32" s="161"/>
      <c r="BJ32" s="161"/>
      <c r="BK32" s="161"/>
      <c r="BL32" s="161"/>
      <c r="BM32" s="161"/>
      <c r="BN32" s="161"/>
      <c r="BO32" s="161"/>
      <c r="BP32" s="161"/>
      <c r="BQ32" s="161"/>
      <c r="BR32" s="161"/>
      <c r="BS32" s="161"/>
      <c r="BT32" s="161"/>
      <c r="BU32" s="161"/>
      <c r="BV32" s="161"/>
      <c r="BW32" s="161"/>
      <c r="BX32" s="161"/>
      <c r="BY32" s="161"/>
      <c r="BZ32" s="161"/>
      <c r="CA32" s="161"/>
      <c r="CB32" s="161"/>
      <c r="CC32" s="161"/>
      <c r="CD32" s="161"/>
      <c r="CE32" s="161"/>
      <c r="CF32" s="161"/>
      <c r="CG32" s="161"/>
      <c r="CH32" s="155">
        <v>1.0</v>
      </c>
      <c r="CI32" s="161"/>
      <c r="CJ32" s="161"/>
      <c r="CK32" s="161"/>
      <c r="CL32" s="161"/>
      <c r="CM32" s="161"/>
      <c r="CN32" s="161"/>
      <c r="CO32" s="161"/>
      <c r="CP32" s="161"/>
      <c r="CQ32" s="161"/>
      <c r="CR32" s="161"/>
      <c r="CS32" s="129"/>
      <c r="CT32" s="161"/>
      <c r="CU32" s="129"/>
      <c r="CV32" s="161"/>
      <c r="CW32" s="161"/>
      <c r="CX32" s="161"/>
      <c r="CY32" s="161"/>
      <c r="CZ32" s="161"/>
      <c r="DA32" s="161"/>
      <c r="DB32" s="161"/>
      <c r="DC32" s="161"/>
      <c r="DD32" s="161"/>
      <c r="DE32" s="162"/>
      <c r="DF32" s="162"/>
      <c r="DG32" s="162"/>
      <c r="DH32" s="162"/>
      <c r="DI32" s="162"/>
      <c r="DJ32" s="162"/>
      <c r="DK32" s="162"/>
      <c r="DL32" s="161"/>
      <c r="DM32" s="161"/>
      <c r="DN32" s="162"/>
      <c r="DO32" s="161"/>
      <c r="DP32" s="161"/>
      <c r="DQ32" s="161"/>
      <c r="DR32" s="162"/>
      <c r="DS32" s="161"/>
      <c r="DT32" s="161"/>
      <c r="DU32" s="162"/>
      <c r="DV32" s="162"/>
      <c r="DW32" s="161"/>
      <c r="DX32" s="161"/>
      <c r="DY32" s="162"/>
      <c r="DZ32" s="162"/>
      <c r="EA32" s="155">
        <v>1.0</v>
      </c>
      <c r="EB32" s="162"/>
      <c r="EC32" s="161"/>
      <c r="ED32" s="162"/>
      <c r="EE32" s="162"/>
      <c r="EF32" s="161"/>
      <c r="EG32" s="161"/>
      <c r="EH32" s="161"/>
      <c r="EI32" s="161"/>
      <c r="EJ32" s="161"/>
      <c r="EK32" s="161"/>
      <c r="EL32" s="162"/>
      <c r="EM32" s="161"/>
      <c r="EN32" s="161"/>
      <c r="EO32" s="161"/>
      <c r="EP32" s="161"/>
      <c r="EQ32" s="161"/>
      <c r="ER32" s="161"/>
      <c r="ES32" s="161"/>
      <c r="ET32" s="162"/>
      <c r="EU32" s="161"/>
      <c r="EV32" s="161"/>
      <c r="EW32" s="161"/>
      <c r="EX32" s="161"/>
      <c r="EY32" s="161"/>
      <c r="EZ32" s="161"/>
      <c r="FA32" s="161"/>
      <c r="FB32" s="161"/>
      <c r="FC32" s="161"/>
      <c r="FD32" s="161"/>
      <c r="FE32" s="155">
        <v>1.0</v>
      </c>
      <c r="FF32" s="161"/>
      <c r="FG32" s="161"/>
      <c r="FH32" s="161"/>
      <c r="FI32" s="161"/>
      <c r="FJ32" s="161"/>
      <c r="FK32" s="161"/>
      <c r="FL32" s="161"/>
      <c r="FM32" s="161"/>
      <c r="FN32" s="155">
        <v>1.0</v>
      </c>
      <c r="FO32" s="161"/>
      <c r="FP32" s="161"/>
      <c r="FQ32" s="161"/>
      <c r="FR32" s="161"/>
      <c r="FS32" s="161"/>
      <c r="FT32" s="161"/>
      <c r="FU32" s="161"/>
      <c r="FV32" s="161"/>
      <c r="FW32" s="161"/>
      <c r="FX32" s="161"/>
      <c r="FY32" s="161"/>
      <c r="FZ32" s="161"/>
      <c r="GA32" s="161"/>
      <c r="GB32" s="161"/>
      <c r="GC32" s="161"/>
      <c r="GD32" s="161"/>
      <c r="GE32" s="161"/>
      <c r="GF32" s="161"/>
      <c r="GG32" s="161"/>
      <c r="GH32" s="161"/>
      <c r="GI32" s="161"/>
      <c r="GJ32" s="161"/>
      <c r="GK32" s="161"/>
      <c r="GL32" s="161"/>
      <c r="GM32" s="161"/>
      <c r="GN32" s="161"/>
      <c r="GO32" s="161"/>
      <c r="GP32" s="161"/>
      <c r="GQ32" s="161"/>
      <c r="GR32" s="161"/>
      <c r="GS32" s="161"/>
      <c r="GT32" s="161"/>
      <c r="GU32" s="161"/>
      <c r="GV32" s="161"/>
      <c r="GW32" s="161"/>
      <c r="GX32" s="161"/>
      <c r="GY32" s="161"/>
      <c r="GZ32" s="161"/>
      <c r="HA32" s="161"/>
      <c r="HB32" s="161"/>
      <c r="HC32" s="161"/>
      <c r="HD32" s="162"/>
      <c r="HE32" s="161"/>
      <c r="HF32" s="162"/>
      <c r="HG32" s="161"/>
      <c r="HH32" s="161"/>
      <c r="HI32" s="161"/>
      <c r="HJ32" s="161"/>
      <c r="HK32" s="161"/>
      <c r="HL32" s="161"/>
      <c r="HM32" s="161"/>
      <c r="HN32" s="161"/>
      <c r="HO32" s="155">
        <v>1.0</v>
      </c>
      <c r="HP32" s="161"/>
      <c r="HQ32" s="161"/>
      <c r="HR32" s="161"/>
      <c r="HS32" s="161"/>
      <c r="HT32" s="161"/>
      <c r="HU32" s="161"/>
      <c r="HV32" s="161"/>
      <c r="HW32" s="161"/>
      <c r="HX32" s="161"/>
      <c r="HY32" s="161"/>
      <c r="HZ32" s="161"/>
      <c r="IA32" s="161"/>
      <c r="IB32" s="161"/>
      <c r="IC32" s="161"/>
      <c r="ID32" s="161"/>
      <c r="IE32" s="161"/>
      <c r="IF32" s="161"/>
      <c r="IG32" s="161"/>
      <c r="IH32" s="161"/>
      <c r="II32" s="161"/>
      <c r="IJ32" s="161"/>
      <c r="IK32" s="161"/>
      <c r="IL32" s="161"/>
      <c r="IM32" s="161"/>
      <c r="IN32" s="161"/>
      <c r="IO32" s="161"/>
      <c r="IP32" s="161"/>
      <c r="IQ32" s="161"/>
      <c r="IR32" s="161"/>
      <c r="IS32" s="161"/>
      <c r="IT32" s="161"/>
      <c r="IU32" s="161"/>
      <c r="IV32" s="161"/>
      <c r="IW32" s="161"/>
      <c r="IX32" s="161"/>
      <c r="IY32" s="161"/>
      <c r="IZ32" s="161"/>
      <c r="JA32" s="161"/>
      <c r="JB32" s="161"/>
      <c r="JC32" s="161"/>
      <c r="JD32" s="161"/>
      <c r="JE32" s="161"/>
      <c r="JF32" s="161"/>
      <c r="JG32" s="161"/>
      <c r="JH32" s="161"/>
      <c r="JI32" s="161"/>
      <c r="JJ32" s="161"/>
      <c r="JK32" s="161"/>
      <c r="JL32" s="161"/>
      <c r="JM32" s="161"/>
      <c r="JN32" s="161"/>
      <c r="JO32" s="161"/>
      <c r="JP32" s="161"/>
      <c r="JQ32" s="161"/>
      <c r="JR32" s="161"/>
      <c r="JS32" s="161"/>
      <c r="JT32" s="155">
        <v>1.0</v>
      </c>
      <c r="JU32" s="161"/>
      <c r="JV32" s="161"/>
      <c r="JW32" s="161"/>
      <c r="JX32" s="161"/>
      <c r="JY32" s="161"/>
      <c r="JZ32" s="161"/>
      <c r="KA32" s="155">
        <v>1.0</v>
      </c>
      <c r="KB32" s="161"/>
      <c r="KC32" s="161"/>
      <c r="KD32" s="161"/>
      <c r="KE32" s="161"/>
      <c r="KF32" s="161"/>
      <c r="KG32" s="161"/>
      <c r="KH32" s="161"/>
      <c r="KI32" s="161"/>
      <c r="KJ32" s="161"/>
      <c r="KK32" s="161"/>
      <c r="KL32" s="161"/>
      <c r="KM32" s="161"/>
      <c r="KN32" s="161"/>
      <c r="KO32" s="161"/>
      <c r="KP32" s="161"/>
      <c r="KQ32" s="161"/>
      <c r="KR32" s="162"/>
      <c r="KS32" s="161"/>
      <c r="KT32" s="161"/>
      <c r="KU32" s="161"/>
      <c r="KV32" s="161"/>
      <c r="KW32" s="161"/>
      <c r="KX32" s="129"/>
    </row>
    <row r="33">
      <c r="A33" s="158">
        <v>34.0</v>
      </c>
      <c r="B33" s="158">
        <f t="shared" si="1"/>
        <v>8</v>
      </c>
      <c r="C33" s="158" t="s">
        <v>2342</v>
      </c>
      <c r="D33" s="159" t="s">
        <v>2543</v>
      </c>
      <c r="E33" s="160"/>
      <c r="F33" s="159" t="s">
        <v>2544</v>
      </c>
      <c r="G33" s="159" t="s">
        <v>2474</v>
      </c>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1"/>
      <c r="AJ33" s="162"/>
      <c r="AK33" s="161"/>
      <c r="AL33" s="161"/>
      <c r="AM33" s="161"/>
      <c r="AN33" s="161"/>
      <c r="AO33" s="161"/>
      <c r="AP33" s="161"/>
      <c r="AQ33" s="161"/>
      <c r="AR33" s="161"/>
      <c r="AS33" s="155"/>
      <c r="AT33" s="161"/>
      <c r="AU33" s="161"/>
      <c r="AV33" s="161"/>
      <c r="AW33" s="156"/>
      <c r="AX33" s="156"/>
      <c r="AY33" s="155">
        <v>1.0</v>
      </c>
      <c r="AZ33" s="161"/>
      <c r="BA33" s="161"/>
      <c r="BB33" s="155">
        <v>1.0</v>
      </c>
      <c r="BC33" s="161"/>
      <c r="BD33" s="161"/>
      <c r="BE33" s="161"/>
      <c r="BF33" s="161"/>
      <c r="BG33" s="161"/>
      <c r="BH33" s="161"/>
      <c r="BI33" s="161"/>
      <c r="BJ33" s="161"/>
      <c r="BK33" s="161"/>
      <c r="BL33" s="161"/>
      <c r="BM33" s="161"/>
      <c r="BN33" s="161"/>
      <c r="BO33" s="161"/>
      <c r="BP33" s="161"/>
      <c r="BQ33" s="161"/>
      <c r="BR33" s="161"/>
      <c r="BS33" s="161"/>
      <c r="BT33" s="161"/>
      <c r="BU33" s="161"/>
      <c r="BV33" s="161"/>
      <c r="BW33" s="161"/>
      <c r="BX33" s="161"/>
      <c r="BY33" s="161"/>
      <c r="BZ33" s="161"/>
      <c r="CA33" s="161"/>
      <c r="CB33" s="161"/>
      <c r="CC33" s="161"/>
      <c r="CD33" s="161"/>
      <c r="CE33" s="161"/>
      <c r="CF33" s="161"/>
      <c r="CG33" s="161"/>
      <c r="CH33" s="161"/>
      <c r="CI33" s="161"/>
      <c r="CJ33" s="155">
        <v>1.0</v>
      </c>
      <c r="CK33" s="161"/>
      <c r="CL33" s="155">
        <v>1.0</v>
      </c>
      <c r="CM33" s="155">
        <v>1.0</v>
      </c>
      <c r="CN33" s="161"/>
      <c r="CO33" s="161"/>
      <c r="CP33" s="161"/>
      <c r="CQ33" s="161"/>
      <c r="CR33" s="161"/>
      <c r="CS33" s="129"/>
      <c r="CT33" s="161"/>
      <c r="CU33" s="129"/>
      <c r="CV33" s="161"/>
      <c r="CW33" s="161"/>
      <c r="CX33" s="161"/>
      <c r="CY33" s="161"/>
      <c r="CZ33" s="161"/>
      <c r="DA33" s="161"/>
      <c r="DB33" s="155">
        <v>1.0</v>
      </c>
      <c r="DC33" s="161"/>
      <c r="DD33" s="161"/>
      <c r="DE33" s="162"/>
      <c r="DF33" s="162"/>
      <c r="DG33" s="162"/>
      <c r="DH33" s="162"/>
      <c r="DI33" s="162"/>
      <c r="DJ33" s="162"/>
      <c r="DK33" s="162"/>
      <c r="DL33" s="161"/>
      <c r="DM33" s="161"/>
      <c r="DN33" s="162"/>
      <c r="DO33" s="161"/>
      <c r="DP33" s="161"/>
      <c r="DQ33" s="161"/>
      <c r="DR33" s="162"/>
      <c r="DS33" s="161"/>
      <c r="DT33" s="161"/>
      <c r="DU33" s="162"/>
      <c r="DV33" s="162"/>
      <c r="DW33" s="161"/>
      <c r="DX33" s="161"/>
      <c r="DY33" s="162"/>
      <c r="DZ33" s="162"/>
      <c r="EA33" s="161"/>
      <c r="EB33" s="162"/>
      <c r="EC33" s="161"/>
      <c r="ED33" s="162"/>
      <c r="EE33" s="162"/>
      <c r="EF33" s="161"/>
      <c r="EG33" s="161"/>
      <c r="EH33" s="161"/>
      <c r="EI33" s="161"/>
      <c r="EJ33" s="161"/>
      <c r="EK33" s="161"/>
      <c r="EL33" s="162"/>
      <c r="EM33" s="161"/>
      <c r="EN33" s="161"/>
      <c r="EO33" s="161"/>
      <c r="EP33" s="161"/>
      <c r="EQ33" s="161"/>
      <c r="ER33" s="161"/>
      <c r="ES33" s="161"/>
      <c r="ET33" s="162"/>
      <c r="EU33" s="161"/>
      <c r="EV33" s="161"/>
      <c r="EW33" s="161"/>
      <c r="EX33" s="161"/>
      <c r="EY33" s="161"/>
      <c r="EZ33" s="161"/>
      <c r="FA33" s="161"/>
      <c r="FB33" s="161"/>
      <c r="FC33" s="161"/>
      <c r="FD33" s="161"/>
      <c r="FE33" s="161"/>
      <c r="FF33" s="161"/>
      <c r="FG33" s="161"/>
      <c r="FH33" s="161"/>
      <c r="FI33" s="161"/>
      <c r="FJ33" s="161"/>
      <c r="FK33" s="161"/>
      <c r="FL33" s="161"/>
      <c r="FM33" s="161"/>
      <c r="FN33" s="161"/>
      <c r="FO33" s="161"/>
      <c r="FP33" s="161"/>
      <c r="FQ33" s="161"/>
      <c r="FR33" s="161"/>
      <c r="FS33" s="161"/>
      <c r="FT33" s="161"/>
      <c r="FU33" s="161"/>
      <c r="FV33" s="161"/>
      <c r="FW33" s="161"/>
      <c r="FX33" s="161"/>
      <c r="FY33" s="161"/>
      <c r="FZ33" s="161"/>
      <c r="GA33" s="161"/>
      <c r="GB33" s="161"/>
      <c r="GC33" s="161"/>
      <c r="GD33" s="161"/>
      <c r="GE33" s="161"/>
      <c r="GF33" s="161"/>
      <c r="GG33" s="161"/>
      <c r="GH33" s="161"/>
      <c r="GI33" s="161"/>
      <c r="GJ33" s="161"/>
      <c r="GK33" s="161"/>
      <c r="GL33" s="161"/>
      <c r="GM33" s="161"/>
      <c r="GN33" s="161"/>
      <c r="GO33" s="161"/>
      <c r="GP33" s="161"/>
      <c r="GQ33" s="161"/>
      <c r="GR33" s="161"/>
      <c r="GS33" s="161"/>
      <c r="GT33" s="161"/>
      <c r="GU33" s="161"/>
      <c r="GV33" s="161"/>
      <c r="GW33" s="161"/>
      <c r="GX33" s="161"/>
      <c r="GY33" s="161"/>
      <c r="GZ33" s="161"/>
      <c r="HA33" s="161"/>
      <c r="HB33" s="161"/>
      <c r="HC33" s="161"/>
      <c r="HD33" s="162"/>
      <c r="HE33" s="161"/>
      <c r="HF33" s="162"/>
      <c r="HG33" s="161"/>
      <c r="HH33" s="161"/>
      <c r="HI33" s="161"/>
      <c r="HJ33" s="161"/>
      <c r="HK33" s="161"/>
      <c r="HL33" s="161"/>
      <c r="HM33" s="161"/>
      <c r="HN33" s="161"/>
      <c r="HO33" s="161"/>
      <c r="HP33" s="161"/>
      <c r="HQ33" s="161"/>
      <c r="HR33" s="161"/>
      <c r="HS33" s="161"/>
      <c r="HT33" s="161"/>
      <c r="HU33" s="161"/>
      <c r="HV33" s="161"/>
      <c r="HW33" s="161"/>
      <c r="HX33" s="161"/>
      <c r="HY33" s="161"/>
      <c r="HZ33" s="161"/>
      <c r="IA33" s="161"/>
      <c r="IB33" s="161"/>
      <c r="IC33" s="161"/>
      <c r="ID33" s="161"/>
      <c r="IE33" s="161"/>
      <c r="IF33" s="161"/>
      <c r="IG33" s="161"/>
      <c r="IH33" s="161"/>
      <c r="II33" s="161"/>
      <c r="IJ33" s="161"/>
      <c r="IK33" s="161"/>
      <c r="IL33" s="161"/>
      <c r="IM33" s="161"/>
      <c r="IN33" s="161"/>
      <c r="IO33" s="161"/>
      <c r="IP33" s="161"/>
      <c r="IQ33" s="161"/>
      <c r="IR33" s="161"/>
      <c r="IS33" s="161"/>
      <c r="IT33" s="161"/>
      <c r="IU33" s="161"/>
      <c r="IV33" s="161"/>
      <c r="IW33" s="161"/>
      <c r="IX33" s="161"/>
      <c r="IY33" s="161"/>
      <c r="IZ33" s="161"/>
      <c r="JA33" s="161"/>
      <c r="JB33" s="161"/>
      <c r="JC33" s="155">
        <v>1.0</v>
      </c>
      <c r="JD33" s="161"/>
      <c r="JE33" s="161"/>
      <c r="JF33" s="161"/>
      <c r="JG33" s="161"/>
      <c r="JH33" s="161"/>
      <c r="JI33" s="161"/>
      <c r="JJ33" s="161"/>
      <c r="JK33" s="161"/>
      <c r="JL33" s="161"/>
      <c r="JM33" s="161"/>
      <c r="JN33" s="161"/>
      <c r="JO33" s="161"/>
      <c r="JP33" s="161"/>
      <c r="JQ33" s="161"/>
      <c r="JR33" s="161"/>
      <c r="JS33" s="161"/>
      <c r="JT33" s="161"/>
      <c r="JU33" s="161"/>
      <c r="JV33" s="161"/>
      <c r="JW33" s="161"/>
      <c r="JX33" s="161"/>
      <c r="JY33" s="161"/>
      <c r="JZ33" s="161"/>
      <c r="KA33" s="161"/>
      <c r="KB33" s="155">
        <v>1.0</v>
      </c>
      <c r="KC33" s="161"/>
      <c r="KD33" s="161"/>
      <c r="KE33" s="161"/>
      <c r="KF33" s="161"/>
      <c r="KG33" s="161"/>
      <c r="KH33" s="161"/>
      <c r="KI33" s="161"/>
      <c r="KJ33" s="161"/>
      <c r="KK33" s="161"/>
      <c r="KL33" s="161"/>
      <c r="KM33" s="161"/>
      <c r="KN33" s="161"/>
      <c r="KO33" s="161"/>
      <c r="KP33" s="161"/>
      <c r="KQ33" s="161"/>
      <c r="KR33" s="162"/>
      <c r="KS33" s="161"/>
      <c r="KT33" s="161"/>
      <c r="KU33" s="161"/>
      <c r="KV33" s="161"/>
      <c r="KW33" s="161"/>
      <c r="KX33" s="129"/>
    </row>
    <row r="34">
      <c r="A34" s="158">
        <v>35.0</v>
      </c>
      <c r="B34" s="158">
        <f t="shared" si="1"/>
        <v>16</v>
      </c>
      <c r="C34" s="158" t="s">
        <v>2342</v>
      </c>
      <c r="D34" s="159" t="s">
        <v>2548</v>
      </c>
      <c r="E34" s="160"/>
      <c r="F34" s="159" t="s">
        <v>2549</v>
      </c>
      <c r="G34" s="159" t="s">
        <v>2550</v>
      </c>
      <c r="H34" s="155">
        <v>1.0</v>
      </c>
      <c r="I34" s="161"/>
      <c r="J34" s="161"/>
      <c r="K34" s="161"/>
      <c r="L34" s="161"/>
      <c r="M34" s="161"/>
      <c r="N34" s="161"/>
      <c r="O34" s="161"/>
      <c r="P34" s="161"/>
      <c r="Q34" s="161"/>
      <c r="R34" s="161"/>
      <c r="S34" s="161"/>
      <c r="T34" s="161"/>
      <c r="U34" s="161"/>
      <c r="V34" s="161"/>
      <c r="W34" s="161"/>
      <c r="X34" s="161"/>
      <c r="Y34" s="161"/>
      <c r="Z34" s="155">
        <v>1.0</v>
      </c>
      <c r="AA34" s="161"/>
      <c r="AB34" s="161"/>
      <c r="AC34" s="161"/>
      <c r="AD34" s="161"/>
      <c r="AE34" s="161"/>
      <c r="AF34" s="161"/>
      <c r="AG34" s="161"/>
      <c r="AH34" s="161"/>
      <c r="AI34" s="161"/>
      <c r="AJ34" s="156"/>
      <c r="AK34" s="155">
        <v>1.0</v>
      </c>
      <c r="AL34" s="161"/>
      <c r="AM34" s="161"/>
      <c r="AN34" s="161"/>
      <c r="AO34" s="161"/>
      <c r="AP34" s="155">
        <v>1.0</v>
      </c>
      <c r="AQ34" s="161"/>
      <c r="AR34" s="161"/>
      <c r="AS34" s="161"/>
      <c r="AT34" s="161"/>
      <c r="AU34" s="161"/>
      <c r="AV34" s="161"/>
      <c r="AW34" s="162"/>
      <c r="AX34" s="162"/>
      <c r="AY34" s="161"/>
      <c r="AZ34" s="161"/>
      <c r="BA34" s="161"/>
      <c r="BB34" s="161"/>
      <c r="BC34" s="161"/>
      <c r="BD34" s="161"/>
      <c r="BE34" s="161"/>
      <c r="BF34" s="161"/>
      <c r="BG34" s="161"/>
      <c r="BH34" s="161"/>
      <c r="BI34" s="161"/>
      <c r="BJ34" s="161"/>
      <c r="BK34" s="161"/>
      <c r="BL34" s="161"/>
      <c r="BM34" s="161"/>
      <c r="BN34" s="161"/>
      <c r="BO34" s="155">
        <v>1.0</v>
      </c>
      <c r="BP34" s="161"/>
      <c r="BQ34" s="161"/>
      <c r="BR34" s="161"/>
      <c r="BS34" s="161"/>
      <c r="BT34" s="161"/>
      <c r="BU34" s="161"/>
      <c r="BV34" s="161"/>
      <c r="BW34" s="161"/>
      <c r="BX34" s="161"/>
      <c r="BY34" s="161"/>
      <c r="BZ34" s="161"/>
      <c r="CA34" s="161"/>
      <c r="CB34" s="161"/>
      <c r="CC34" s="155">
        <v>1.0</v>
      </c>
      <c r="CD34" s="161"/>
      <c r="CE34" s="161"/>
      <c r="CF34" s="155"/>
      <c r="CG34" s="161"/>
      <c r="CH34" s="161"/>
      <c r="CI34" s="161"/>
      <c r="CJ34" s="161"/>
      <c r="CK34" s="161"/>
      <c r="CL34" s="161"/>
      <c r="CM34" s="161"/>
      <c r="CN34" s="161"/>
      <c r="CO34" s="161"/>
      <c r="CP34" s="161"/>
      <c r="CQ34" s="161"/>
      <c r="CR34" s="161"/>
      <c r="CS34" s="129"/>
      <c r="CT34" s="161"/>
      <c r="CU34" s="129"/>
      <c r="CV34" s="161"/>
      <c r="CW34" s="161"/>
      <c r="CX34" s="161"/>
      <c r="CY34" s="161"/>
      <c r="CZ34" s="161"/>
      <c r="DA34" s="161"/>
      <c r="DB34" s="155">
        <v>1.0</v>
      </c>
      <c r="DC34" s="161"/>
      <c r="DD34" s="161"/>
      <c r="DE34" s="162"/>
      <c r="DF34" s="162"/>
      <c r="DG34" s="162"/>
      <c r="DH34" s="162"/>
      <c r="DI34" s="162"/>
      <c r="DJ34" s="162"/>
      <c r="DK34" s="162"/>
      <c r="DL34" s="155">
        <v>1.0</v>
      </c>
      <c r="DM34" s="161"/>
      <c r="DN34" s="162"/>
      <c r="DO34" s="161"/>
      <c r="DP34" s="161"/>
      <c r="DQ34" s="161"/>
      <c r="DR34" s="162"/>
      <c r="DS34" s="161"/>
      <c r="DT34" s="161"/>
      <c r="DU34" s="162"/>
      <c r="DV34" s="162"/>
      <c r="DW34" s="161"/>
      <c r="DX34" s="161"/>
      <c r="DY34" s="162"/>
      <c r="DZ34" s="162"/>
      <c r="EA34" s="161"/>
      <c r="EB34" s="162"/>
      <c r="EC34" s="161"/>
      <c r="ED34" s="162"/>
      <c r="EE34" s="162"/>
      <c r="EF34" s="161"/>
      <c r="EG34" s="161"/>
      <c r="EH34" s="161"/>
      <c r="EI34" s="161"/>
      <c r="EJ34" s="161"/>
      <c r="EK34" s="161"/>
      <c r="EL34" s="162"/>
      <c r="EM34" s="155">
        <v>1.0</v>
      </c>
      <c r="EN34" s="161"/>
      <c r="EO34" s="161"/>
      <c r="EP34" s="161"/>
      <c r="EQ34" s="155">
        <v>1.0</v>
      </c>
      <c r="ER34" s="161"/>
      <c r="ES34" s="155">
        <v>1.0</v>
      </c>
      <c r="ET34" s="162"/>
      <c r="EU34" s="161"/>
      <c r="EV34" s="161"/>
      <c r="EW34" s="161"/>
      <c r="EX34" s="161"/>
      <c r="EY34" s="161"/>
      <c r="EZ34" s="155">
        <v>1.0</v>
      </c>
      <c r="FA34" s="161"/>
      <c r="FB34" s="161"/>
      <c r="FC34" s="161"/>
      <c r="FD34" s="161"/>
      <c r="FE34" s="161"/>
      <c r="FF34" s="161"/>
      <c r="FG34" s="161"/>
      <c r="FH34" s="161"/>
      <c r="FI34" s="155">
        <v>1.0</v>
      </c>
      <c r="FJ34" s="161"/>
      <c r="FK34" s="161"/>
      <c r="FL34" s="161"/>
      <c r="FM34" s="161"/>
      <c r="FN34" s="161"/>
      <c r="FO34" s="161"/>
      <c r="FP34" s="155">
        <v>1.0</v>
      </c>
      <c r="FQ34" s="161"/>
      <c r="FR34" s="161"/>
      <c r="FS34" s="161"/>
      <c r="FT34" s="161"/>
      <c r="FU34" s="161"/>
      <c r="FV34" s="161"/>
      <c r="FW34" s="161"/>
      <c r="FX34" s="161"/>
      <c r="FY34" s="161"/>
      <c r="FZ34" s="161"/>
      <c r="GA34" s="161"/>
      <c r="GB34" s="161"/>
      <c r="GC34" s="161"/>
      <c r="GD34" s="161"/>
      <c r="GE34" s="161"/>
      <c r="GF34" s="161"/>
      <c r="GG34" s="161"/>
      <c r="GH34" s="161"/>
      <c r="GI34" s="161"/>
      <c r="GJ34" s="161"/>
      <c r="GK34" s="161"/>
      <c r="GL34" s="161"/>
      <c r="GM34" s="161"/>
      <c r="GN34" s="161"/>
      <c r="GO34" s="161"/>
      <c r="GP34" s="161"/>
      <c r="GQ34" s="161"/>
      <c r="GR34" s="161"/>
      <c r="GS34" s="161"/>
      <c r="GT34" s="161"/>
      <c r="GU34" s="161"/>
      <c r="GV34" s="161"/>
      <c r="GW34" s="161"/>
      <c r="GX34" s="161"/>
      <c r="GY34" s="161"/>
      <c r="GZ34" s="161"/>
      <c r="HA34" s="161"/>
      <c r="HB34" s="161"/>
      <c r="HC34" s="161"/>
      <c r="HD34" s="162"/>
      <c r="HE34" s="161"/>
      <c r="HF34" s="162"/>
      <c r="HG34" s="161"/>
      <c r="HH34" s="161"/>
      <c r="HI34" s="161"/>
      <c r="HJ34" s="161"/>
      <c r="HK34" s="161"/>
      <c r="HL34" s="155"/>
      <c r="HM34" s="155">
        <v>1.0</v>
      </c>
      <c r="HN34" s="161"/>
      <c r="HO34" s="161"/>
      <c r="HP34" s="161"/>
      <c r="HQ34" s="161"/>
      <c r="HR34" s="161"/>
      <c r="HS34" s="161"/>
      <c r="HT34" s="161"/>
      <c r="HU34" s="161"/>
      <c r="HV34" s="161"/>
      <c r="HW34" s="161"/>
      <c r="HX34" s="161"/>
      <c r="HY34" s="161"/>
      <c r="HZ34" s="161"/>
      <c r="IA34" s="161"/>
      <c r="IB34" s="161"/>
      <c r="IC34" s="161"/>
      <c r="ID34" s="161"/>
      <c r="IE34" s="161"/>
      <c r="IF34" s="161"/>
      <c r="IG34" s="161"/>
      <c r="IH34" s="161"/>
      <c r="II34" s="161"/>
      <c r="IJ34" s="161"/>
      <c r="IK34" s="161"/>
      <c r="IL34" s="161"/>
      <c r="IM34" s="161"/>
      <c r="IN34" s="161"/>
      <c r="IO34" s="161"/>
      <c r="IP34" s="161"/>
      <c r="IQ34" s="161"/>
      <c r="IR34" s="161"/>
      <c r="IS34" s="161"/>
      <c r="IT34" s="161"/>
      <c r="IU34" s="161"/>
      <c r="IV34" s="161"/>
      <c r="IW34" s="161"/>
      <c r="IX34" s="161"/>
      <c r="IY34" s="161"/>
      <c r="IZ34" s="161"/>
      <c r="JA34" s="161"/>
      <c r="JB34" s="161"/>
      <c r="JC34" s="161"/>
      <c r="JD34" s="161"/>
      <c r="JE34" s="161"/>
      <c r="JF34" s="161"/>
      <c r="JG34" s="161"/>
      <c r="JH34" s="161"/>
      <c r="JI34" s="161"/>
      <c r="JJ34" s="161"/>
      <c r="JK34" s="161"/>
      <c r="JL34" s="161"/>
      <c r="JM34" s="161"/>
      <c r="JN34" s="161"/>
      <c r="JO34" s="161"/>
      <c r="JP34" s="161"/>
      <c r="JQ34" s="161"/>
      <c r="JR34" s="161"/>
      <c r="JS34" s="161"/>
      <c r="JT34" s="161"/>
      <c r="JU34" s="161"/>
      <c r="JV34" s="161"/>
      <c r="JW34" s="161"/>
      <c r="JX34" s="155">
        <v>1.0</v>
      </c>
      <c r="JY34" s="161"/>
      <c r="JZ34" s="161"/>
      <c r="KA34" s="161"/>
      <c r="KB34" s="161"/>
      <c r="KC34" s="161"/>
      <c r="KD34" s="161"/>
      <c r="KE34" s="161"/>
      <c r="KF34" s="161"/>
      <c r="KG34" s="161"/>
      <c r="KH34" s="161"/>
      <c r="KI34" s="161"/>
      <c r="KJ34" s="161"/>
      <c r="KK34" s="161"/>
      <c r="KL34" s="161"/>
      <c r="KM34" s="161"/>
      <c r="KN34" s="161"/>
      <c r="KO34" s="161"/>
      <c r="KP34" s="161"/>
      <c r="KQ34" s="161"/>
      <c r="KR34" s="162"/>
      <c r="KS34" s="161"/>
      <c r="KT34" s="161"/>
      <c r="KU34" s="161"/>
      <c r="KV34" s="161"/>
      <c r="KW34" s="161"/>
      <c r="KX34" s="129"/>
    </row>
    <row r="35">
      <c r="A35" s="158">
        <v>36.0</v>
      </c>
      <c r="B35" s="158">
        <f t="shared" si="1"/>
        <v>19</v>
      </c>
      <c r="C35" s="158" t="s">
        <v>2342</v>
      </c>
      <c r="D35" s="165" t="s">
        <v>2553</v>
      </c>
      <c r="E35" s="160"/>
      <c r="F35" s="159" t="s">
        <v>2554</v>
      </c>
      <c r="G35" s="159" t="s">
        <v>2555</v>
      </c>
      <c r="H35" s="161"/>
      <c r="I35" s="161"/>
      <c r="J35" s="161"/>
      <c r="K35" s="161"/>
      <c r="L35" s="161"/>
      <c r="M35" s="155"/>
      <c r="N35" s="155"/>
      <c r="O35" s="155"/>
      <c r="P35" s="155">
        <v>1.0</v>
      </c>
      <c r="Q35" s="161"/>
      <c r="R35" s="161"/>
      <c r="S35" s="155">
        <v>1.0</v>
      </c>
      <c r="T35" s="161"/>
      <c r="U35" s="161"/>
      <c r="V35" s="155"/>
      <c r="W35" s="155">
        <v>1.0</v>
      </c>
      <c r="X35" s="161"/>
      <c r="Y35" s="161"/>
      <c r="Z35" s="161"/>
      <c r="AA35" s="161"/>
      <c r="AB35" s="161"/>
      <c r="AC35" s="161"/>
      <c r="AD35" s="161"/>
      <c r="AE35" s="161"/>
      <c r="AF35" s="161"/>
      <c r="AG35" s="161"/>
      <c r="AH35" s="161"/>
      <c r="AI35" s="161"/>
      <c r="AJ35" s="162"/>
      <c r="AK35" s="161"/>
      <c r="AL35" s="161"/>
      <c r="AM35" s="161"/>
      <c r="AN35" s="161"/>
      <c r="AO35" s="161"/>
      <c r="AP35" s="161"/>
      <c r="AQ35" s="161"/>
      <c r="AR35" s="161"/>
      <c r="AS35" s="161"/>
      <c r="AT35" s="161"/>
      <c r="AU35" s="161"/>
      <c r="AV35" s="161"/>
      <c r="AW35" s="162"/>
      <c r="AX35" s="162"/>
      <c r="AY35" s="161"/>
      <c r="AZ35" s="161"/>
      <c r="BA35" s="161"/>
      <c r="BB35" s="161"/>
      <c r="BC35" s="161"/>
      <c r="BD35" s="161"/>
      <c r="BE35" s="161"/>
      <c r="BF35" s="161"/>
      <c r="BG35" s="161"/>
      <c r="BH35" s="161"/>
      <c r="BI35" s="161"/>
      <c r="BJ35" s="161"/>
      <c r="BK35" s="161"/>
      <c r="BL35" s="155">
        <v>1.0</v>
      </c>
      <c r="BM35" s="161"/>
      <c r="BN35" s="161"/>
      <c r="BO35" s="161"/>
      <c r="BP35" s="155"/>
      <c r="BQ35" s="161"/>
      <c r="BR35" s="155"/>
      <c r="BS35" s="155">
        <v>1.0</v>
      </c>
      <c r="BT35" s="161"/>
      <c r="BU35" s="161"/>
      <c r="BV35" s="161"/>
      <c r="BW35" s="161"/>
      <c r="BX35" s="161"/>
      <c r="BY35" s="161"/>
      <c r="BZ35" s="161"/>
      <c r="CA35" s="161"/>
      <c r="CB35" s="161"/>
      <c r="CC35" s="161"/>
      <c r="CD35" s="161"/>
      <c r="CE35" s="161"/>
      <c r="CF35" s="161"/>
      <c r="CG35" s="155">
        <v>1.0</v>
      </c>
      <c r="CH35" s="161"/>
      <c r="CI35" s="161"/>
      <c r="CJ35" s="161"/>
      <c r="CK35" s="161"/>
      <c r="CL35" s="161"/>
      <c r="CM35" s="155">
        <v>1.0</v>
      </c>
      <c r="CN35" s="161"/>
      <c r="CO35" s="155">
        <v>1.0</v>
      </c>
      <c r="CP35" s="161"/>
      <c r="CQ35" s="161"/>
      <c r="CR35" s="161"/>
      <c r="CS35" s="129"/>
      <c r="CT35" s="161"/>
      <c r="CU35" s="129"/>
      <c r="CV35" s="161"/>
      <c r="CW35" s="161"/>
      <c r="CX35" s="161"/>
      <c r="CY35" s="161"/>
      <c r="CZ35" s="161"/>
      <c r="DA35" s="161"/>
      <c r="DB35" s="129"/>
      <c r="DC35" s="161"/>
      <c r="DD35" s="161"/>
      <c r="DE35" s="162"/>
      <c r="DF35" s="162"/>
      <c r="DG35" s="162"/>
      <c r="DH35" s="162"/>
      <c r="DI35" s="162"/>
      <c r="DJ35" s="162"/>
      <c r="DK35" s="162"/>
      <c r="DL35" s="161"/>
      <c r="DM35" s="161"/>
      <c r="DN35" s="162"/>
      <c r="DO35" s="161"/>
      <c r="DP35" s="161"/>
      <c r="DQ35" s="161"/>
      <c r="DR35" s="162"/>
      <c r="DS35" s="161"/>
      <c r="DT35" s="161"/>
      <c r="DU35" s="162"/>
      <c r="DV35" s="162"/>
      <c r="DW35" s="161"/>
      <c r="DX35" s="161"/>
      <c r="DY35" s="162"/>
      <c r="DZ35" s="162"/>
      <c r="EA35" s="161"/>
      <c r="EB35" s="162"/>
      <c r="EC35" s="155">
        <v>1.0</v>
      </c>
      <c r="ED35" s="162"/>
      <c r="EE35" s="162"/>
      <c r="EF35" s="161"/>
      <c r="EG35" s="161"/>
      <c r="EH35" s="161"/>
      <c r="EI35" s="161"/>
      <c r="EJ35" s="161"/>
      <c r="EK35" s="161"/>
      <c r="EL35" s="162"/>
      <c r="EM35" s="161"/>
      <c r="EN35" s="161"/>
      <c r="EO35" s="161"/>
      <c r="EP35" s="161"/>
      <c r="EQ35" s="161"/>
      <c r="ER35" s="161"/>
      <c r="ES35" s="161"/>
      <c r="ET35" s="162"/>
      <c r="EU35" s="161"/>
      <c r="EV35" s="161"/>
      <c r="EW35" s="161"/>
      <c r="EX35" s="161"/>
      <c r="EY35" s="161"/>
      <c r="EZ35" s="155">
        <v>1.0</v>
      </c>
      <c r="FA35" s="161"/>
      <c r="FB35" s="161"/>
      <c r="FC35" s="155">
        <v>1.0</v>
      </c>
      <c r="FD35" s="161"/>
      <c r="FE35" s="161"/>
      <c r="FF35" s="161"/>
      <c r="FG35" s="161"/>
      <c r="FH35" s="161"/>
      <c r="FI35" s="161"/>
      <c r="FJ35" s="161"/>
      <c r="FK35" s="161"/>
      <c r="FL35" s="161"/>
      <c r="FM35" s="161"/>
      <c r="FN35" s="161"/>
      <c r="FO35" s="161"/>
      <c r="FP35" s="161"/>
      <c r="FQ35" s="161"/>
      <c r="FR35" s="161"/>
      <c r="FS35" s="161"/>
      <c r="FT35" s="161"/>
      <c r="FU35" s="161"/>
      <c r="FV35" s="161"/>
      <c r="FW35" s="161"/>
      <c r="FX35" s="161"/>
      <c r="FY35" s="161"/>
      <c r="FZ35" s="155">
        <v>1.0</v>
      </c>
      <c r="GA35" s="161"/>
      <c r="GB35" s="161"/>
      <c r="GC35" s="161"/>
      <c r="GD35" s="161"/>
      <c r="GE35" s="161"/>
      <c r="GF35" s="161"/>
      <c r="GG35" s="161"/>
      <c r="GH35" s="161"/>
      <c r="GI35" s="161"/>
      <c r="GJ35" s="161"/>
      <c r="GK35" s="161"/>
      <c r="GL35" s="161"/>
      <c r="GM35" s="161"/>
      <c r="GN35" s="161"/>
      <c r="GO35" s="161"/>
      <c r="GP35" s="161"/>
      <c r="GQ35" s="161"/>
      <c r="GR35" s="161"/>
      <c r="GS35" s="161"/>
      <c r="GT35" s="161"/>
      <c r="GU35" s="161"/>
      <c r="GV35" s="161"/>
      <c r="GW35" s="161"/>
      <c r="GX35" s="161"/>
      <c r="GY35" s="161"/>
      <c r="GZ35" s="161"/>
      <c r="HA35" s="161"/>
      <c r="HB35" s="161"/>
      <c r="HC35" s="161"/>
      <c r="HD35" s="162"/>
      <c r="HE35" s="161"/>
      <c r="HF35" s="162"/>
      <c r="HG35" s="155">
        <v>1.0</v>
      </c>
      <c r="HH35" s="161"/>
      <c r="HI35" s="161"/>
      <c r="HJ35" s="161"/>
      <c r="HK35" s="161"/>
      <c r="HL35" s="161"/>
      <c r="HM35" s="161"/>
      <c r="HN35" s="161"/>
      <c r="HO35" s="161"/>
      <c r="HP35" s="161"/>
      <c r="HQ35" s="161"/>
      <c r="HR35" s="161"/>
      <c r="HS35" s="161"/>
      <c r="HT35" s="161"/>
      <c r="HU35" s="161"/>
      <c r="HV35" s="161"/>
      <c r="HW35" s="161"/>
      <c r="HX35" s="161"/>
      <c r="HY35" s="161"/>
      <c r="HZ35" s="161"/>
      <c r="IA35" s="161"/>
      <c r="IB35" s="161"/>
      <c r="IC35" s="155">
        <v>1.0</v>
      </c>
      <c r="ID35" s="161"/>
      <c r="IE35" s="161"/>
      <c r="IF35" s="155">
        <v>1.0</v>
      </c>
      <c r="IG35" s="161"/>
      <c r="IH35" s="155"/>
      <c r="II35" s="161"/>
      <c r="IJ35" s="161"/>
      <c r="IK35" s="155">
        <v>1.0</v>
      </c>
      <c r="IL35" s="161"/>
      <c r="IM35" s="161"/>
      <c r="IN35" s="161"/>
      <c r="IO35" s="161"/>
      <c r="IP35" s="161"/>
      <c r="IQ35" s="161"/>
      <c r="IR35" s="161"/>
      <c r="IS35" s="161"/>
      <c r="IT35" s="161"/>
      <c r="IU35" s="161"/>
      <c r="IV35" s="161"/>
      <c r="IW35" s="161"/>
      <c r="IX35" s="161"/>
      <c r="IY35" s="161"/>
      <c r="IZ35" s="161"/>
      <c r="JA35" s="161"/>
      <c r="JB35" s="161"/>
      <c r="JC35" s="161"/>
      <c r="JD35" s="161"/>
      <c r="JE35" s="161"/>
      <c r="JF35" s="161"/>
      <c r="JG35" s="161"/>
      <c r="JH35" s="161"/>
      <c r="JI35" s="161"/>
      <c r="JJ35" s="161"/>
      <c r="JK35" s="161"/>
      <c r="JL35" s="161"/>
      <c r="JM35" s="161"/>
      <c r="JN35" s="161"/>
      <c r="JO35" s="161"/>
      <c r="JP35" s="161"/>
      <c r="JQ35" s="161"/>
      <c r="JR35" s="161"/>
      <c r="JS35" s="161"/>
      <c r="JT35" s="161"/>
      <c r="JU35" s="161"/>
      <c r="JV35" s="155">
        <v>1.0</v>
      </c>
      <c r="JW35" s="161"/>
      <c r="JX35" s="161"/>
      <c r="JY35" s="161"/>
      <c r="JZ35" s="161"/>
      <c r="KA35" s="161"/>
      <c r="KB35" s="161"/>
      <c r="KC35" s="155"/>
      <c r="KD35" s="155">
        <v>1.0</v>
      </c>
      <c r="KE35" s="161"/>
      <c r="KF35" s="161"/>
      <c r="KG35" s="161"/>
      <c r="KH35" s="161"/>
      <c r="KI35" s="161"/>
      <c r="KJ35" s="161"/>
      <c r="KK35" s="161"/>
      <c r="KL35" s="161"/>
      <c r="KM35" s="161"/>
      <c r="KN35" s="161"/>
      <c r="KO35" s="161"/>
      <c r="KP35" s="161"/>
      <c r="KQ35" s="161"/>
      <c r="KR35" s="162"/>
      <c r="KS35" s="155">
        <v>1.0</v>
      </c>
      <c r="KT35" s="161"/>
      <c r="KU35" s="161"/>
      <c r="KV35" s="161"/>
      <c r="KW35" s="161"/>
      <c r="KX35" s="129"/>
    </row>
    <row r="36">
      <c r="A36" s="158">
        <v>37.0</v>
      </c>
      <c r="B36" s="158">
        <f t="shared" si="1"/>
        <v>20</v>
      </c>
      <c r="C36" s="158" t="s">
        <v>2342</v>
      </c>
      <c r="D36" s="159" t="s">
        <v>2559</v>
      </c>
      <c r="E36" s="160"/>
      <c r="F36" s="159" t="s">
        <v>2560</v>
      </c>
      <c r="G36" s="159" t="s">
        <v>2561</v>
      </c>
      <c r="H36" s="161"/>
      <c r="I36" s="161"/>
      <c r="J36" s="155">
        <v>1.0</v>
      </c>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55">
        <v>1.0</v>
      </c>
      <c r="AI36" s="161"/>
      <c r="AJ36" s="162"/>
      <c r="AK36" s="161"/>
      <c r="AL36" s="161"/>
      <c r="AM36" s="161"/>
      <c r="AN36" s="161"/>
      <c r="AO36" s="161"/>
      <c r="AP36" s="161"/>
      <c r="AQ36" s="161"/>
      <c r="AR36" s="161"/>
      <c r="AS36" s="161"/>
      <c r="AT36" s="161"/>
      <c r="AU36" s="155"/>
      <c r="AV36" s="161"/>
      <c r="AW36" s="162"/>
      <c r="AX36" s="162"/>
      <c r="AY36" s="161"/>
      <c r="AZ36" s="161"/>
      <c r="BA36" s="161"/>
      <c r="BB36" s="161"/>
      <c r="BC36" s="161"/>
      <c r="BD36" s="161"/>
      <c r="BE36" s="161"/>
      <c r="BF36" s="155"/>
      <c r="BG36" s="155">
        <v>1.0</v>
      </c>
      <c r="BH36" s="161"/>
      <c r="BI36" s="161"/>
      <c r="BJ36" s="161"/>
      <c r="BK36" s="161"/>
      <c r="BL36" s="161"/>
      <c r="BM36" s="161"/>
      <c r="BN36" s="161"/>
      <c r="BO36" s="161"/>
      <c r="BP36" s="161"/>
      <c r="BQ36" s="161"/>
      <c r="BR36" s="161"/>
      <c r="BS36" s="161"/>
      <c r="BT36" s="161"/>
      <c r="BU36" s="161"/>
      <c r="BV36" s="161"/>
      <c r="BW36" s="161"/>
      <c r="BX36" s="161"/>
      <c r="BY36" s="155">
        <v>1.0</v>
      </c>
      <c r="BZ36" s="155"/>
      <c r="CA36" s="155">
        <v>1.0</v>
      </c>
      <c r="CB36" s="161"/>
      <c r="CC36" s="161"/>
      <c r="CD36" s="161"/>
      <c r="CE36" s="161"/>
      <c r="CF36" s="161"/>
      <c r="CG36" s="161"/>
      <c r="CH36" s="161"/>
      <c r="CI36" s="161"/>
      <c r="CJ36" s="161"/>
      <c r="CK36" s="161"/>
      <c r="CL36" s="161"/>
      <c r="CM36" s="161"/>
      <c r="CN36" s="161"/>
      <c r="CO36" s="161"/>
      <c r="CP36" s="161"/>
      <c r="CQ36" s="161"/>
      <c r="CR36" s="161"/>
      <c r="CS36" s="129"/>
      <c r="CT36" s="155">
        <v>1.0</v>
      </c>
      <c r="CU36" s="129"/>
      <c r="CV36" s="161"/>
      <c r="CW36" s="161"/>
      <c r="CX36" s="161"/>
      <c r="CY36" s="161"/>
      <c r="CZ36" s="161"/>
      <c r="DA36" s="161"/>
      <c r="DB36" s="161"/>
      <c r="DC36" s="161"/>
      <c r="DD36" s="161"/>
      <c r="DE36" s="162"/>
      <c r="DF36" s="162"/>
      <c r="DG36" s="162"/>
      <c r="DH36" s="162"/>
      <c r="DI36" s="162"/>
      <c r="DJ36" s="162"/>
      <c r="DK36" s="162"/>
      <c r="DL36" s="161"/>
      <c r="DM36" s="161"/>
      <c r="DN36" s="162"/>
      <c r="DO36" s="155">
        <v>1.0</v>
      </c>
      <c r="DP36" s="161"/>
      <c r="DQ36" s="161"/>
      <c r="DR36" s="162"/>
      <c r="DS36" s="161"/>
      <c r="DT36" s="161"/>
      <c r="DU36" s="162"/>
      <c r="DV36" s="162"/>
      <c r="DW36" s="161"/>
      <c r="DX36" s="161"/>
      <c r="DY36" s="162"/>
      <c r="DZ36" s="162"/>
      <c r="EA36" s="161"/>
      <c r="EB36" s="162"/>
      <c r="EC36" s="161"/>
      <c r="ED36" s="162"/>
      <c r="EE36" s="162"/>
      <c r="EF36" s="161"/>
      <c r="EG36" s="155">
        <v>1.0</v>
      </c>
      <c r="EH36" s="161"/>
      <c r="EI36" s="155">
        <v>1.0</v>
      </c>
      <c r="EJ36" s="161"/>
      <c r="EK36" s="161"/>
      <c r="EL36" s="162"/>
      <c r="EM36" s="161"/>
      <c r="EN36" s="155">
        <v>1.0</v>
      </c>
      <c r="EO36" s="161"/>
      <c r="EP36" s="161"/>
      <c r="EQ36" s="161"/>
      <c r="ER36" s="155">
        <v>1.0</v>
      </c>
      <c r="ES36" s="161"/>
      <c r="ET36" s="162"/>
      <c r="EU36" s="161"/>
      <c r="EV36" s="161"/>
      <c r="EW36" s="161"/>
      <c r="EX36" s="161"/>
      <c r="EY36" s="161"/>
      <c r="EZ36" s="161"/>
      <c r="FA36" s="161"/>
      <c r="FB36" s="161"/>
      <c r="FC36" s="161"/>
      <c r="FD36" s="161"/>
      <c r="FE36" s="161"/>
      <c r="FF36" s="161"/>
      <c r="FG36" s="161"/>
      <c r="FH36" s="161"/>
      <c r="FI36" s="161"/>
      <c r="FJ36" s="161"/>
      <c r="FK36" s="155">
        <v>1.0</v>
      </c>
      <c r="FL36" s="161"/>
      <c r="FM36" s="161"/>
      <c r="FN36" s="161"/>
      <c r="FO36" s="161"/>
      <c r="FP36" s="161"/>
      <c r="FQ36" s="161"/>
      <c r="FR36" s="161"/>
      <c r="FS36" s="161"/>
      <c r="FT36" s="161"/>
      <c r="FU36" s="161"/>
      <c r="FV36" s="161"/>
      <c r="FW36" s="161"/>
      <c r="FX36" s="161"/>
      <c r="FY36" s="161"/>
      <c r="FZ36" s="161"/>
      <c r="GA36" s="161"/>
      <c r="GB36" s="161"/>
      <c r="GC36" s="161"/>
      <c r="GD36" s="161"/>
      <c r="GE36" s="161"/>
      <c r="GF36" s="161"/>
      <c r="GG36" s="161"/>
      <c r="GH36" s="161"/>
      <c r="GI36" s="161"/>
      <c r="GJ36" s="161"/>
      <c r="GK36" s="161"/>
      <c r="GL36" s="161"/>
      <c r="GM36" s="155">
        <v>1.0</v>
      </c>
      <c r="GN36" s="161"/>
      <c r="GO36" s="161"/>
      <c r="GP36" s="161"/>
      <c r="GQ36" s="161"/>
      <c r="GR36" s="161"/>
      <c r="GS36" s="155">
        <v>1.0</v>
      </c>
      <c r="GT36" s="161"/>
      <c r="GU36" s="161"/>
      <c r="GV36" s="161"/>
      <c r="GW36" s="161"/>
      <c r="GX36" s="161"/>
      <c r="GY36" s="161"/>
      <c r="GZ36" s="155">
        <v>1.0</v>
      </c>
      <c r="HA36" s="155">
        <v>1.0</v>
      </c>
      <c r="HB36" s="155"/>
      <c r="HC36" s="155">
        <v>1.0</v>
      </c>
      <c r="HD36" s="162"/>
      <c r="HE36" s="161"/>
      <c r="HF36" s="162"/>
      <c r="HG36" s="161"/>
      <c r="HH36" s="161"/>
      <c r="HI36" s="161"/>
      <c r="HJ36" s="161"/>
      <c r="HK36" s="161"/>
      <c r="HL36" s="161"/>
      <c r="HM36" s="161"/>
      <c r="HN36" s="161"/>
      <c r="HO36" s="161"/>
      <c r="HP36" s="161"/>
      <c r="HQ36" s="161"/>
      <c r="HR36" s="161"/>
      <c r="HS36" s="161"/>
      <c r="HT36" s="161"/>
      <c r="HU36" s="161"/>
      <c r="HV36" s="161"/>
      <c r="HW36" s="161"/>
      <c r="HX36" s="161"/>
      <c r="HY36" s="161"/>
      <c r="HZ36" s="155">
        <v>1.0</v>
      </c>
      <c r="IA36" s="161"/>
      <c r="IB36" s="161"/>
      <c r="IC36" s="161"/>
      <c r="ID36" s="161"/>
      <c r="IE36" s="161"/>
      <c r="IF36" s="161"/>
      <c r="IG36" s="161"/>
      <c r="IH36" s="161"/>
      <c r="II36" s="161"/>
      <c r="IJ36" s="161"/>
      <c r="IK36" s="161"/>
      <c r="IL36" s="161"/>
      <c r="IM36" s="161"/>
      <c r="IN36" s="161"/>
      <c r="IO36" s="161"/>
      <c r="IP36" s="161"/>
      <c r="IQ36" s="161"/>
      <c r="IR36" s="161"/>
      <c r="IS36" s="161"/>
      <c r="IT36" s="161"/>
      <c r="IU36" s="161"/>
      <c r="IV36" s="161"/>
      <c r="IW36" s="161"/>
      <c r="IX36" s="155">
        <v>1.0</v>
      </c>
      <c r="IY36" s="161"/>
      <c r="IZ36" s="161"/>
      <c r="JA36" s="161"/>
      <c r="JB36" s="161"/>
      <c r="JC36" s="161"/>
      <c r="JD36" s="161"/>
      <c r="JE36" s="161"/>
      <c r="JF36" s="161"/>
      <c r="JG36" s="161"/>
      <c r="JH36" s="161"/>
      <c r="JI36" s="161"/>
      <c r="JJ36" s="161"/>
      <c r="JK36" s="161"/>
      <c r="JL36" s="161"/>
      <c r="JM36" s="161"/>
      <c r="JN36" s="161"/>
      <c r="JO36" s="155">
        <v>1.0</v>
      </c>
      <c r="JP36" s="161"/>
      <c r="JQ36" s="161"/>
      <c r="JR36" s="161"/>
      <c r="JS36" s="161"/>
      <c r="JT36" s="161"/>
      <c r="JU36" s="161"/>
      <c r="JV36" s="161"/>
      <c r="JW36" s="161"/>
      <c r="JX36" s="161"/>
      <c r="JY36" s="161"/>
      <c r="JZ36" s="161"/>
      <c r="KA36" s="161"/>
      <c r="KB36" s="161"/>
      <c r="KC36" s="161"/>
      <c r="KD36" s="161"/>
      <c r="KE36" s="161"/>
      <c r="KF36" s="161"/>
      <c r="KG36" s="161"/>
      <c r="KH36" s="161"/>
      <c r="KI36" s="161"/>
      <c r="KJ36" s="161"/>
      <c r="KK36" s="161"/>
      <c r="KL36" s="161"/>
      <c r="KM36" s="161"/>
      <c r="KN36" s="161"/>
      <c r="KO36" s="161"/>
      <c r="KP36" s="161"/>
      <c r="KQ36" s="161"/>
      <c r="KR36" s="162"/>
      <c r="KS36" s="161"/>
      <c r="KT36" s="161"/>
      <c r="KU36" s="161"/>
      <c r="KV36" s="161"/>
      <c r="KW36" s="161"/>
      <c r="KX36" s="129"/>
    </row>
    <row r="37">
      <c r="A37" s="158">
        <v>38.0</v>
      </c>
      <c r="B37" s="158">
        <f t="shared" si="1"/>
        <v>9</v>
      </c>
      <c r="C37" s="158" t="s">
        <v>2342</v>
      </c>
      <c r="D37" s="159" t="s">
        <v>2565</v>
      </c>
      <c r="E37" s="160"/>
      <c r="F37" s="163" t="s">
        <v>2647</v>
      </c>
      <c r="G37" s="159" t="s">
        <v>2382</v>
      </c>
      <c r="H37" s="155"/>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2"/>
      <c r="AK37" s="161"/>
      <c r="AL37" s="161"/>
      <c r="AM37" s="161"/>
      <c r="AN37" s="161"/>
      <c r="AO37" s="161"/>
      <c r="AP37" s="161"/>
      <c r="AQ37" s="161"/>
      <c r="AR37" s="161"/>
      <c r="AS37" s="161"/>
      <c r="AT37" s="161"/>
      <c r="AU37" s="161"/>
      <c r="AV37" s="161"/>
      <c r="AW37" s="162"/>
      <c r="AX37" s="162"/>
      <c r="AY37" s="161"/>
      <c r="AZ37" s="161"/>
      <c r="BA37" s="161"/>
      <c r="BB37" s="161"/>
      <c r="BC37" s="161"/>
      <c r="BD37" s="161"/>
      <c r="BE37" s="161"/>
      <c r="BF37" s="161"/>
      <c r="BG37" s="161"/>
      <c r="BH37" s="161"/>
      <c r="BI37" s="161"/>
      <c r="BJ37" s="161"/>
      <c r="BK37" s="161"/>
      <c r="BL37" s="161"/>
      <c r="BM37" s="161"/>
      <c r="BN37" s="161"/>
      <c r="BO37" s="161"/>
      <c r="BP37" s="161"/>
      <c r="BQ37" s="161"/>
      <c r="BR37" s="161"/>
      <c r="BS37" s="161"/>
      <c r="BT37" s="161"/>
      <c r="BU37" s="161"/>
      <c r="BV37" s="161"/>
      <c r="BW37" s="161"/>
      <c r="BX37" s="161"/>
      <c r="BY37" s="161"/>
      <c r="BZ37" s="161"/>
      <c r="CA37" s="161"/>
      <c r="CB37" s="161"/>
      <c r="CC37" s="161"/>
      <c r="CD37" s="161"/>
      <c r="CE37" s="161"/>
      <c r="CF37" s="161"/>
      <c r="CG37" s="161"/>
      <c r="CH37" s="161"/>
      <c r="CI37" s="161"/>
      <c r="CJ37" s="161"/>
      <c r="CK37" s="161"/>
      <c r="CL37" s="161"/>
      <c r="CM37" s="161"/>
      <c r="CN37" s="161"/>
      <c r="CO37" s="161"/>
      <c r="CP37" s="161"/>
      <c r="CQ37" s="161"/>
      <c r="CR37" s="161"/>
      <c r="CS37" s="161"/>
      <c r="CT37" s="129"/>
      <c r="CU37" s="129"/>
      <c r="CV37" s="155">
        <v>1.0</v>
      </c>
      <c r="CW37" s="161"/>
      <c r="CX37" s="161"/>
      <c r="CY37" s="161"/>
      <c r="CZ37" s="161"/>
      <c r="DA37" s="161"/>
      <c r="DB37" s="161"/>
      <c r="DC37" s="161"/>
      <c r="DD37" s="161"/>
      <c r="DE37" s="162"/>
      <c r="DF37" s="162"/>
      <c r="DG37" s="162"/>
      <c r="DH37" s="162"/>
      <c r="DI37" s="162"/>
      <c r="DJ37" s="162"/>
      <c r="DK37" s="162"/>
      <c r="DL37" s="161"/>
      <c r="DM37" s="161"/>
      <c r="DN37" s="162"/>
      <c r="DO37" s="161"/>
      <c r="DP37" s="161"/>
      <c r="DQ37" s="161"/>
      <c r="DR37" s="162"/>
      <c r="DS37" s="161"/>
      <c r="DT37" s="161"/>
      <c r="DU37" s="162"/>
      <c r="DV37" s="162"/>
      <c r="DW37" s="161"/>
      <c r="DX37" s="161"/>
      <c r="DY37" s="162"/>
      <c r="DZ37" s="162"/>
      <c r="EA37" s="161"/>
      <c r="EB37" s="162"/>
      <c r="EC37" s="161"/>
      <c r="ED37" s="162"/>
      <c r="EE37" s="162"/>
      <c r="EF37" s="161"/>
      <c r="EG37" s="161"/>
      <c r="EH37" s="161"/>
      <c r="EI37" s="161"/>
      <c r="EJ37" s="161"/>
      <c r="EK37" s="161"/>
      <c r="EL37" s="162"/>
      <c r="EM37" s="161"/>
      <c r="EN37" s="161"/>
      <c r="EO37" s="161"/>
      <c r="EP37" s="161"/>
      <c r="EQ37" s="161"/>
      <c r="ER37" s="161"/>
      <c r="ES37" s="161"/>
      <c r="ET37" s="162"/>
      <c r="EU37" s="161"/>
      <c r="EV37" s="161"/>
      <c r="EW37" s="155">
        <v>1.0</v>
      </c>
      <c r="EX37" s="155">
        <v>1.0</v>
      </c>
      <c r="EY37" s="161"/>
      <c r="EZ37" s="161"/>
      <c r="FA37" s="161"/>
      <c r="FB37" s="161"/>
      <c r="FC37" s="161"/>
      <c r="FD37" s="161"/>
      <c r="FE37" s="161"/>
      <c r="FF37" s="161"/>
      <c r="FG37" s="161"/>
      <c r="FH37" s="161"/>
      <c r="FI37" s="161"/>
      <c r="FJ37" s="161"/>
      <c r="FK37" s="155">
        <v>1.0</v>
      </c>
      <c r="FL37" s="161"/>
      <c r="FM37" s="161"/>
      <c r="FN37" s="161"/>
      <c r="FO37" s="161"/>
      <c r="FP37" s="161"/>
      <c r="FQ37" s="161"/>
      <c r="FR37" s="161"/>
      <c r="FS37" s="161"/>
      <c r="FT37" s="161"/>
      <c r="FU37" s="161"/>
      <c r="FV37" s="161"/>
      <c r="FW37" s="161"/>
      <c r="FX37" s="161"/>
      <c r="FY37" s="161"/>
      <c r="FZ37" s="161"/>
      <c r="GA37" s="161"/>
      <c r="GB37" s="161"/>
      <c r="GC37" s="161"/>
      <c r="GD37" s="161"/>
      <c r="GE37" s="161"/>
      <c r="GF37" s="161"/>
      <c r="GG37" s="161"/>
      <c r="GH37" s="161"/>
      <c r="GI37" s="161"/>
      <c r="GJ37" s="161"/>
      <c r="GK37" s="161"/>
      <c r="GL37" s="161"/>
      <c r="GM37" s="161"/>
      <c r="GN37" s="161"/>
      <c r="GO37" s="161"/>
      <c r="GP37" s="161"/>
      <c r="GQ37" s="161"/>
      <c r="GR37" s="161"/>
      <c r="GS37" s="161"/>
      <c r="GT37" s="161"/>
      <c r="GU37" s="161"/>
      <c r="GV37" s="161"/>
      <c r="GW37" s="161"/>
      <c r="GX37" s="161"/>
      <c r="GY37" s="161"/>
      <c r="GZ37" s="155">
        <v>1.0</v>
      </c>
      <c r="HA37" s="155">
        <v>1.0</v>
      </c>
      <c r="HB37" s="161"/>
      <c r="HC37" s="161"/>
      <c r="HD37" s="162"/>
      <c r="HE37" s="161"/>
      <c r="HF37" s="156">
        <v>1.0</v>
      </c>
      <c r="HG37" s="161"/>
      <c r="HH37" s="161"/>
      <c r="HI37" s="161"/>
      <c r="HJ37" s="155"/>
      <c r="HK37" s="155">
        <v>1.0</v>
      </c>
      <c r="HL37" s="161"/>
      <c r="HM37" s="161"/>
      <c r="HN37" s="161"/>
      <c r="HO37" s="161"/>
      <c r="HP37" s="161"/>
      <c r="HQ37" s="161"/>
      <c r="HR37" s="161"/>
      <c r="HS37" s="161"/>
      <c r="HT37" s="161"/>
      <c r="HU37" s="161"/>
      <c r="HV37" s="161"/>
      <c r="HW37" s="161"/>
      <c r="HX37" s="161"/>
      <c r="HY37" s="161"/>
      <c r="HZ37" s="161"/>
      <c r="IA37" s="161"/>
      <c r="IB37" s="161"/>
      <c r="IC37" s="161"/>
      <c r="ID37" s="161"/>
      <c r="IE37" s="161"/>
      <c r="IF37" s="161"/>
      <c r="IG37" s="161"/>
      <c r="IH37" s="161"/>
      <c r="II37" s="161"/>
      <c r="IJ37" s="161"/>
      <c r="IK37" s="161"/>
      <c r="IL37" s="161"/>
      <c r="IM37" s="161"/>
      <c r="IN37" s="161"/>
      <c r="IO37" s="161"/>
      <c r="IP37" s="161"/>
      <c r="IQ37" s="161"/>
      <c r="IR37" s="161"/>
      <c r="IS37" s="161"/>
      <c r="IT37" s="161"/>
      <c r="IU37" s="161"/>
      <c r="IV37" s="161"/>
      <c r="IW37" s="161"/>
      <c r="IX37" s="155"/>
      <c r="IY37" s="161"/>
      <c r="IZ37" s="161"/>
      <c r="JA37" s="161"/>
      <c r="JB37" s="161"/>
      <c r="JC37" s="161"/>
      <c r="JD37" s="161"/>
      <c r="JE37" s="161"/>
      <c r="JF37" s="161"/>
      <c r="JG37" s="161"/>
      <c r="JH37" s="161"/>
      <c r="JI37" s="161"/>
      <c r="JJ37" s="155">
        <v>1.0</v>
      </c>
      <c r="JK37" s="161"/>
      <c r="JL37" s="161"/>
      <c r="JM37" s="161"/>
      <c r="JN37" s="161"/>
      <c r="JO37" s="161"/>
      <c r="JP37" s="161"/>
      <c r="JQ37" s="161"/>
      <c r="JR37" s="161"/>
      <c r="JS37" s="161"/>
      <c r="JT37" s="161"/>
      <c r="JU37" s="161"/>
      <c r="JV37" s="161"/>
      <c r="JW37" s="161"/>
      <c r="JX37" s="161"/>
      <c r="JY37" s="161"/>
      <c r="JZ37" s="161"/>
      <c r="KA37" s="161"/>
      <c r="KB37" s="161"/>
      <c r="KC37" s="161"/>
      <c r="KD37" s="161"/>
      <c r="KE37" s="161"/>
      <c r="KF37" s="161"/>
      <c r="KG37" s="161"/>
      <c r="KH37" s="161"/>
      <c r="KI37" s="161"/>
      <c r="KJ37" s="161"/>
      <c r="KK37" s="161"/>
      <c r="KL37" s="161"/>
      <c r="KM37" s="161"/>
      <c r="KN37" s="161"/>
      <c r="KO37" s="161"/>
      <c r="KP37" s="161"/>
      <c r="KQ37" s="161"/>
      <c r="KR37" s="162"/>
      <c r="KS37" s="161"/>
      <c r="KT37" s="161"/>
      <c r="KU37" s="161"/>
      <c r="KV37" s="161"/>
      <c r="KW37" s="161"/>
      <c r="KX37" s="129"/>
    </row>
    <row r="38">
      <c r="A38" s="158">
        <v>40.0</v>
      </c>
      <c r="B38" s="158">
        <f t="shared" si="1"/>
        <v>4</v>
      </c>
      <c r="C38" s="158" t="s">
        <v>2332</v>
      </c>
      <c r="D38" s="160"/>
      <c r="E38" s="160"/>
      <c r="F38" s="163" t="s">
        <v>2931</v>
      </c>
      <c r="G38" s="160"/>
      <c r="H38" s="161"/>
      <c r="I38" s="161"/>
      <c r="J38" s="161"/>
      <c r="K38" s="161"/>
      <c r="L38" s="161"/>
      <c r="M38" s="161"/>
      <c r="N38" s="161"/>
      <c r="O38" s="161"/>
      <c r="P38" s="161"/>
      <c r="Q38" s="161"/>
      <c r="R38" s="161"/>
      <c r="S38" s="161"/>
      <c r="T38" s="161"/>
      <c r="U38" s="161"/>
      <c r="V38" s="161"/>
      <c r="W38" s="161"/>
      <c r="X38" s="161"/>
      <c r="Y38" s="161"/>
      <c r="Z38" s="161"/>
      <c r="AA38" s="161"/>
      <c r="AB38" s="161"/>
      <c r="AC38" s="161"/>
      <c r="AD38" s="161"/>
      <c r="AE38" s="161"/>
      <c r="AF38" s="161"/>
      <c r="AG38" s="161"/>
      <c r="AH38" s="161"/>
      <c r="AI38" s="161"/>
      <c r="AJ38" s="162"/>
      <c r="AK38" s="161"/>
      <c r="AL38" s="161"/>
      <c r="AM38" s="161"/>
      <c r="AN38" s="161"/>
      <c r="AO38" s="161"/>
      <c r="AP38" s="161"/>
      <c r="AQ38" s="161"/>
      <c r="AR38" s="161"/>
      <c r="AS38" s="161"/>
      <c r="AT38" s="161"/>
      <c r="AU38" s="161"/>
      <c r="AV38" s="161"/>
      <c r="AW38" s="162"/>
      <c r="AX38" s="162"/>
      <c r="AY38" s="161"/>
      <c r="AZ38" s="161"/>
      <c r="BA38" s="161"/>
      <c r="BB38" s="161"/>
      <c r="BC38" s="161"/>
      <c r="BD38" s="161"/>
      <c r="BE38" s="161"/>
      <c r="BF38" s="161"/>
      <c r="BG38" s="161"/>
      <c r="BH38" s="161"/>
      <c r="BI38" s="161"/>
      <c r="BJ38" s="161"/>
      <c r="BK38" s="161"/>
      <c r="BL38" s="161"/>
      <c r="BM38" s="161"/>
      <c r="BN38" s="155">
        <v>2.0</v>
      </c>
      <c r="BO38" s="161"/>
      <c r="BP38" s="161"/>
      <c r="BQ38" s="161"/>
      <c r="BR38" s="161"/>
      <c r="BS38" s="161"/>
      <c r="BT38" s="161"/>
      <c r="BU38" s="161"/>
      <c r="BV38" s="161"/>
      <c r="BW38" s="161"/>
      <c r="BX38" s="161"/>
      <c r="BY38" s="161"/>
      <c r="BZ38" s="161"/>
      <c r="CA38" s="161"/>
      <c r="CB38" s="161"/>
      <c r="CC38" s="161"/>
      <c r="CD38" s="161"/>
      <c r="CE38" s="161"/>
      <c r="CF38" s="161"/>
      <c r="CG38" s="161"/>
      <c r="CH38" s="161"/>
      <c r="CI38" s="155" t="s">
        <v>2932</v>
      </c>
      <c r="CJ38" s="161"/>
      <c r="CK38" s="161"/>
      <c r="CL38" s="161"/>
      <c r="CM38" s="161"/>
      <c r="CN38" s="161"/>
      <c r="CO38" s="161"/>
      <c r="CP38" s="161"/>
      <c r="CQ38" s="161"/>
      <c r="CR38" s="161"/>
      <c r="CS38" s="155" t="s">
        <v>2933</v>
      </c>
      <c r="CT38" s="161"/>
      <c r="CU38" s="129"/>
      <c r="CV38" s="129"/>
      <c r="CW38" s="161"/>
      <c r="CX38" s="161"/>
      <c r="CY38" s="161"/>
      <c r="CZ38" s="155" t="s">
        <v>2660</v>
      </c>
      <c r="DA38" s="161"/>
      <c r="DB38" s="161"/>
      <c r="DC38" s="161"/>
      <c r="DD38" s="161"/>
      <c r="DE38" s="156">
        <v>2.0</v>
      </c>
      <c r="DF38" s="156">
        <v>2.0</v>
      </c>
      <c r="DG38" s="156">
        <v>2.0</v>
      </c>
      <c r="DH38" s="156">
        <v>2.0</v>
      </c>
      <c r="DI38" s="156">
        <v>2.0</v>
      </c>
      <c r="DJ38" s="156">
        <v>2.0</v>
      </c>
      <c r="DK38" s="156">
        <v>2.0</v>
      </c>
      <c r="DL38" s="161"/>
      <c r="DM38" s="161"/>
      <c r="DN38" s="156">
        <v>2.0</v>
      </c>
      <c r="DO38" s="161"/>
      <c r="DP38" s="161"/>
      <c r="DQ38" s="161"/>
      <c r="DR38" s="156">
        <v>2.0</v>
      </c>
      <c r="DS38" s="155">
        <v>2.0</v>
      </c>
      <c r="DT38" s="155">
        <v>2.0</v>
      </c>
      <c r="DU38" s="156">
        <v>2.0</v>
      </c>
      <c r="DV38" s="156">
        <v>2.0</v>
      </c>
      <c r="DW38" s="161"/>
      <c r="DX38" s="161"/>
      <c r="DY38" s="156">
        <v>2.0</v>
      </c>
      <c r="DZ38" s="156">
        <v>2.0</v>
      </c>
      <c r="EA38" s="161"/>
      <c r="EB38" s="156" t="s">
        <v>2934</v>
      </c>
      <c r="EC38" s="161"/>
      <c r="ED38" s="156">
        <v>2.0</v>
      </c>
      <c r="EE38" s="156">
        <v>2.0</v>
      </c>
      <c r="EF38" s="161"/>
      <c r="EG38" s="161"/>
      <c r="EH38" s="161"/>
      <c r="EI38" s="161"/>
      <c r="EJ38" s="161"/>
      <c r="EK38" s="161"/>
      <c r="EL38" s="156">
        <v>2.0</v>
      </c>
      <c r="EM38" s="161"/>
      <c r="EN38" s="161"/>
      <c r="EO38" s="161"/>
      <c r="EP38" s="161"/>
      <c r="EQ38" s="161"/>
      <c r="ER38" s="161"/>
      <c r="ES38" s="161"/>
      <c r="ET38" s="156">
        <v>2.0</v>
      </c>
      <c r="EU38" s="161"/>
      <c r="EV38" s="161"/>
      <c r="EW38" s="161"/>
      <c r="EX38" s="161"/>
      <c r="EY38" s="161"/>
      <c r="EZ38" s="161"/>
      <c r="FA38" s="161"/>
      <c r="FB38" s="161"/>
      <c r="FC38" s="161"/>
      <c r="FD38" s="161"/>
      <c r="FE38" s="161"/>
      <c r="FF38" s="161"/>
      <c r="FG38" s="161"/>
      <c r="FH38" s="161"/>
      <c r="FI38" s="161"/>
      <c r="FJ38" s="161"/>
      <c r="FK38" s="161"/>
      <c r="FL38" s="155">
        <v>2.0</v>
      </c>
      <c r="FM38" s="161"/>
      <c r="FN38" s="161"/>
      <c r="FO38" s="161"/>
      <c r="FP38" s="161"/>
      <c r="FQ38" s="161"/>
      <c r="FR38" s="161"/>
      <c r="FS38" s="161"/>
      <c r="FT38" s="161"/>
      <c r="FU38" s="161"/>
      <c r="FV38" s="161"/>
      <c r="FW38" s="161"/>
      <c r="FX38" s="161"/>
      <c r="FY38" s="161"/>
      <c r="FZ38" s="161"/>
      <c r="GA38" s="161"/>
      <c r="GB38" s="161"/>
      <c r="GC38" s="161"/>
      <c r="GD38" s="161"/>
      <c r="GE38" s="161"/>
      <c r="GF38" s="161"/>
      <c r="GG38" s="161"/>
      <c r="GH38" s="161"/>
      <c r="GI38" s="161"/>
      <c r="GJ38" s="161"/>
      <c r="GK38" s="161"/>
      <c r="GL38" s="161"/>
      <c r="GM38" s="161"/>
      <c r="GN38" s="161"/>
      <c r="GO38" s="161"/>
      <c r="GP38" s="161"/>
      <c r="GQ38" s="161"/>
      <c r="GR38" s="161"/>
      <c r="GS38" s="161"/>
      <c r="GT38" s="161"/>
      <c r="GU38" s="161"/>
      <c r="GV38" s="161"/>
      <c r="GW38" s="161"/>
      <c r="GX38" s="155">
        <v>1.0</v>
      </c>
      <c r="GY38" s="161"/>
      <c r="GZ38" s="161"/>
      <c r="HA38" s="161"/>
      <c r="HB38" s="161"/>
      <c r="HC38" s="155" t="s">
        <v>2935</v>
      </c>
      <c r="HD38" s="162"/>
      <c r="HE38" s="161"/>
      <c r="HF38" s="162"/>
      <c r="HG38" s="161"/>
      <c r="HH38" s="161"/>
      <c r="HI38" s="161"/>
      <c r="HJ38" s="161"/>
      <c r="HK38" s="155" t="s">
        <v>2936</v>
      </c>
      <c r="HL38" s="161"/>
      <c r="HM38" s="161"/>
      <c r="HN38" s="155" t="s">
        <v>2937</v>
      </c>
      <c r="HO38" s="161"/>
      <c r="HP38" s="161"/>
      <c r="HQ38" s="155" t="s">
        <v>2869</v>
      </c>
      <c r="HR38" s="161"/>
      <c r="HS38" s="155" t="s">
        <v>2932</v>
      </c>
      <c r="HT38" s="161"/>
      <c r="HU38" s="161"/>
      <c r="HV38" s="161"/>
      <c r="HW38" s="161"/>
      <c r="HX38" s="161"/>
      <c r="HY38" s="161"/>
      <c r="HZ38" s="161"/>
      <c r="IA38" s="161"/>
      <c r="IB38" s="161"/>
      <c r="IC38" s="161"/>
      <c r="ID38" s="155" t="s">
        <v>2869</v>
      </c>
      <c r="IE38" s="161"/>
      <c r="IF38" s="161"/>
      <c r="IG38" s="155">
        <v>1.0</v>
      </c>
      <c r="IH38" s="155">
        <v>2.0</v>
      </c>
      <c r="II38" s="161"/>
      <c r="IJ38" s="161"/>
      <c r="IK38" s="161"/>
      <c r="IL38" s="155">
        <v>2.0</v>
      </c>
      <c r="IM38" s="161"/>
      <c r="IN38" s="155">
        <v>2.0</v>
      </c>
      <c r="IO38" s="161"/>
      <c r="IP38" s="161"/>
      <c r="IQ38" s="161"/>
      <c r="IR38" s="161"/>
      <c r="IS38" s="161"/>
      <c r="IT38" s="161"/>
      <c r="IU38" s="161"/>
      <c r="IV38" s="161"/>
      <c r="IW38" s="161"/>
      <c r="IX38" s="161"/>
      <c r="IY38" s="161"/>
      <c r="IZ38" s="161"/>
      <c r="JA38" s="161"/>
      <c r="JB38" s="161"/>
      <c r="JC38" s="161"/>
      <c r="JD38" s="161"/>
      <c r="JE38" s="155" t="s">
        <v>2660</v>
      </c>
      <c r="JF38" s="161"/>
      <c r="JG38" s="161"/>
      <c r="JH38" s="161"/>
      <c r="JI38" s="161"/>
      <c r="JJ38" s="161"/>
      <c r="JK38" s="161"/>
      <c r="JL38" s="161"/>
      <c r="JM38" s="155" t="s">
        <v>2936</v>
      </c>
      <c r="JN38" s="161"/>
      <c r="JO38" s="161"/>
      <c r="JP38" s="161"/>
      <c r="JQ38" s="161"/>
      <c r="JR38" s="161"/>
      <c r="JS38" s="161"/>
      <c r="JT38" s="161"/>
      <c r="JU38" s="161"/>
      <c r="JV38" s="161"/>
      <c r="JW38" s="161"/>
      <c r="JX38" s="161"/>
      <c r="JY38" s="161"/>
      <c r="JZ38" s="161"/>
      <c r="KA38" s="161"/>
      <c r="KB38" s="161"/>
      <c r="KC38" s="161"/>
      <c r="KD38" s="161"/>
      <c r="KE38" s="161"/>
      <c r="KF38" s="155">
        <v>2.0</v>
      </c>
      <c r="KG38" s="155">
        <v>2.0</v>
      </c>
      <c r="KH38" s="161"/>
      <c r="KI38" s="155">
        <v>2.0</v>
      </c>
      <c r="KJ38" s="161"/>
      <c r="KK38" s="155">
        <v>2.0</v>
      </c>
      <c r="KL38" s="161"/>
      <c r="KM38" s="161"/>
      <c r="KN38" s="155">
        <v>1.0</v>
      </c>
      <c r="KO38" s="155">
        <v>1.0</v>
      </c>
      <c r="KP38" s="161"/>
      <c r="KQ38" s="155">
        <v>2.0</v>
      </c>
      <c r="KR38" s="156">
        <v>2.0</v>
      </c>
      <c r="KS38" s="161"/>
      <c r="KT38" s="161"/>
      <c r="KU38" s="155"/>
      <c r="KV38" s="161"/>
      <c r="KW38" s="161"/>
      <c r="KX38" s="129"/>
    </row>
    <row r="39">
      <c r="A39" s="155" t="s">
        <v>2648</v>
      </c>
      <c r="B39" s="161">
        <f>SUM(H39:ZZ39)
</f>
        <v>540</v>
      </c>
      <c r="C39" s="129"/>
      <c r="D39" s="129"/>
      <c r="E39" s="129"/>
      <c r="F39" s="129"/>
      <c r="G39" s="129"/>
      <c r="H39" s="161">
        <f t="shared" ref="H39:L39" si="2">COUNTIF(H2:H38,1)</f>
        <v>2</v>
      </c>
      <c r="I39" s="161">
        <f t="shared" si="2"/>
        <v>2</v>
      </c>
      <c r="J39" s="161">
        <f t="shared" si="2"/>
        <v>2</v>
      </c>
      <c r="K39" s="161">
        <f t="shared" si="2"/>
        <v>2</v>
      </c>
      <c r="L39" s="161">
        <f t="shared" si="2"/>
        <v>2</v>
      </c>
      <c r="M39" s="155" t="s">
        <v>2631</v>
      </c>
      <c r="N39" s="155" t="s">
        <v>2631</v>
      </c>
      <c r="O39" s="155" t="s">
        <v>2631</v>
      </c>
      <c r="P39" s="161">
        <f t="shared" ref="P39:BM39" si="3">COUNTIF(P2:P38,1)</f>
        <v>1</v>
      </c>
      <c r="Q39" s="161">
        <f t="shared" si="3"/>
        <v>2</v>
      </c>
      <c r="R39" s="161">
        <f t="shared" si="3"/>
        <v>2</v>
      </c>
      <c r="S39" s="161">
        <f t="shared" si="3"/>
        <v>2</v>
      </c>
      <c r="T39" s="161">
        <f t="shared" si="3"/>
        <v>2</v>
      </c>
      <c r="U39" s="161">
        <f t="shared" si="3"/>
        <v>2</v>
      </c>
      <c r="V39" s="161">
        <f t="shared" si="3"/>
        <v>0</v>
      </c>
      <c r="W39" s="161">
        <f t="shared" si="3"/>
        <v>2</v>
      </c>
      <c r="X39" s="161">
        <f t="shared" si="3"/>
        <v>2</v>
      </c>
      <c r="Y39" s="161">
        <f t="shared" si="3"/>
        <v>2</v>
      </c>
      <c r="Z39" s="161">
        <f t="shared" si="3"/>
        <v>2</v>
      </c>
      <c r="AA39" s="161">
        <f t="shared" si="3"/>
        <v>2</v>
      </c>
      <c r="AB39" s="161">
        <f t="shared" si="3"/>
        <v>2</v>
      </c>
      <c r="AC39" s="161">
        <f t="shared" si="3"/>
        <v>2</v>
      </c>
      <c r="AD39" s="161">
        <f t="shared" si="3"/>
        <v>2</v>
      </c>
      <c r="AE39" s="161">
        <f t="shared" si="3"/>
        <v>2</v>
      </c>
      <c r="AF39" s="161">
        <f t="shared" si="3"/>
        <v>2</v>
      </c>
      <c r="AG39" s="161">
        <f t="shared" si="3"/>
        <v>2</v>
      </c>
      <c r="AH39" s="161">
        <f t="shared" si="3"/>
        <v>2</v>
      </c>
      <c r="AI39" s="161">
        <f t="shared" si="3"/>
        <v>2</v>
      </c>
      <c r="AJ39" s="162">
        <f t="shared" si="3"/>
        <v>0</v>
      </c>
      <c r="AK39" s="161">
        <f t="shared" si="3"/>
        <v>2</v>
      </c>
      <c r="AL39" s="161">
        <f t="shared" si="3"/>
        <v>2</v>
      </c>
      <c r="AM39" s="161">
        <f t="shared" si="3"/>
        <v>2</v>
      </c>
      <c r="AN39" s="161">
        <f t="shared" si="3"/>
        <v>2</v>
      </c>
      <c r="AO39" s="161">
        <f t="shared" si="3"/>
        <v>2</v>
      </c>
      <c r="AP39" s="161">
        <f t="shared" si="3"/>
        <v>2</v>
      </c>
      <c r="AQ39" s="161">
        <f t="shared" si="3"/>
        <v>2</v>
      </c>
      <c r="AR39" s="161">
        <f t="shared" si="3"/>
        <v>2</v>
      </c>
      <c r="AS39" s="161">
        <f t="shared" si="3"/>
        <v>0</v>
      </c>
      <c r="AT39" s="161">
        <f t="shared" si="3"/>
        <v>2</v>
      </c>
      <c r="AU39" s="161">
        <f t="shared" si="3"/>
        <v>2</v>
      </c>
      <c r="AV39" s="161">
        <f t="shared" si="3"/>
        <v>2</v>
      </c>
      <c r="AW39" s="162">
        <f t="shared" si="3"/>
        <v>0</v>
      </c>
      <c r="AX39" s="162">
        <f t="shared" si="3"/>
        <v>0</v>
      </c>
      <c r="AY39" s="161">
        <f t="shared" si="3"/>
        <v>2</v>
      </c>
      <c r="AZ39" s="161">
        <f t="shared" si="3"/>
        <v>2</v>
      </c>
      <c r="BA39" s="161">
        <f t="shared" si="3"/>
        <v>2</v>
      </c>
      <c r="BB39" s="161">
        <f t="shared" si="3"/>
        <v>2</v>
      </c>
      <c r="BC39" s="161">
        <f t="shared" si="3"/>
        <v>2</v>
      </c>
      <c r="BD39" s="161">
        <f t="shared" si="3"/>
        <v>2</v>
      </c>
      <c r="BE39" s="161">
        <f t="shared" si="3"/>
        <v>2</v>
      </c>
      <c r="BF39" s="161">
        <f t="shared" si="3"/>
        <v>2</v>
      </c>
      <c r="BG39" s="161">
        <f t="shared" si="3"/>
        <v>2</v>
      </c>
      <c r="BH39" s="161">
        <f t="shared" si="3"/>
        <v>2</v>
      </c>
      <c r="BI39" s="161">
        <f t="shared" si="3"/>
        <v>2</v>
      </c>
      <c r="BJ39" s="161">
        <f t="shared" si="3"/>
        <v>0</v>
      </c>
      <c r="BK39" s="161">
        <f t="shared" si="3"/>
        <v>2</v>
      </c>
      <c r="BL39" s="161">
        <f t="shared" si="3"/>
        <v>2</v>
      </c>
      <c r="BM39" s="161">
        <f t="shared" si="3"/>
        <v>1</v>
      </c>
      <c r="BN39" s="155">
        <v>2.0</v>
      </c>
      <c r="BO39" s="161">
        <f t="shared" ref="BO39:CH39" si="4">COUNTIF(BO2:BO38,1)</f>
        <v>2</v>
      </c>
      <c r="BP39" s="161">
        <f t="shared" si="4"/>
        <v>2</v>
      </c>
      <c r="BQ39" s="161">
        <f t="shared" si="4"/>
        <v>2</v>
      </c>
      <c r="BR39" s="161">
        <f t="shared" si="4"/>
        <v>2</v>
      </c>
      <c r="BS39" s="161">
        <f t="shared" si="4"/>
        <v>2</v>
      </c>
      <c r="BT39" s="161">
        <f t="shared" si="4"/>
        <v>2</v>
      </c>
      <c r="BU39" s="161">
        <f t="shared" si="4"/>
        <v>2</v>
      </c>
      <c r="BV39" s="161">
        <f t="shared" si="4"/>
        <v>2</v>
      </c>
      <c r="BW39" s="161">
        <f t="shared" si="4"/>
        <v>2</v>
      </c>
      <c r="BX39" s="161">
        <f t="shared" si="4"/>
        <v>2</v>
      </c>
      <c r="BY39" s="161">
        <f t="shared" si="4"/>
        <v>2</v>
      </c>
      <c r="BZ39" s="161">
        <f t="shared" si="4"/>
        <v>0</v>
      </c>
      <c r="CA39" s="161">
        <f t="shared" si="4"/>
        <v>2</v>
      </c>
      <c r="CB39" s="161">
        <f t="shared" si="4"/>
        <v>2</v>
      </c>
      <c r="CC39" s="161">
        <f t="shared" si="4"/>
        <v>2</v>
      </c>
      <c r="CD39" s="161">
        <f t="shared" si="4"/>
        <v>2</v>
      </c>
      <c r="CE39" s="161">
        <f t="shared" si="4"/>
        <v>2</v>
      </c>
      <c r="CF39" s="161">
        <f t="shared" si="4"/>
        <v>2</v>
      </c>
      <c r="CG39" s="161">
        <f t="shared" si="4"/>
        <v>2</v>
      </c>
      <c r="CH39" s="161">
        <f t="shared" si="4"/>
        <v>2</v>
      </c>
      <c r="CI39" s="155">
        <v>2.0</v>
      </c>
      <c r="CJ39" s="161">
        <f t="shared" ref="CJ39:CR39" si="5">COUNTIF(CJ2:CJ38,1)</f>
        <v>2</v>
      </c>
      <c r="CK39" s="161">
        <f t="shared" si="5"/>
        <v>2</v>
      </c>
      <c r="CL39" s="161">
        <f t="shared" si="5"/>
        <v>2</v>
      </c>
      <c r="CM39" s="161">
        <f t="shared" si="5"/>
        <v>2</v>
      </c>
      <c r="CN39" s="161">
        <f t="shared" si="5"/>
        <v>2</v>
      </c>
      <c r="CO39" s="161">
        <f t="shared" si="5"/>
        <v>2</v>
      </c>
      <c r="CP39" s="161">
        <f t="shared" si="5"/>
        <v>2</v>
      </c>
      <c r="CQ39" s="161">
        <f t="shared" si="5"/>
        <v>2</v>
      </c>
      <c r="CR39" s="161">
        <f t="shared" si="5"/>
        <v>2</v>
      </c>
      <c r="CS39" s="155">
        <v>2.0</v>
      </c>
      <c r="CT39" s="161">
        <f t="shared" ref="CT39:DD39" si="6">COUNTIF(CT2:CT38,1)</f>
        <v>2</v>
      </c>
      <c r="CU39" s="161">
        <f t="shared" si="6"/>
        <v>0</v>
      </c>
      <c r="CV39" s="161">
        <f t="shared" si="6"/>
        <v>2</v>
      </c>
      <c r="CW39" s="161">
        <f t="shared" si="6"/>
        <v>2</v>
      </c>
      <c r="CX39" s="161">
        <f t="shared" si="6"/>
        <v>2</v>
      </c>
      <c r="CY39" s="161">
        <f t="shared" si="6"/>
        <v>2</v>
      </c>
      <c r="CZ39" s="161">
        <f t="shared" si="6"/>
        <v>2</v>
      </c>
      <c r="DA39" s="161">
        <f t="shared" si="6"/>
        <v>2</v>
      </c>
      <c r="DB39" s="161">
        <f t="shared" si="6"/>
        <v>2</v>
      </c>
      <c r="DC39" s="161">
        <f t="shared" si="6"/>
        <v>2</v>
      </c>
      <c r="DD39" s="161">
        <f t="shared" si="6"/>
        <v>2</v>
      </c>
      <c r="DE39" s="156">
        <v>2.0</v>
      </c>
      <c r="DF39" s="156">
        <v>2.0</v>
      </c>
      <c r="DG39" s="156">
        <v>2.0</v>
      </c>
      <c r="DH39" s="156">
        <v>2.0</v>
      </c>
      <c r="DI39" s="156">
        <v>2.0</v>
      </c>
      <c r="DJ39" s="156">
        <v>2.0</v>
      </c>
      <c r="DK39" s="156">
        <v>2.0</v>
      </c>
      <c r="DL39" s="161">
        <f t="shared" ref="DL39:DQ39" si="7">COUNTIF(DL2:DL38,1)</f>
        <v>2</v>
      </c>
      <c r="DM39" s="161">
        <f t="shared" si="7"/>
        <v>2</v>
      </c>
      <c r="DN39" s="162">
        <f t="shared" si="7"/>
        <v>1</v>
      </c>
      <c r="DO39" s="161">
        <f t="shared" si="7"/>
        <v>2</v>
      </c>
      <c r="DP39" s="161">
        <f t="shared" si="7"/>
        <v>2</v>
      </c>
      <c r="DQ39" s="161">
        <f t="shared" si="7"/>
        <v>2</v>
      </c>
      <c r="DR39" s="156">
        <v>2.0</v>
      </c>
      <c r="DS39" s="155">
        <v>2.0</v>
      </c>
      <c r="DT39" s="155">
        <v>2.0</v>
      </c>
      <c r="DU39" s="156">
        <v>2.0</v>
      </c>
      <c r="DV39" s="156">
        <v>2.0</v>
      </c>
      <c r="DW39" s="161">
        <f t="shared" ref="DW39:DX39" si="8">COUNTIF(DW2:DW38,1)</f>
        <v>2</v>
      </c>
      <c r="DX39" s="161">
        <f t="shared" si="8"/>
        <v>2</v>
      </c>
      <c r="DY39" s="156">
        <v>2.0</v>
      </c>
      <c r="DZ39" s="156">
        <v>2.0</v>
      </c>
      <c r="EA39" s="161">
        <f t="shared" ref="EA39:EC39" si="9">COUNTIF(EA2:EA38,1)</f>
        <v>2</v>
      </c>
      <c r="EB39" s="162">
        <f t="shared" si="9"/>
        <v>0</v>
      </c>
      <c r="EC39" s="161">
        <f t="shared" si="9"/>
        <v>2</v>
      </c>
      <c r="ED39" s="156">
        <v>2.0</v>
      </c>
      <c r="EE39" s="156">
        <v>2.0</v>
      </c>
      <c r="EF39" s="161">
        <f t="shared" ref="EF39:EK39" si="10">COUNTIF(EF2:EF38,1)</f>
        <v>2</v>
      </c>
      <c r="EG39" s="161">
        <f t="shared" si="10"/>
        <v>2</v>
      </c>
      <c r="EH39" s="161">
        <f t="shared" si="10"/>
        <v>0</v>
      </c>
      <c r="EI39" s="161">
        <f t="shared" si="10"/>
        <v>2</v>
      </c>
      <c r="EJ39" s="161">
        <f t="shared" si="10"/>
        <v>2</v>
      </c>
      <c r="EK39" s="161">
        <f t="shared" si="10"/>
        <v>2</v>
      </c>
      <c r="EL39" s="156">
        <v>2.0</v>
      </c>
      <c r="EM39" s="161">
        <f t="shared" ref="EM39:ES39" si="11">COUNTIF(EM2:EM38,1)</f>
        <v>2</v>
      </c>
      <c r="EN39" s="161">
        <f t="shared" si="11"/>
        <v>2</v>
      </c>
      <c r="EO39" s="161">
        <f t="shared" si="11"/>
        <v>2</v>
      </c>
      <c r="EP39" s="161">
        <f t="shared" si="11"/>
        <v>2</v>
      </c>
      <c r="EQ39" s="161">
        <f t="shared" si="11"/>
        <v>2</v>
      </c>
      <c r="ER39" s="161">
        <f t="shared" si="11"/>
        <v>2</v>
      </c>
      <c r="ES39" s="161">
        <f t="shared" si="11"/>
        <v>2</v>
      </c>
      <c r="ET39" s="156">
        <v>2.0</v>
      </c>
      <c r="EU39" s="161">
        <f t="shared" ref="EU39:FK39" si="12">COUNTIF(EU2:EU38,1)</f>
        <v>0</v>
      </c>
      <c r="EV39" s="161">
        <f t="shared" si="12"/>
        <v>2</v>
      </c>
      <c r="EW39" s="161">
        <f t="shared" si="12"/>
        <v>2</v>
      </c>
      <c r="EX39" s="161">
        <f t="shared" si="12"/>
        <v>2</v>
      </c>
      <c r="EY39" s="161">
        <f t="shared" si="12"/>
        <v>2</v>
      </c>
      <c r="EZ39" s="161">
        <f t="shared" si="12"/>
        <v>2</v>
      </c>
      <c r="FA39" s="161">
        <f t="shared" si="12"/>
        <v>2</v>
      </c>
      <c r="FB39" s="161">
        <f t="shared" si="12"/>
        <v>2</v>
      </c>
      <c r="FC39" s="161">
        <f t="shared" si="12"/>
        <v>2</v>
      </c>
      <c r="FD39" s="161">
        <f t="shared" si="12"/>
        <v>2</v>
      </c>
      <c r="FE39" s="161">
        <f t="shared" si="12"/>
        <v>2</v>
      </c>
      <c r="FF39" s="161">
        <f t="shared" si="12"/>
        <v>2</v>
      </c>
      <c r="FG39" s="161">
        <f t="shared" si="12"/>
        <v>2</v>
      </c>
      <c r="FH39" s="161">
        <f t="shared" si="12"/>
        <v>2</v>
      </c>
      <c r="FI39" s="161">
        <f t="shared" si="12"/>
        <v>2</v>
      </c>
      <c r="FJ39" s="161">
        <f t="shared" si="12"/>
        <v>2</v>
      </c>
      <c r="FK39" s="161">
        <f t="shared" si="12"/>
        <v>2</v>
      </c>
      <c r="FL39" s="155">
        <v>2.0</v>
      </c>
      <c r="FM39" s="161">
        <f t="shared" ref="FM39:HB39" si="13">COUNTIF(FM2:FM38,1)</f>
        <v>2</v>
      </c>
      <c r="FN39" s="161">
        <f t="shared" si="13"/>
        <v>2</v>
      </c>
      <c r="FO39" s="161">
        <f t="shared" si="13"/>
        <v>2</v>
      </c>
      <c r="FP39" s="161">
        <f t="shared" si="13"/>
        <v>2</v>
      </c>
      <c r="FQ39" s="161">
        <f t="shared" si="13"/>
        <v>2</v>
      </c>
      <c r="FR39" s="161">
        <f t="shared" si="13"/>
        <v>2</v>
      </c>
      <c r="FS39" s="161">
        <f t="shared" si="13"/>
        <v>2</v>
      </c>
      <c r="FT39" s="161">
        <f t="shared" si="13"/>
        <v>1</v>
      </c>
      <c r="FU39" s="161">
        <f t="shared" si="13"/>
        <v>0</v>
      </c>
      <c r="FV39" s="161">
        <f t="shared" si="13"/>
        <v>2</v>
      </c>
      <c r="FW39" s="161">
        <f t="shared" si="13"/>
        <v>2</v>
      </c>
      <c r="FX39" s="161">
        <f t="shared" si="13"/>
        <v>2</v>
      </c>
      <c r="FY39" s="161">
        <f t="shared" si="13"/>
        <v>2</v>
      </c>
      <c r="FZ39" s="161">
        <f t="shared" si="13"/>
        <v>2</v>
      </c>
      <c r="GA39" s="161">
        <f t="shared" si="13"/>
        <v>2</v>
      </c>
      <c r="GB39" s="161">
        <f t="shared" si="13"/>
        <v>0</v>
      </c>
      <c r="GC39" s="161">
        <f t="shared" si="13"/>
        <v>2</v>
      </c>
      <c r="GD39" s="161">
        <f t="shared" si="13"/>
        <v>2</v>
      </c>
      <c r="GE39" s="161">
        <f t="shared" si="13"/>
        <v>2</v>
      </c>
      <c r="GF39" s="161">
        <f t="shared" si="13"/>
        <v>2</v>
      </c>
      <c r="GG39" s="161">
        <f t="shared" si="13"/>
        <v>0</v>
      </c>
      <c r="GH39" s="161">
        <f t="shared" si="13"/>
        <v>2</v>
      </c>
      <c r="GI39" s="161">
        <f t="shared" si="13"/>
        <v>2</v>
      </c>
      <c r="GJ39" s="161">
        <f t="shared" si="13"/>
        <v>2</v>
      </c>
      <c r="GK39" s="161">
        <f t="shared" si="13"/>
        <v>2</v>
      </c>
      <c r="GL39" s="161">
        <f t="shared" si="13"/>
        <v>2</v>
      </c>
      <c r="GM39" s="161">
        <f t="shared" si="13"/>
        <v>2</v>
      </c>
      <c r="GN39" s="161">
        <f t="shared" si="13"/>
        <v>2</v>
      </c>
      <c r="GO39" s="161">
        <f t="shared" si="13"/>
        <v>0</v>
      </c>
      <c r="GP39" s="161">
        <f t="shared" si="13"/>
        <v>2</v>
      </c>
      <c r="GQ39" s="161">
        <f t="shared" si="13"/>
        <v>2</v>
      </c>
      <c r="GR39" s="161">
        <f t="shared" si="13"/>
        <v>2</v>
      </c>
      <c r="GS39" s="161">
        <f t="shared" si="13"/>
        <v>2</v>
      </c>
      <c r="GT39" s="161">
        <f t="shared" si="13"/>
        <v>2</v>
      </c>
      <c r="GU39" s="161">
        <f t="shared" si="13"/>
        <v>2</v>
      </c>
      <c r="GV39" s="161">
        <f t="shared" si="13"/>
        <v>0</v>
      </c>
      <c r="GW39" s="161">
        <f t="shared" si="13"/>
        <v>2</v>
      </c>
      <c r="GX39" s="161">
        <f t="shared" si="13"/>
        <v>2</v>
      </c>
      <c r="GY39" s="161">
        <f t="shared" si="13"/>
        <v>2</v>
      </c>
      <c r="GZ39" s="161">
        <f t="shared" si="13"/>
        <v>2</v>
      </c>
      <c r="HA39" s="161">
        <f t="shared" si="13"/>
        <v>2</v>
      </c>
      <c r="HB39" s="161">
        <f t="shared" si="13"/>
        <v>2</v>
      </c>
      <c r="HC39" s="155">
        <v>2.0</v>
      </c>
      <c r="HD39" s="162"/>
      <c r="HE39" s="161">
        <f t="shared" ref="HE39:HM39" si="14">COUNTIF(HE2:HE38,1)</f>
        <v>2</v>
      </c>
      <c r="HF39" s="162">
        <f t="shared" si="14"/>
        <v>2</v>
      </c>
      <c r="HG39" s="161">
        <f t="shared" si="14"/>
        <v>2</v>
      </c>
      <c r="HH39" s="161">
        <f t="shared" si="14"/>
        <v>2</v>
      </c>
      <c r="HI39" s="161">
        <f t="shared" si="14"/>
        <v>0</v>
      </c>
      <c r="HJ39" s="161">
        <f t="shared" si="14"/>
        <v>2</v>
      </c>
      <c r="HK39" s="161">
        <f t="shared" si="14"/>
        <v>1</v>
      </c>
      <c r="HL39" s="161">
        <f t="shared" si="14"/>
        <v>2</v>
      </c>
      <c r="HM39" s="161">
        <f t="shared" si="14"/>
        <v>1</v>
      </c>
      <c r="HN39" s="155">
        <v>2.0</v>
      </c>
      <c r="HO39" s="161">
        <f t="shared" ref="HO39:HP39" si="15">COUNTIF(HO2:HO38,1)</f>
        <v>2</v>
      </c>
      <c r="HP39" s="161">
        <f t="shared" si="15"/>
        <v>0</v>
      </c>
      <c r="HQ39" s="155">
        <v>2.0</v>
      </c>
      <c r="HR39" s="161">
        <f>COUNTIF(HR2:HR38,1)</f>
        <v>2</v>
      </c>
      <c r="HS39" s="155">
        <v>2.0</v>
      </c>
      <c r="HT39" s="161">
        <f t="shared" ref="HT39:IC39" si="16">COUNTIF(HT2:HT38,1)</f>
        <v>2</v>
      </c>
      <c r="HU39" s="161">
        <f t="shared" si="16"/>
        <v>2</v>
      </c>
      <c r="HV39" s="161">
        <f t="shared" si="16"/>
        <v>2</v>
      </c>
      <c r="HW39" s="161">
        <f t="shared" si="16"/>
        <v>2</v>
      </c>
      <c r="HX39" s="161">
        <f t="shared" si="16"/>
        <v>2</v>
      </c>
      <c r="HY39" s="161">
        <f t="shared" si="16"/>
        <v>2</v>
      </c>
      <c r="HZ39" s="161">
        <f t="shared" si="16"/>
        <v>2</v>
      </c>
      <c r="IA39" s="161">
        <f t="shared" si="16"/>
        <v>2</v>
      </c>
      <c r="IB39" s="161">
        <f t="shared" si="16"/>
        <v>2</v>
      </c>
      <c r="IC39" s="161">
        <f t="shared" si="16"/>
        <v>2</v>
      </c>
      <c r="ID39" s="155">
        <v>2.0</v>
      </c>
      <c r="IE39" s="161">
        <f t="shared" ref="IE39:IG39" si="17">COUNTIF(IE2:IE38,1)</f>
        <v>2</v>
      </c>
      <c r="IF39" s="161">
        <f t="shared" si="17"/>
        <v>2</v>
      </c>
      <c r="IG39" s="161">
        <f t="shared" si="17"/>
        <v>2</v>
      </c>
      <c r="IH39" s="155">
        <v>2.0</v>
      </c>
      <c r="II39" s="161">
        <f t="shared" ref="II39:IK39" si="18">COUNTIF(II2:II38,1)</f>
        <v>2</v>
      </c>
      <c r="IJ39" s="161">
        <f t="shared" si="18"/>
        <v>0</v>
      </c>
      <c r="IK39" s="161">
        <f t="shared" si="18"/>
        <v>2</v>
      </c>
      <c r="IL39" s="155">
        <v>2.0</v>
      </c>
      <c r="IM39" s="161">
        <f>COUNTIF(IM2:IM38,1)</f>
        <v>2</v>
      </c>
      <c r="IN39" s="155">
        <v>2.0</v>
      </c>
      <c r="IO39" s="161">
        <f t="shared" ref="IO39:JD39" si="19">COUNTIF(IO2:IO38,1)</f>
        <v>0</v>
      </c>
      <c r="IP39" s="161">
        <f t="shared" si="19"/>
        <v>2</v>
      </c>
      <c r="IQ39" s="161">
        <f t="shared" si="19"/>
        <v>2</v>
      </c>
      <c r="IR39" s="161">
        <f t="shared" si="19"/>
        <v>2</v>
      </c>
      <c r="IS39" s="161">
        <f t="shared" si="19"/>
        <v>2</v>
      </c>
      <c r="IT39" s="161">
        <f t="shared" si="19"/>
        <v>2</v>
      </c>
      <c r="IU39" s="161">
        <f t="shared" si="19"/>
        <v>2</v>
      </c>
      <c r="IV39" s="161">
        <f t="shared" si="19"/>
        <v>2</v>
      </c>
      <c r="IW39" s="161">
        <f t="shared" si="19"/>
        <v>2</v>
      </c>
      <c r="IX39" s="161">
        <f t="shared" si="19"/>
        <v>2</v>
      </c>
      <c r="IY39" s="161">
        <f t="shared" si="19"/>
        <v>2</v>
      </c>
      <c r="IZ39" s="161">
        <f t="shared" si="19"/>
        <v>2</v>
      </c>
      <c r="JA39" s="161">
        <f t="shared" si="19"/>
        <v>2</v>
      </c>
      <c r="JB39" s="161">
        <f t="shared" si="19"/>
        <v>2</v>
      </c>
      <c r="JC39" s="161">
        <f t="shared" si="19"/>
        <v>2</v>
      </c>
      <c r="JD39" s="161">
        <f t="shared" si="19"/>
        <v>2</v>
      </c>
      <c r="JE39" s="155">
        <v>2.0</v>
      </c>
      <c r="JF39" s="161">
        <f t="shared" ref="JF39:JL39" si="20">COUNTIF(JF2:JF38,1)</f>
        <v>2</v>
      </c>
      <c r="JG39" s="161">
        <f t="shared" si="20"/>
        <v>2</v>
      </c>
      <c r="JH39" s="161">
        <f t="shared" si="20"/>
        <v>2</v>
      </c>
      <c r="JI39" s="161">
        <f t="shared" si="20"/>
        <v>2</v>
      </c>
      <c r="JJ39" s="161">
        <f t="shared" si="20"/>
        <v>2</v>
      </c>
      <c r="JK39" s="161">
        <f t="shared" si="20"/>
        <v>2</v>
      </c>
      <c r="JL39" s="161">
        <f t="shared" si="20"/>
        <v>2</v>
      </c>
      <c r="JM39" s="155">
        <v>2.0</v>
      </c>
      <c r="JN39" s="161">
        <f t="shared" ref="JN39:KE39" si="21">COUNTIF(JN2:JN38,1)</f>
        <v>0</v>
      </c>
      <c r="JO39" s="161">
        <f t="shared" si="21"/>
        <v>2</v>
      </c>
      <c r="JP39" s="161">
        <f t="shared" si="21"/>
        <v>2</v>
      </c>
      <c r="JQ39" s="161">
        <f t="shared" si="21"/>
        <v>2</v>
      </c>
      <c r="JR39" s="161">
        <f t="shared" si="21"/>
        <v>2</v>
      </c>
      <c r="JS39" s="161">
        <f t="shared" si="21"/>
        <v>2</v>
      </c>
      <c r="JT39" s="161">
        <f t="shared" si="21"/>
        <v>2</v>
      </c>
      <c r="JU39" s="161">
        <f t="shared" si="21"/>
        <v>2</v>
      </c>
      <c r="JV39" s="161">
        <f t="shared" si="21"/>
        <v>2</v>
      </c>
      <c r="JW39" s="161">
        <f t="shared" si="21"/>
        <v>2</v>
      </c>
      <c r="JX39" s="161">
        <f t="shared" si="21"/>
        <v>2</v>
      </c>
      <c r="JY39" s="161">
        <f t="shared" si="21"/>
        <v>2</v>
      </c>
      <c r="JZ39" s="161">
        <f t="shared" si="21"/>
        <v>2</v>
      </c>
      <c r="KA39" s="161">
        <f t="shared" si="21"/>
        <v>1</v>
      </c>
      <c r="KB39" s="161">
        <f t="shared" si="21"/>
        <v>1</v>
      </c>
      <c r="KC39" s="161">
        <f t="shared" si="21"/>
        <v>0</v>
      </c>
      <c r="KD39" s="161">
        <f t="shared" si="21"/>
        <v>2</v>
      </c>
      <c r="KE39" s="161">
        <f t="shared" si="21"/>
        <v>2</v>
      </c>
      <c r="KF39" s="155">
        <v>2.0</v>
      </c>
      <c r="KG39" s="155">
        <v>2.0</v>
      </c>
      <c r="KH39" s="161">
        <f>COUNTIF(KH2:KH38,1)</f>
        <v>2</v>
      </c>
      <c r="KI39" s="155">
        <v>2.0</v>
      </c>
      <c r="KJ39" s="161">
        <f>COUNTIF(KJ2:KJ38,1)</f>
        <v>2</v>
      </c>
      <c r="KK39" s="155">
        <v>2.0</v>
      </c>
      <c r="KL39" s="161">
        <f t="shared" ref="KL39:KM39" si="22">COUNTIF(KL2:KL38,1)</f>
        <v>2</v>
      </c>
      <c r="KM39" s="161">
        <f t="shared" si="22"/>
        <v>2</v>
      </c>
      <c r="KN39" s="155">
        <v>2.0</v>
      </c>
      <c r="KO39" s="161">
        <f t="shared" ref="KO39:KP39" si="23">COUNTIF(KO2:KO38,1)</f>
        <v>2</v>
      </c>
      <c r="KP39" s="161">
        <f t="shared" si="23"/>
        <v>2</v>
      </c>
      <c r="KQ39" s="155">
        <v>2.0</v>
      </c>
      <c r="KR39" s="156">
        <v>2.0</v>
      </c>
      <c r="KS39" s="161">
        <f t="shared" ref="KS39:KW39" si="24">COUNTIF(KS2:KS38,1)</f>
        <v>2</v>
      </c>
      <c r="KT39" s="161">
        <f t="shared" si="24"/>
        <v>2</v>
      </c>
      <c r="KU39" s="161">
        <f t="shared" si="24"/>
        <v>2</v>
      </c>
      <c r="KV39" s="161">
        <f t="shared" si="24"/>
        <v>0</v>
      </c>
      <c r="KW39" s="161">
        <f t="shared" si="24"/>
        <v>0</v>
      </c>
      <c r="KX39" s="129"/>
    </row>
  </sheetData>
  <dataValidations>
    <dataValidation type="list" allowBlank="1" showErrorMessage="1" sqref="C2:C38">
      <formula1>"Dr.,Prof."</formula1>
    </dataValidation>
  </dataValidations>
  <drawing r:id="rId1"/>
</worksheet>
</file>